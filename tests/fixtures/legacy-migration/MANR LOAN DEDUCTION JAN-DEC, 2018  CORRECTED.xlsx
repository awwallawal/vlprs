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defaultThemeVersion="124226"/>
  <bookViews>
    <workbookView xWindow="240" yWindow="90" windowWidth="11295" windowHeight="7665" tabRatio="614" activeTab="12"/>
  </bookViews>
  <sheets>
    <sheet name="JAN. 2018" sheetId="7" r:id="rId1"/>
    <sheet name="ISSUE" sheetId="19" r:id="rId2"/>
    <sheet name="FEB. 2018" sheetId="8" r:id="rId3"/>
    <sheet name="MAR. 2018" sheetId="9" r:id="rId4"/>
    <sheet name="APRIL. 2018" sheetId="10" r:id="rId5"/>
    <sheet name="MAY. 2018" sheetId="11" r:id="rId6"/>
    <sheet name="JUNE. 2018" sheetId="12" r:id="rId7"/>
    <sheet name="JULY. 2018" sheetId="13" r:id="rId8"/>
    <sheet name="AUG. 2018" sheetId="14" r:id="rId9"/>
    <sheet name="SEP. 2018" sheetId="15" r:id="rId10"/>
    <sheet name="OCT 2018" sheetId="16" r:id="rId11"/>
    <sheet name="NOV. 2018" sheetId="17" r:id="rId12"/>
    <sheet name="DEC 2018" sheetId="18" r:id="rId13"/>
  </sheets>
  <calcPr calcId="152511"/>
</workbook>
</file>

<file path=xl/calcChain.xml><?xml version="1.0" encoding="utf-8"?>
<calcChain xmlns="http://schemas.openxmlformats.org/spreadsheetml/2006/main">
  <c r="L182" i="7" l="1"/>
  <c r="K182" i="7"/>
  <c r="H182" i="7"/>
  <c r="F182" i="7"/>
  <c r="E182" i="7"/>
  <c r="D182" i="7"/>
  <c r="L161" i="7"/>
  <c r="K161" i="7"/>
  <c r="H161" i="7"/>
  <c r="F161" i="7"/>
  <c r="E161" i="7"/>
  <c r="D161" i="7"/>
  <c r="L155" i="7"/>
  <c r="K155" i="7"/>
  <c r="H155" i="7"/>
  <c r="F155" i="7"/>
  <c r="E155" i="7"/>
  <c r="D155" i="7"/>
  <c r="H184" i="7" l="1"/>
  <c r="L179" i="12" l="1"/>
  <c r="K179" i="12"/>
  <c r="H179" i="12"/>
  <c r="F179" i="12"/>
  <c r="E179" i="12"/>
  <c r="D179" i="12"/>
  <c r="L180" i="11"/>
  <c r="K180" i="11"/>
  <c r="H180" i="11"/>
  <c r="F180" i="11"/>
  <c r="E180" i="11"/>
  <c r="D180" i="11"/>
  <c r="L207" i="10"/>
  <c r="K207" i="10"/>
  <c r="H207" i="10"/>
  <c r="F207" i="10"/>
  <c r="E207" i="10"/>
  <c r="D207" i="10"/>
  <c r="L192" i="9"/>
  <c r="K192" i="9"/>
  <c r="H192" i="9"/>
  <c r="F192" i="9"/>
  <c r="E192" i="9"/>
  <c r="D192" i="9"/>
  <c r="L198" i="8"/>
  <c r="K198" i="8"/>
  <c r="H198" i="8"/>
  <c r="F198" i="8"/>
  <c r="E198" i="8"/>
  <c r="D198" i="8"/>
  <c r="L207" i="18"/>
  <c r="K207" i="18"/>
  <c r="H207" i="18"/>
  <c r="F207" i="18"/>
  <c r="E207" i="18"/>
  <c r="D207" i="18"/>
  <c r="L197" i="17"/>
  <c r="K197" i="17"/>
  <c r="H197" i="17"/>
  <c r="F197" i="17"/>
  <c r="E197" i="17"/>
  <c r="D197" i="17"/>
  <c r="L194" i="17"/>
  <c r="K194" i="17"/>
  <c r="H194" i="17"/>
  <c r="F194" i="17"/>
  <c r="E194" i="17"/>
  <c r="D194" i="17"/>
  <c r="L190" i="16"/>
  <c r="K190" i="16"/>
  <c r="H190" i="16"/>
  <c r="F190" i="16"/>
  <c r="E190" i="16"/>
  <c r="D190" i="16"/>
  <c r="L188" i="16"/>
  <c r="K188" i="16"/>
  <c r="H188" i="16"/>
  <c r="F188" i="16"/>
  <c r="E188" i="16"/>
  <c r="D188" i="16"/>
  <c r="L188" i="15"/>
  <c r="K188" i="15"/>
  <c r="H188" i="15"/>
  <c r="F188" i="15"/>
  <c r="E188" i="15"/>
  <c r="D188" i="15"/>
  <c r="L186" i="15"/>
  <c r="K186" i="15"/>
  <c r="H186" i="15"/>
  <c r="F186" i="15"/>
  <c r="E186" i="15"/>
  <c r="D186" i="15"/>
  <c r="L184" i="14"/>
  <c r="K184" i="14"/>
  <c r="H184" i="14"/>
  <c r="F184" i="14"/>
  <c r="E184" i="14"/>
  <c r="D184" i="14"/>
  <c r="L182" i="14"/>
  <c r="K182" i="14"/>
  <c r="H182" i="14"/>
  <c r="F182" i="14"/>
  <c r="E182" i="14"/>
  <c r="D182" i="14"/>
  <c r="F188" i="13"/>
  <c r="E188" i="13"/>
  <c r="D188" i="13"/>
  <c r="H186" i="13"/>
  <c r="H188" i="13" s="1"/>
  <c r="F186" i="13"/>
  <c r="E186" i="13"/>
  <c r="D186" i="13"/>
  <c r="K198" i="9" l="1"/>
  <c r="J198" i="9"/>
  <c r="L204" i="18"/>
  <c r="K204" i="18"/>
  <c r="J204" i="18"/>
  <c r="K210" i="18"/>
  <c r="L210" i="18" s="1"/>
  <c r="J210" i="18"/>
  <c r="K193" i="17"/>
  <c r="L193" i="17" s="1"/>
  <c r="J193" i="17"/>
  <c r="K192" i="17"/>
  <c r="L192" i="17" s="1"/>
  <c r="J192" i="17"/>
  <c r="L187" i="16"/>
  <c r="L186" i="16"/>
  <c r="K187" i="16"/>
  <c r="J187" i="16"/>
  <c r="K186" i="16"/>
  <c r="J186" i="16"/>
  <c r="K185" i="15"/>
  <c r="L185" i="15" s="1"/>
  <c r="J185" i="15"/>
  <c r="K184" i="15"/>
  <c r="L184" i="15" s="1"/>
  <c r="J184" i="15"/>
  <c r="K181" i="14"/>
  <c r="L181" i="14" s="1"/>
  <c r="J181" i="14"/>
  <c r="K180" i="14"/>
  <c r="L180" i="14" s="1"/>
  <c r="J180" i="14"/>
  <c r="K185" i="13"/>
  <c r="J185" i="13"/>
  <c r="L185" i="13" l="1"/>
  <c r="L186" i="13" s="1"/>
  <c r="L188" i="13" s="1"/>
  <c r="K186" i="13"/>
  <c r="K188" i="13" s="1"/>
  <c r="K184" i="13" l="1"/>
  <c r="L184" i="13" s="1"/>
  <c r="J184" i="13"/>
  <c r="K177" i="12"/>
  <c r="L177" i="12" s="1"/>
  <c r="J177" i="12"/>
  <c r="K178" i="11"/>
  <c r="J178" i="11"/>
  <c r="K205" i="10"/>
  <c r="L205" i="10" s="1"/>
  <c r="J205" i="10"/>
  <c r="K190" i="9"/>
  <c r="J190" i="9"/>
  <c r="L196" i="8"/>
  <c r="K196" i="8"/>
  <c r="J196" i="8"/>
  <c r="F210" i="18" l="1"/>
  <c r="F192" i="17" l="1"/>
  <c r="F186" i="16" l="1"/>
  <c r="F184" i="15" l="1"/>
  <c r="F180" i="14" l="1"/>
  <c r="F184" i="13" l="1"/>
  <c r="F177" i="12" l="1"/>
  <c r="F178" i="11" l="1"/>
  <c r="L178" i="11" s="1"/>
  <c r="F205" i="10" l="1"/>
  <c r="F190" i="9" l="1"/>
  <c r="L190" i="9" s="1"/>
  <c r="K204" i="8"/>
  <c r="J204" i="8"/>
  <c r="F204" i="8"/>
  <c r="L204" i="8" s="1"/>
  <c r="J196" i="18" l="1"/>
  <c r="K196" i="18"/>
  <c r="J177" i="18"/>
  <c r="K177" i="18"/>
  <c r="J176" i="18"/>
  <c r="K176" i="18"/>
  <c r="J175" i="18"/>
  <c r="K175" i="18"/>
  <c r="J174" i="18"/>
  <c r="K174" i="18"/>
  <c r="J173" i="18"/>
  <c r="K173" i="18"/>
  <c r="J172" i="18"/>
  <c r="K172" i="18"/>
  <c r="J171" i="18"/>
  <c r="K171" i="18"/>
  <c r="J170" i="18"/>
  <c r="K170" i="18"/>
  <c r="J169" i="18"/>
  <c r="K169" i="18"/>
  <c r="J168" i="18"/>
  <c r="K168" i="18"/>
  <c r="J167" i="18"/>
  <c r="K167" i="18"/>
  <c r="J166" i="18"/>
  <c r="K166" i="18"/>
  <c r="B199" i="18"/>
  <c r="H197" i="18"/>
  <c r="E197" i="18"/>
  <c r="E199" i="18" s="1"/>
  <c r="D197" i="18"/>
  <c r="H178" i="18"/>
  <c r="E178" i="18"/>
  <c r="D178" i="18"/>
  <c r="F174" i="18"/>
  <c r="L174" i="18" s="1"/>
  <c r="F176" i="18"/>
  <c r="L176" i="18" s="1"/>
  <c r="F175" i="18"/>
  <c r="L175" i="18" s="1"/>
  <c r="F167" i="18"/>
  <c r="F172" i="18"/>
  <c r="L172" i="18" s="1"/>
  <c r="F171" i="18"/>
  <c r="F170" i="18"/>
  <c r="F169" i="18"/>
  <c r="F168" i="18"/>
  <c r="L168" i="18" s="1"/>
  <c r="F196" i="18"/>
  <c r="L196" i="18" s="1"/>
  <c r="F177" i="18"/>
  <c r="F173" i="18"/>
  <c r="F166" i="18"/>
  <c r="L166" i="18" s="1"/>
  <c r="L171" i="18" l="1"/>
  <c r="L173" i="18"/>
  <c r="L169" i="18"/>
  <c r="L167" i="18"/>
  <c r="L177" i="18"/>
  <c r="L170" i="18"/>
  <c r="H199" i="18"/>
  <c r="D199" i="18"/>
  <c r="F196" i="8" l="1"/>
  <c r="K195" i="18" l="1"/>
  <c r="J195" i="18"/>
  <c r="F195" i="18"/>
  <c r="K194" i="18"/>
  <c r="J194" i="18"/>
  <c r="F194" i="18"/>
  <c r="K193" i="18"/>
  <c r="J193" i="18"/>
  <c r="F193" i="18"/>
  <c r="K192" i="18"/>
  <c r="J192" i="18"/>
  <c r="F192" i="18"/>
  <c r="F197" i="18" s="1"/>
  <c r="K191" i="18"/>
  <c r="L191" i="18" s="1"/>
  <c r="J191" i="18"/>
  <c r="K190" i="18"/>
  <c r="L190" i="18" s="1"/>
  <c r="J190" i="18"/>
  <c r="K189" i="18"/>
  <c r="L189" i="18" s="1"/>
  <c r="J189" i="18"/>
  <c r="K188" i="18"/>
  <c r="L188" i="18" s="1"/>
  <c r="J188" i="18"/>
  <c r="K187" i="18"/>
  <c r="L187" i="18" s="1"/>
  <c r="J187" i="18"/>
  <c r="K186" i="18"/>
  <c r="L186" i="18" s="1"/>
  <c r="J186" i="18"/>
  <c r="K185" i="18"/>
  <c r="L185" i="18" s="1"/>
  <c r="J185" i="18"/>
  <c r="K184" i="18"/>
  <c r="L184" i="18" s="1"/>
  <c r="J184" i="18"/>
  <c r="K183" i="18"/>
  <c r="L183" i="18" s="1"/>
  <c r="J183" i="18"/>
  <c r="K182" i="18"/>
  <c r="L182" i="18" s="1"/>
  <c r="J182" i="18"/>
  <c r="K181" i="18"/>
  <c r="J181" i="18"/>
  <c r="K165" i="18"/>
  <c r="J165" i="18"/>
  <c r="F165" i="18"/>
  <c r="K164" i="18"/>
  <c r="J164" i="18"/>
  <c r="F164" i="18"/>
  <c r="K163" i="18"/>
  <c r="J163" i="18"/>
  <c r="F163" i="18"/>
  <c r="K162" i="18"/>
  <c r="J162" i="18"/>
  <c r="F162" i="18"/>
  <c r="K161" i="18"/>
  <c r="J161" i="18"/>
  <c r="F161" i="18"/>
  <c r="K160" i="18"/>
  <c r="L160" i="18" s="1"/>
  <c r="J160" i="18"/>
  <c r="K159" i="18"/>
  <c r="L159" i="18" s="1"/>
  <c r="J159" i="18"/>
  <c r="F159" i="18"/>
  <c r="K158" i="18"/>
  <c r="J158" i="18"/>
  <c r="F158" i="18"/>
  <c r="K157" i="18"/>
  <c r="J157" i="18"/>
  <c r="F157" i="18"/>
  <c r="K156" i="18"/>
  <c r="J156" i="18"/>
  <c r="F156" i="18"/>
  <c r="K155" i="18"/>
  <c r="L155" i="18" s="1"/>
  <c r="J155" i="18"/>
  <c r="F155" i="18"/>
  <c r="K154" i="18"/>
  <c r="J154" i="18"/>
  <c r="F154" i="18"/>
  <c r="K153" i="18"/>
  <c r="J153" i="18"/>
  <c r="F153" i="18"/>
  <c r="K152" i="18"/>
  <c r="J152" i="18"/>
  <c r="F152" i="18"/>
  <c r="K151" i="18"/>
  <c r="L151" i="18" s="1"/>
  <c r="J151" i="18"/>
  <c r="F151" i="18"/>
  <c r="K150" i="18"/>
  <c r="J150" i="18"/>
  <c r="F150" i="18"/>
  <c r="K149" i="18"/>
  <c r="J149" i="18"/>
  <c r="F149" i="18"/>
  <c r="K148" i="18"/>
  <c r="J148" i="18"/>
  <c r="F148" i="18"/>
  <c r="K147" i="18"/>
  <c r="L147" i="18" s="1"/>
  <c r="J147" i="18"/>
  <c r="F147" i="18"/>
  <c r="K146" i="18"/>
  <c r="J146" i="18"/>
  <c r="F146" i="18"/>
  <c r="K145" i="18"/>
  <c r="J145" i="18"/>
  <c r="F145" i="18"/>
  <c r="K144" i="18"/>
  <c r="J144" i="18"/>
  <c r="F144" i="18"/>
  <c r="K143" i="18"/>
  <c r="L143" i="18" s="1"/>
  <c r="J143" i="18"/>
  <c r="F143" i="18"/>
  <c r="K142" i="18"/>
  <c r="J142" i="18"/>
  <c r="F142" i="18"/>
  <c r="K141" i="18"/>
  <c r="J141" i="18"/>
  <c r="F141" i="18"/>
  <c r="K140" i="18"/>
  <c r="J140" i="18"/>
  <c r="F140" i="18"/>
  <c r="K139" i="18"/>
  <c r="L139" i="18" s="1"/>
  <c r="J139" i="18"/>
  <c r="F139" i="18"/>
  <c r="K138" i="18"/>
  <c r="J138" i="18"/>
  <c r="F138" i="18"/>
  <c r="K137" i="18"/>
  <c r="J137" i="18"/>
  <c r="F137" i="18"/>
  <c r="K136" i="18"/>
  <c r="J136" i="18"/>
  <c r="F136" i="18"/>
  <c r="K135" i="18"/>
  <c r="L135" i="18" s="1"/>
  <c r="J135" i="18"/>
  <c r="F135" i="18"/>
  <c r="K134" i="18"/>
  <c r="J134" i="18"/>
  <c r="F134" i="18"/>
  <c r="K133" i="18"/>
  <c r="J133" i="18"/>
  <c r="F133" i="18"/>
  <c r="K132" i="18"/>
  <c r="J132" i="18"/>
  <c r="F132" i="18"/>
  <c r="K131" i="18"/>
  <c r="L131" i="18" s="1"/>
  <c r="J131" i="18"/>
  <c r="F131" i="18"/>
  <c r="K130" i="18"/>
  <c r="J130" i="18"/>
  <c r="F130" i="18"/>
  <c r="K129" i="18"/>
  <c r="J129" i="18"/>
  <c r="F129" i="18"/>
  <c r="L129" i="18" s="1"/>
  <c r="K128" i="18"/>
  <c r="J128" i="18"/>
  <c r="F128" i="18"/>
  <c r="K127" i="18"/>
  <c r="L127" i="18" s="1"/>
  <c r="J127" i="18"/>
  <c r="F127" i="18"/>
  <c r="K126" i="18"/>
  <c r="J126" i="18"/>
  <c r="F126" i="18"/>
  <c r="K125" i="18"/>
  <c r="J125" i="18"/>
  <c r="F125" i="18"/>
  <c r="K124" i="18"/>
  <c r="J124" i="18"/>
  <c r="F124" i="18"/>
  <c r="K123" i="18"/>
  <c r="L123" i="18" s="1"/>
  <c r="J123" i="18"/>
  <c r="F123" i="18"/>
  <c r="K122" i="18"/>
  <c r="J122" i="18"/>
  <c r="F122" i="18"/>
  <c r="K121" i="18"/>
  <c r="J121" i="18"/>
  <c r="F121" i="18"/>
  <c r="K120" i="18"/>
  <c r="J120" i="18"/>
  <c r="F120" i="18"/>
  <c r="K119" i="18"/>
  <c r="L119" i="18" s="1"/>
  <c r="J119" i="18"/>
  <c r="F119" i="18"/>
  <c r="K118" i="18"/>
  <c r="J118" i="18"/>
  <c r="F118" i="18"/>
  <c r="K117" i="18"/>
  <c r="J117" i="18"/>
  <c r="F117" i="18"/>
  <c r="K116" i="18"/>
  <c r="J116" i="18"/>
  <c r="F116" i="18"/>
  <c r="K115" i="18"/>
  <c r="J115" i="18"/>
  <c r="F115" i="18"/>
  <c r="K114" i="18"/>
  <c r="J114" i="18"/>
  <c r="F114" i="18"/>
  <c r="K113" i="18"/>
  <c r="J113" i="18"/>
  <c r="F113" i="18"/>
  <c r="K112" i="18"/>
  <c r="J112" i="18"/>
  <c r="F112" i="18"/>
  <c r="K111" i="18"/>
  <c r="J111" i="18"/>
  <c r="F111" i="18"/>
  <c r="K110" i="18"/>
  <c r="J110" i="18"/>
  <c r="F110" i="18"/>
  <c r="K109" i="18"/>
  <c r="J109" i="18"/>
  <c r="F109" i="18"/>
  <c r="K108" i="18"/>
  <c r="J108" i="18"/>
  <c r="F108" i="18"/>
  <c r="K107" i="18"/>
  <c r="J107" i="18"/>
  <c r="F107" i="18"/>
  <c r="K106" i="18"/>
  <c r="J106" i="18"/>
  <c r="F106" i="18"/>
  <c r="K105" i="18"/>
  <c r="J105" i="18"/>
  <c r="F105" i="18"/>
  <c r="K104" i="18"/>
  <c r="J104" i="18"/>
  <c r="F104" i="18"/>
  <c r="K103" i="18"/>
  <c r="J103" i="18"/>
  <c r="F103" i="18"/>
  <c r="K102" i="18"/>
  <c r="J102" i="18"/>
  <c r="F102" i="18"/>
  <c r="K101" i="18"/>
  <c r="J101" i="18"/>
  <c r="F101" i="18"/>
  <c r="K100" i="18"/>
  <c r="J100" i="18"/>
  <c r="F100" i="18"/>
  <c r="K99" i="18"/>
  <c r="J99" i="18"/>
  <c r="F99" i="18"/>
  <c r="K98" i="18"/>
  <c r="J98" i="18"/>
  <c r="F98" i="18"/>
  <c r="K97" i="18"/>
  <c r="J97" i="18"/>
  <c r="F97" i="18"/>
  <c r="K96" i="18"/>
  <c r="J96" i="18"/>
  <c r="F96" i="18"/>
  <c r="K95" i="18"/>
  <c r="J95" i="18"/>
  <c r="F95" i="18"/>
  <c r="K94" i="18"/>
  <c r="J94" i="18"/>
  <c r="F94" i="18"/>
  <c r="K93" i="18"/>
  <c r="J93" i="18"/>
  <c r="F93" i="18"/>
  <c r="K92" i="18"/>
  <c r="J92" i="18"/>
  <c r="F92" i="18"/>
  <c r="K91" i="18"/>
  <c r="J91" i="18"/>
  <c r="F91" i="18"/>
  <c r="K90" i="18"/>
  <c r="J90" i="18"/>
  <c r="F90" i="18"/>
  <c r="K89" i="18"/>
  <c r="J89" i="18"/>
  <c r="F89" i="18"/>
  <c r="K88" i="18"/>
  <c r="J88" i="18"/>
  <c r="F88" i="18"/>
  <c r="K87" i="18"/>
  <c r="J87" i="18"/>
  <c r="F87" i="18"/>
  <c r="K86" i="18"/>
  <c r="J86" i="18"/>
  <c r="F86" i="18"/>
  <c r="K85" i="18"/>
  <c r="J85" i="18"/>
  <c r="F85" i="18"/>
  <c r="K84" i="18"/>
  <c r="J84" i="18"/>
  <c r="F84" i="18"/>
  <c r="K83" i="18"/>
  <c r="J83" i="18"/>
  <c r="F83" i="18"/>
  <c r="K82" i="18"/>
  <c r="J82" i="18"/>
  <c r="F82" i="18"/>
  <c r="K81" i="18"/>
  <c r="J81" i="18"/>
  <c r="F81" i="18"/>
  <c r="K80" i="18"/>
  <c r="J80" i="18"/>
  <c r="F80" i="18"/>
  <c r="K79" i="18"/>
  <c r="J79" i="18"/>
  <c r="F79" i="18"/>
  <c r="K78" i="18"/>
  <c r="J78" i="18"/>
  <c r="F78" i="18"/>
  <c r="K77" i="18"/>
  <c r="J77" i="18"/>
  <c r="F77" i="18"/>
  <c r="K76" i="18"/>
  <c r="J76" i="18"/>
  <c r="F76" i="18"/>
  <c r="K75" i="18"/>
  <c r="J75" i="18"/>
  <c r="F75" i="18"/>
  <c r="K74" i="18"/>
  <c r="J74" i="18"/>
  <c r="F74" i="18"/>
  <c r="K73" i="18"/>
  <c r="J73" i="18"/>
  <c r="F73" i="18"/>
  <c r="K72" i="18"/>
  <c r="J72" i="18"/>
  <c r="F72" i="18"/>
  <c r="K71" i="18"/>
  <c r="J71" i="18"/>
  <c r="F71" i="18"/>
  <c r="K70" i="18"/>
  <c r="J70" i="18"/>
  <c r="F70" i="18"/>
  <c r="K69" i="18"/>
  <c r="J69" i="18"/>
  <c r="F69" i="18"/>
  <c r="K68" i="18"/>
  <c r="J68" i="18"/>
  <c r="F68" i="18"/>
  <c r="K67" i="18"/>
  <c r="J67" i="18"/>
  <c r="F67" i="18"/>
  <c r="K66" i="18"/>
  <c r="J66" i="18"/>
  <c r="F66" i="18"/>
  <c r="K65" i="18"/>
  <c r="J65" i="18"/>
  <c r="F65" i="18"/>
  <c r="K64" i="18"/>
  <c r="J64" i="18"/>
  <c r="F64" i="18"/>
  <c r="K63" i="18"/>
  <c r="L63" i="18" s="1"/>
  <c r="J63" i="18"/>
  <c r="K62" i="18"/>
  <c r="J62" i="18"/>
  <c r="F62" i="18"/>
  <c r="K61" i="18"/>
  <c r="J61" i="18"/>
  <c r="F61" i="18"/>
  <c r="K60" i="18"/>
  <c r="J60" i="18"/>
  <c r="F60" i="18"/>
  <c r="K59" i="18"/>
  <c r="J59" i="18"/>
  <c r="F59" i="18"/>
  <c r="K58" i="18"/>
  <c r="J58" i="18"/>
  <c r="F58" i="18"/>
  <c r="K57" i="18"/>
  <c r="J57" i="18"/>
  <c r="F57" i="18"/>
  <c r="K56" i="18"/>
  <c r="J56" i="18"/>
  <c r="F56" i="18"/>
  <c r="K55" i="18"/>
  <c r="J55" i="18"/>
  <c r="F55" i="18"/>
  <c r="K54" i="18"/>
  <c r="J54" i="18"/>
  <c r="F54" i="18"/>
  <c r="K53" i="18"/>
  <c r="J53" i="18"/>
  <c r="F53" i="18"/>
  <c r="K52" i="18"/>
  <c r="J52" i="18"/>
  <c r="F52" i="18"/>
  <c r="K51" i="18"/>
  <c r="J51" i="18"/>
  <c r="F51" i="18"/>
  <c r="K50" i="18"/>
  <c r="J50" i="18"/>
  <c r="F50" i="18"/>
  <c r="K49" i="18"/>
  <c r="J49" i="18"/>
  <c r="F49" i="18"/>
  <c r="K48" i="18"/>
  <c r="J48" i="18"/>
  <c r="F48" i="18"/>
  <c r="K47" i="18"/>
  <c r="J47" i="18"/>
  <c r="F47" i="18"/>
  <c r="K46" i="18"/>
  <c r="J46" i="18"/>
  <c r="F46" i="18"/>
  <c r="K45" i="18"/>
  <c r="J45" i="18"/>
  <c r="F45" i="18"/>
  <c r="K44" i="18"/>
  <c r="J44" i="18"/>
  <c r="F44" i="18"/>
  <c r="K43" i="18"/>
  <c r="J43" i="18"/>
  <c r="F43" i="18"/>
  <c r="K42" i="18"/>
  <c r="J42" i="18"/>
  <c r="F42" i="18"/>
  <c r="K41" i="18"/>
  <c r="J41" i="18"/>
  <c r="F41" i="18"/>
  <c r="K40" i="18"/>
  <c r="J40" i="18"/>
  <c r="F40" i="18"/>
  <c r="K39" i="18"/>
  <c r="J39" i="18"/>
  <c r="F39" i="18"/>
  <c r="K38" i="18"/>
  <c r="J38" i="18"/>
  <c r="F38" i="18"/>
  <c r="K37" i="18"/>
  <c r="J37" i="18"/>
  <c r="F37" i="18"/>
  <c r="K36" i="18"/>
  <c r="J36" i="18"/>
  <c r="F36" i="18"/>
  <c r="K35" i="18"/>
  <c r="J35" i="18"/>
  <c r="F35" i="18"/>
  <c r="K34" i="18"/>
  <c r="J34" i="18"/>
  <c r="F34" i="18"/>
  <c r="K33" i="18"/>
  <c r="J33" i="18"/>
  <c r="F33" i="18"/>
  <c r="K32" i="18"/>
  <c r="J32" i="18"/>
  <c r="F32" i="18"/>
  <c r="K31" i="18"/>
  <c r="J31" i="18"/>
  <c r="F31" i="18"/>
  <c r="K30" i="18"/>
  <c r="J30" i="18"/>
  <c r="F30" i="18"/>
  <c r="K29" i="18"/>
  <c r="J29" i="18"/>
  <c r="F29" i="18"/>
  <c r="K28" i="18"/>
  <c r="J28" i="18"/>
  <c r="F28" i="18"/>
  <c r="K27" i="18"/>
  <c r="J27" i="18"/>
  <c r="F27" i="18"/>
  <c r="K26" i="18"/>
  <c r="J26" i="18"/>
  <c r="F26" i="18"/>
  <c r="K25" i="18"/>
  <c r="J25" i="18"/>
  <c r="F25" i="18"/>
  <c r="K24" i="18"/>
  <c r="J24" i="18"/>
  <c r="F24" i="18"/>
  <c r="K23" i="18"/>
  <c r="J23" i="18"/>
  <c r="F23" i="18"/>
  <c r="K22" i="18"/>
  <c r="J22" i="18"/>
  <c r="F22" i="18"/>
  <c r="K21" i="18"/>
  <c r="J21" i="18"/>
  <c r="F21" i="18"/>
  <c r="K20" i="18"/>
  <c r="J20" i="18"/>
  <c r="F20" i="18"/>
  <c r="K19" i="18"/>
  <c r="J19" i="18"/>
  <c r="F19" i="18"/>
  <c r="K18" i="18"/>
  <c r="J18" i="18"/>
  <c r="F18" i="18"/>
  <c r="K17" i="18"/>
  <c r="J17" i="18"/>
  <c r="F17" i="18"/>
  <c r="K16" i="18"/>
  <c r="J16" i="18"/>
  <c r="F16" i="18"/>
  <c r="K15" i="18"/>
  <c r="J15" i="18"/>
  <c r="F15" i="18"/>
  <c r="K14" i="18"/>
  <c r="J14" i="18"/>
  <c r="F14" i="18"/>
  <c r="K13" i="18"/>
  <c r="J13" i="18"/>
  <c r="F13" i="18"/>
  <c r="K12" i="18"/>
  <c r="J12" i="18"/>
  <c r="F12" i="18"/>
  <c r="K11" i="18"/>
  <c r="J11" i="18"/>
  <c r="F11" i="18"/>
  <c r="K10" i="18"/>
  <c r="J10" i="18"/>
  <c r="F10" i="18"/>
  <c r="K9" i="18"/>
  <c r="J9" i="18"/>
  <c r="F9" i="18"/>
  <c r="K8" i="18"/>
  <c r="J8" i="18"/>
  <c r="F8" i="18"/>
  <c r="K7" i="18"/>
  <c r="J7" i="18"/>
  <c r="F7" i="18"/>
  <c r="K6" i="18"/>
  <c r="J6" i="18"/>
  <c r="F6" i="18"/>
  <c r="J165" i="17"/>
  <c r="K165" i="17"/>
  <c r="L165" i="17"/>
  <c r="J164" i="17"/>
  <c r="K164" i="17"/>
  <c r="L164" i="17"/>
  <c r="H184" i="17"/>
  <c r="H186" i="17" s="1"/>
  <c r="E184" i="17"/>
  <c r="E186" i="17" s="1"/>
  <c r="D184" i="17"/>
  <c r="D186" i="17" s="1"/>
  <c r="K183" i="17"/>
  <c r="J183" i="17"/>
  <c r="J182" i="17"/>
  <c r="K182" i="17"/>
  <c r="J181" i="17"/>
  <c r="K181" i="17"/>
  <c r="K180" i="17"/>
  <c r="J180" i="17"/>
  <c r="F180" i="17"/>
  <c r="K179" i="17"/>
  <c r="L179" i="17" s="1"/>
  <c r="J179" i="17"/>
  <c r="K178" i="17"/>
  <c r="L178" i="17" s="1"/>
  <c r="J178" i="17"/>
  <c r="K177" i="17"/>
  <c r="L177" i="17" s="1"/>
  <c r="J177" i="17"/>
  <c r="K176" i="17"/>
  <c r="L176" i="17" s="1"/>
  <c r="J176" i="17"/>
  <c r="K175" i="17"/>
  <c r="L175" i="17" s="1"/>
  <c r="J175" i="17"/>
  <c r="K174" i="17"/>
  <c r="L174" i="17" s="1"/>
  <c r="J174" i="17"/>
  <c r="K173" i="17"/>
  <c r="L173" i="17" s="1"/>
  <c r="J173" i="17"/>
  <c r="K172" i="17"/>
  <c r="L172" i="17" s="1"/>
  <c r="J172" i="17"/>
  <c r="K171" i="17"/>
  <c r="L171" i="17" s="1"/>
  <c r="J171" i="17"/>
  <c r="L170" i="17"/>
  <c r="K170" i="17"/>
  <c r="J170" i="17"/>
  <c r="K169" i="17"/>
  <c r="L169" i="17" s="1"/>
  <c r="J169" i="17"/>
  <c r="H166" i="17"/>
  <c r="E166" i="17"/>
  <c r="D166" i="17"/>
  <c r="F178" i="18" l="1"/>
  <c r="F199" i="18"/>
  <c r="L132" i="18"/>
  <c r="L136" i="18"/>
  <c r="L140" i="18"/>
  <c r="L144" i="18"/>
  <c r="L148" i="18"/>
  <c r="L152" i="18"/>
  <c r="L156" i="18"/>
  <c r="K197" i="18"/>
  <c r="L181" i="18"/>
  <c r="L113" i="18"/>
  <c r="K178" i="18"/>
  <c r="L195" i="18"/>
  <c r="L194" i="18"/>
  <c r="L193" i="18"/>
  <c r="L192" i="18"/>
  <c r="L114" i="18"/>
  <c r="L118" i="18"/>
  <c r="L122" i="18"/>
  <c r="L126" i="18"/>
  <c r="L65" i="18"/>
  <c r="L69" i="18"/>
  <c r="L73" i="18"/>
  <c r="L77" i="18"/>
  <c r="L81" i="18"/>
  <c r="L85" i="18"/>
  <c r="L89" i="18"/>
  <c r="L93" i="18"/>
  <c r="L97" i="18"/>
  <c r="L101" i="18"/>
  <c r="L105" i="18"/>
  <c r="L109" i="18"/>
  <c r="L9" i="18"/>
  <c r="L13" i="18"/>
  <c r="L17" i="18"/>
  <c r="L21" i="18"/>
  <c r="L25" i="18"/>
  <c r="L29" i="18"/>
  <c r="L33" i="18"/>
  <c r="L37" i="18"/>
  <c r="L41" i="18"/>
  <c r="L45" i="18"/>
  <c r="L49" i="18"/>
  <c r="L53" i="18"/>
  <c r="L57" i="18"/>
  <c r="L61" i="18"/>
  <c r="L64" i="18"/>
  <c r="L68" i="18"/>
  <c r="L72" i="18"/>
  <c r="L76" i="18"/>
  <c r="L80" i="18"/>
  <c r="L84" i="18"/>
  <c r="L88" i="18"/>
  <c r="L92" i="18"/>
  <c r="L96" i="18"/>
  <c r="L100" i="18"/>
  <c r="L104" i="18"/>
  <c r="L108" i="18"/>
  <c r="L112" i="18"/>
  <c r="L117" i="18"/>
  <c r="L121" i="18"/>
  <c r="L125" i="18"/>
  <c r="L130" i="18"/>
  <c r="L134" i="18"/>
  <c r="L138" i="18"/>
  <c r="L142" i="18"/>
  <c r="L146" i="18"/>
  <c r="L150" i="18"/>
  <c r="L154" i="18"/>
  <c r="L158" i="18"/>
  <c r="L120" i="18"/>
  <c r="L124" i="18"/>
  <c r="L128" i="18"/>
  <c r="L133" i="18"/>
  <c r="L137" i="18"/>
  <c r="L141" i="18"/>
  <c r="L145" i="18"/>
  <c r="L149" i="18"/>
  <c r="L153" i="18"/>
  <c r="L157" i="18"/>
  <c r="L8" i="18"/>
  <c r="L12" i="18"/>
  <c r="L16" i="18"/>
  <c r="L20" i="18"/>
  <c r="L24" i="18"/>
  <c r="L28" i="18"/>
  <c r="L32" i="18"/>
  <c r="L36" i="18"/>
  <c r="L40" i="18"/>
  <c r="L44" i="18"/>
  <c r="L48" i="18"/>
  <c r="L52" i="18"/>
  <c r="L56" i="18"/>
  <c r="L60" i="18"/>
  <c r="L67" i="18"/>
  <c r="L71" i="18"/>
  <c r="L75" i="18"/>
  <c r="L79" i="18"/>
  <c r="L83" i="18"/>
  <c r="L87" i="18"/>
  <c r="L91" i="18"/>
  <c r="L95" i="18"/>
  <c r="L99" i="18"/>
  <c r="L103" i="18"/>
  <c r="L107" i="18"/>
  <c r="L111" i="18"/>
  <c r="L116" i="18"/>
  <c r="L163" i="18"/>
  <c r="L66" i="18"/>
  <c r="L70" i="18"/>
  <c r="L74" i="18"/>
  <c r="L78" i="18"/>
  <c r="L82" i="18"/>
  <c r="L86" i="18"/>
  <c r="L90" i="18"/>
  <c r="L94" i="18"/>
  <c r="L98" i="18"/>
  <c r="L102" i="18"/>
  <c r="L106" i="18"/>
  <c r="L110" i="18"/>
  <c r="L115" i="18"/>
  <c r="L162" i="18"/>
  <c r="L7" i="18"/>
  <c r="L11" i="18"/>
  <c r="L15" i="18"/>
  <c r="L19" i="18"/>
  <c r="L23" i="18"/>
  <c r="L27" i="18"/>
  <c r="L31" i="18"/>
  <c r="L35" i="18"/>
  <c r="L39" i="18"/>
  <c r="L43" i="18"/>
  <c r="L47" i="18"/>
  <c r="L51" i="18"/>
  <c r="L55" i="18"/>
  <c r="L59" i="18"/>
  <c r="L161" i="18"/>
  <c r="L165" i="18"/>
  <c r="L6" i="18"/>
  <c r="L10" i="18"/>
  <c r="L14" i="18"/>
  <c r="L18" i="18"/>
  <c r="L22" i="18"/>
  <c r="L26" i="18"/>
  <c r="L30" i="18"/>
  <c r="L34" i="18"/>
  <c r="L38" i="18"/>
  <c r="L42" i="18"/>
  <c r="L46" i="18"/>
  <c r="L50" i="18"/>
  <c r="L54" i="18"/>
  <c r="L58" i="18"/>
  <c r="L62" i="18"/>
  <c r="L164" i="18"/>
  <c r="L180" i="17"/>
  <c r="K184" i="17"/>
  <c r="L197" i="18" l="1"/>
  <c r="K199" i="18"/>
  <c r="L178" i="18"/>
  <c r="L199" i="18" s="1"/>
  <c r="B181" i="16"/>
  <c r="H179" i="16"/>
  <c r="E179" i="16"/>
  <c r="E181" i="16" s="1"/>
  <c r="D179" i="16"/>
  <c r="D181" i="16" s="1"/>
  <c r="K178" i="16"/>
  <c r="J178" i="16"/>
  <c r="F178" i="16"/>
  <c r="L178" i="16" s="1"/>
  <c r="K177" i="16"/>
  <c r="L177" i="16" s="1"/>
  <c r="J177" i="16"/>
  <c r="K176" i="16"/>
  <c r="L176" i="16" s="1"/>
  <c r="J176" i="16"/>
  <c r="K175" i="16"/>
  <c r="L175" i="16" s="1"/>
  <c r="J175" i="16"/>
  <c r="K174" i="16"/>
  <c r="L174" i="16" s="1"/>
  <c r="J174" i="16"/>
  <c r="K173" i="16"/>
  <c r="L173" i="16" s="1"/>
  <c r="J173" i="16"/>
  <c r="K172" i="16"/>
  <c r="L172" i="16" s="1"/>
  <c r="J172" i="16"/>
  <c r="K171" i="16"/>
  <c r="L171" i="16" s="1"/>
  <c r="J171" i="16"/>
  <c r="K170" i="16"/>
  <c r="L170" i="16" s="1"/>
  <c r="J170" i="16"/>
  <c r="K169" i="16"/>
  <c r="L169" i="16" s="1"/>
  <c r="J169" i="16"/>
  <c r="L168" i="16"/>
  <c r="K168" i="16"/>
  <c r="J168" i="16"/>
  <c r="K167" i="16"/>
  <c r="L167" i="16" s="1"/>
  <c r="L179" i="16" s="1"/>
  <c r="J167" i="16"/>
  <c r="H164" i="16"/>
  <c r="H181" i="16" s="1"/>
  <c r="E164" i="16"/>
  <c r="D164" i="16"/>
  <c r="B179" i="15"/>
  <c r="H176" i="15"/>
  <c r="H179" i="15" s="1"/>
  <c r="E176" i="15"/>
  <c r="D176" i="15"/>
  <c r="K175" i="15"/>
  <c r="J175" i="15"/>
  <c r="F175" i="15"/>
  <c r="K174" i="15"/>
  <c r="L174" i="15" s="1"/>
  <c r="J174" i="15"/>
  <c r="K173" i="15"/>
  <c r="L173" i="15" s="1"/>
  <c r="J173" i="15"/>
  <c r="K172" i="15"/>
  <c r="L172" i="15" s="1"/>
  <c r="J172" i="15"/>
  <c r="K171" i="15"/>
  <c r="L171" i="15" s="1"/>
  <c r="J171" i="15"/>
  <c r="K170" i="15"/>
  <c r="L170" i="15" s="1"/>
  <c r="J170" i="15"/>
  <c r="K169" i="15"/>
  <c r="L169" i="15" s="1"/>
  <c r="J169" i="15"/>
  <c r="K168" i="15"/>
  <c r="L168" i="15" s="1"/>
  <c r="J168" i="15"/>
  <c r="L167" i="15"/>
  <c r="K167" i="15"/>
  <c r="J167" i="15"/>
  <c r="K166" i="15"/>
  <c r="L166" i="15" s="1"/>
  <c r="J166" i="15"/>
  <c r="K165" i="15"/>
  <c r="L165" i="15" s="1"/>
  <c r="J165" i="15"/>
  <c r="K164" i="15"/>
  <c r="L164" i="15" s="1"/>
  <c r="J164" i="15"/>
  <c r="H161" i="15"/>
  <c r="E161" i="15"/>
  <c r="D161" i="15"/>
  <c r="D175" i="14"/>
  <c r="J172" i="14"/>
  <c r="K172" i="14"/>
  <c r="H173" i="14"/>
  <c r="H175" i="14" s="1"/>
  <c r="E173" i="14"/>
  <c r="E175" i="14" s="1"/>
  <c r="D173" i="14"/>
  <c r="B175" i="14"/>
  <c r="L171" i="14"/>
  <c r="K171" i="14"/>
  <c r="J171" i="14"/>
  <c r="K170" i="14"/>
  <c r="L170" i="14" s="1"/>
  <c r="J170" i="14"/>
  <c r="K169" i="14"/>
  <c r="L169" i="14" s="1"/>
  <c r="J169" i="14"/>
  <c r="K168" i="14"/>
  <c r="L168" i="14" s="1"/>
  <c r="J168" i="14"/>
  <c r="K167" i="14"/>
  <c r="L167" i="14" s="1"/>
  <c r="J167" i="14"/>
  <c r="K166" i="14"/>
  <c r="L166" i="14" s="1"/>
  <c r="J166" i="14"/>
  <c r="K165" i="14"/>
  <c r="L165" i="14" s="1"/>
  <c r="J165" i="14"/>
  <c r="K164" i="14"/>
  <c r="L164" i="14" s="1"/>
  <c r="J164" i="14"/>
  <c r="K163" i="14"/>
  <c r="L163" i="14" s="1"/>
  <c r="J163" i="14"/>
  <c r="K162" i="14"/>
  <c r="L162" i="14" s="1"/>
  <c r="J162" i="14"/>
  <c r="K161" i="14"/>
  <c r="L161" i="14" s="1"/>
  <c r="J161" i="14"/>
  <c r="H158" i="14"/>
  <c r="E158" i="14"/>
  <c r="D158" i="14"/>
  <c r="H178" i="13"/>
  <c r="F178" i="13"/>
  <c r="E178" i="13"/>
  <c r="D178" i="13"/>
  <c r="L162" i="13"/>
  <c r="K162" i="13"/>
  <c r="H162" i="13"/>
  <c r="F162" i="13"/>
  <c r="E162" i="13"/>
  <c r="D162" i="13"/>
  <c r="H176" i="13"/>
  <c r="F176" i="13"/>
  <c r="E176" i="13"/>
  <c r="D176" i="13"/>
  <c r="K175" i="13"/>
  <c r="L175" i="13" s="1"/>
  <c r="J175" i="13"/>
  <c r="L174" i="13"/>
  <c r="K174" i="13"/>
  <c r="J174" i="13"/>
  <c r="K173" i="13"/>
  <c r="L173" i="13" s="1"/>
  <c r="J173" i="13"/>
  <c r="K172" i="13"/>
  <c r="L172" i="13" s="1"/>
  <c r="J172" i="13"/>
  <c r="K171" i="13"/>
  <c r="L171" i="13" s="1"/>
  <c r="J171" i="13"/>
  <c r="L170" i="13"/>
  <c r="K170" i="13"/>
  <c r="J170" i="13"/>
  <c r="K169" i="13"/>
  <c r="L169" i="13" s="1"/>
  <c r="J169" i="13"/>
  <c r="K168" i="13"/>
  <c r="L168" i="13" s="1"/>
  <c r="J168" i="13"/>
  <c r="K167" i="13"/>
  <c r="L167" i="13" s="1"/>
  <c r="J167" i="13"/>
  <c r="K166" i="13"/>
  <c r="L166" i="13" s="1"/>
  <c r="J166" i="13"/>
  <c r="K165" i="13"/>
  <c r="L165" i="13" s="1"/>
  <c r="J165" i="13"/>
  <c r="H170" i="12"/>
  <c r="H172" i="12" s="1"/>
  <c r="F170" i="12"/>
  <c r="E170" i="12"/>
  <c r="E172" i="12" s="1"/>
  <c r="D170" i="12"/>
  <c r="D172" i="12" s="1"/>
  <c r="H156" i="12"/>
  <c r="E156" i="12"/>
  <c r="D156" i="12"/>
  <c r="B172" i="12"/>
  <c r="K169" i="12"/>
  <c r="L169" i="12" s="1"/>
  <c r="J169" i="12"/>
  <c r="K168" i="12"/>
  <c r="L168" i="12" s="1"/>
  <c r="J168" i="12"/>
  <c r="K167" i="12"/>
  <c r="L167" i="12" s="1"/>
  <c r="J167" i="12"/>
  <c r="K166" i="12"/>
  <c r="L166" i="12" s="1"/>
  <c r="J166" i="12"/>
  <c r="K165" i="12"/>
  <c r="L165" i="12" s="1"/>
  <c r="J165" i="12"/>
  <c r="K164" i="12"/>
  <c r="L164" i="12" s="1"/>
  <c r="J164" i="12"/>
  <c r="K163" i="12"/>
  <c r="L163" i="12" s="1"/>
  <c r="J163" i="12"/>
  <c r="K182" i="12"/>
  <c r="L182" i="12" s="1"/>
  <c r="J182" i="12"/>
  <c r="K162" i="12"/>
  <c r="L162" i="12" s="1"/>
  <c r="J162" i="12"/>
  <c r="K161" i="12"/>
  <c r="L161" i="12" s="1"/>
  <c r="J161" i="12"/>
  <c r="K160" i="12"/>
  <c r="L160" i="12" s="1"/>
  <c r="J160" i="12"/>
  <c r="K159" i="12"/>
  <c r="L159" i="12" s="1"/>
  <c r="J159" i="12"/>
  <c r="H171" i="11"/>
  <c r="F171" i="11"/>
  <c r="E171" i="11"/>
  <c r="D171" i="11"/>
  <c r="B173" i="11"/>
  <c r="H156" i="11"/>
  <c r="H173" i="11" s="1"/>
  <c r="E156" i="11"/>
  <c r="D156" i="11"/>
  <c r="H227" i="11"/>
  <c r="J183" i="9"/>
  <c r="J182" i="9"/>
  <c r="J181" i="9"/>
  <c r="J180" i="9"/>
  <c r="J179" i="9"/>
  <c r="J178" i="9"/>
  <c r="J177" i="9"/>
  <c r="J176" i="9"/>
  <c r="J175" i="9"/>
  <c r="J174" i="9"/>
  <c r="J173" i="9"/>
  <c r="J172" i="9"/>
  <c r="J171" i="9"/>
  <c r="J170" i="9"/>
  <c r="J169" i="9"/>
  <c r="J168" i="9"/>
  <c r="K179" i="16" l="1"/>
  <c r="F179" i="16"/>
  <c r="D179" i="15"/>
  <c r="E179" i="15"/>
  <c r="L175" i="15"/>
  <c r="F176" i="15"/>
  <c r="D173" i="11"/>
  <c r="E173" i="11"/>
  <c r="L176" i="15"/>
  <c r="K176" i="15"/>
  <c r="K173" i="14"/>
  <c r="L176" i="13"/>
  <c r="L178" i="13" s="1"/>
  <c r="K176" i="13"/>
  <c r="K178" i="13" s="1"/>
  <c r="L170" i="12"/>
  <c r="K170" i="12"/>
  <c r="K193" i="11"/>
  <c r="L193" i="11" s="1"/>
  <c r="J193" i="11"/>
  <c r="K170" i="11"/>
  <c r="L170" i="11" s="1"/>
  <c r="K169" i="11"/>
  <c r="L169" i="11" s="1"/>
  <c r="K168" i="11"/>
  <c r="L168" i="11" s="1"/>
  <c r="K167" i="11"/>
  <c r="L167" i="11" s="1"/>
  <c r="K166" i="11"/>
  <c r="L166" i="11" s="1"/>
  <c r="K165" i="11"/>
  <c r="L165" i="11" s="1"/>
  <c r="K164" i="11"/>
  <c r="L164" i="11" s="1"/>
  <c r="K163" i="11"/>
  <c r="L163" i="11" s="1"/>
  <c r="K162" i="11"/>
  <c r="L162" i="11" s="1"/>
  <c r="K161" i="11"/>
  <c r="L161" i="11" s="1"/>
  <c r="K160" i="11"/>
  <c r="L160" i="11" s="1"/>
  <c r="K159" i="11"/>
  <c r="J170" i="11"/>
  <c r="J169" i="11"/>
  <c r="J168" i="11"/>
  <c r="J167" i="11"/>
  <c r="J166" i="11"/>
  <c r="J165" i="11"/>
  <c r="J164" i="11"/>
  <c r="J163" i="11"/>
  <c r="J162" i="11"/>
  <c r="J161" i="11"/>
  <c r="J160" i="11"/>
  <c r="J159" i="11"/>
  <c r="K206" i="11"/>
  <c r="K205" i="11"/>
  <c r="L205" i="11" s="1"/>
  <c r="K204" i="11"/>
  <c r="K203" i="11"/>
  <c r="K202" i="11"/>
  <c r="K201" i="11"/>
  <c r="K200" i="11"/>
  <c r="L200" i="11" s="1"/>
  <c r="K199" i="11"/>
  <c r="L199" i="11" s="1"/>
  <c r="K198" i="11"/>
  <c r="L198" i="11" s="1"/>
  <c r="K197" i="11"/>
  <c r="K196" i="11"/>
  <c r="K195" i="11"/>
  <c r="K194" i="11"/>
  <c r="K192" i="11"/>
  <c r="L192" i="11" s="1"/>
  <c r="K191" i="11"/>
  <c r="L191" i="11" s="1"/>
  <c r="K190" i="11"/>
  <c r="L190" i="11" s="1"/>
  <c r="K189" i="11"/>
  <c r="K188" i="11"/>
  <c r="K187" i="11"/>
  <c r="K186" i="11"/>
  <c r="K185" i="11"/>
  <c r="K184" i="11"/>
  <c r="J206" i="11"/>
  <c r="J205" i="11"/>
  <c r="J204" i="11"/>
  <c r="J203" i="11"/>
  <c r="J202" i="11"/>
  <c r="J201" i="11"/>
  <c r="J200" i="11"/>
  <c r="J199" i="11"/>
  <c r="J198" i="11"/>
  <c r="J197" i="11"/>
  <c r="J196" i="11"/>
  <c r="J195" i="11"/>
  <c r="J194" i="11"/>
  <c r="J192" i="11"/>
  <c r="J191" i="11"/>
  <c r="J190" i="11"/>
  <c r="J189" i="11"/>
  <c r="J188" i="11"/>
  <c r="J187" i="11"/>
  <c r="J186" i="11"/>
  <c r="J185" i="11"/>
  <c r="J184" i="11"/>
  <c r="F199" i="10"/>
  <c r="E199" i="10"/>
  <c r="D199" i="10"/>
  <c r="B199" i="10"/>
  <c r="H197" i="10"/>
  <c r="E197" i="10"/>
  <c r="D197" i="10"/>
  <c r="H171" i="10"/>
  <c r="E171" i="10"/>
  <c r="D171" i="10"/>
  <c r="J196" i="10"/>
  <c r="K196" i="10"/>
  <c r="K195" i="10"/>
  <c r="J195" i="10"/>
  <c r="F195" i="10"/>
  <c r="K194" i="10"/>
  <c r="J194" i="10"/>
  <c r="F194" i="10"/>
  <c r="K193" i="10"/>
  <c r="J193" i="10"/>
  <c r="F193" i="10"/>
  <c r="K192" i="10"/>
  <c r="J192" i="10"/>
  <c r="F192" i="10"/>
  <c r="K191" i="10"/>
  <c r="J191" i="10"/>
  <c r="F191" i="10"/>
  <c r="K190" i="10"/>
  <c r="J190" i="10"/>
  <c r="F190" i="10"/>
  <c r="K189" i="10"/>
  <c r="J189" i="10"/>
  <c r="F189" i="10"/>
  <c r="K188" i="10"/>
  <c r="J188" i="10"/>
  <c r="F188" i="10"/>
  <c r="K187" i="10"/>
  <c r="J187" i="10"/>
  <c r="F187" i="10"/>
  <c r="K186" i="10"/>
  <c r="J186" i="10"/>
  <c r="F186" i="10"/>
  <c r="K185" i="10"/>
  <c r="J185" i="10"/>
  <c r="F185" i="10"/>
  <c r="K184" i="10"/>
  <c r="J184" i="10"/>
  <c r="F184" i="10"/>
  <c r="L184" i="10" s="1"/>
  <c r="K183" i="10"/>
  <c r="J183" i="10"/>
  <c r="F183" i="10"/>
  <c r="K182" i="10"/>
  <c r="J182" i="10"/>
  <c r="F182" i="10"/>
  <c r="K181" i="10"/>
  <c r="J181" i="10"/>
  <c r="F181" i="10"/>
  <c r="K180" i="10"/>
  <c r="J180" i="10"/>
  <c r="F180" i="10"/>
  <c r="L180" i="10" s="1"/>
  <c r="H177" i="10"/>
  <c r="H199" i="10" s="1"/>
  <c r="E177" i="10"/>
  <c r="D177" i="10"/>
  <c r="K176" i="10"/>
  <c r="J176" i="10"/>
  <c r="F176" i="10"/>
  <c r="K175" i="10"/>
  <c r="J175" i="10"/>
  <c r="F175" i="10"/>
  <c r="K174" i="10"/>
  <c r="J174" i="10"/>
  <c r="F174" i="10"/>
  <c r="B186" i="9"/>
  <c r="H184" i="9"/>
  <c r="E184" i="9"/>
  <c r="D184" i="9"/>
  <c r="H159" i="9"/>
  <c r="E159" i="9"/>
  <c r="D159" i="9"/>
  <c r="K183" i="9"/>
  <c r="F183" i="9"/>
  <c r="K182" i="9"/>
  <c r="F182" i="9"/>
  <c r="K181" i="9"/>
  <c r="F181" i="9"/>
  <c r="K180" i="9"/>
  <c r="F180" i="9"/>
  <c r="K179" i="9"/>
  <c r="F179" i="9"/>
  <c r="K178" i="9"/>
  <c r="F178" i="9"/>
  <c r="K177" i="9"/>
  <c r="F177" i="9"/>
  <c r="K176" i="9"/>
  <c r="F176" i="9"/>
  <c r="K175" i="9"/>
  <c r="F175" i="9"/>
  <c r="K174" i="9"/>
  <c r="F174" i="9"/>
  <c r="K173" i="9"/>
  <c r="F173" i="9"/>
  <c r="K172" i="9"/>
  <c r="F172" i="9"/>
  <c r="K171" i="9"/>
  <c r="F171" i="9"/>
  <c r="K170" i="9"/>
  <c r="F170" i="9"/>
  <c r="K169" i="9"/>
  <c r="F169" i="9"/>
  <c r="K168" i="9"/>
  <c r="F168" i="9"/>
  <c r="H165" i="9"/>
  <c r="E165" i="9"/>
  <c r="D165" i="9"/>
  <c r="K164" i="9"/>
  <c r="J164" i="9"/>
  <c r="F164" i="9"/>
  <c r="K163" i="9"/>
  <c r="J163" i="9"/>
  <c r="F163" i="9"/>
  <c r="K162" i="9"/>
  <c r="J162" i="9"/>
  <c r="F162" i="9"/>
  <c r="L170" i="8"/>
  <c r="K170" i="8"/>
  <c r="H170" i="8"/>
  <c r="F170" i="8"/>
  <c r="E170" i="8"/>
  <c r="D170" i="8"/>
  <c r="H163" i="8"/>
  <c r="E163" i="8"/>
  <c r="E192" i="8" s="1"/>
  <c r="H192" i="8"/>
  <c r="D192" i="8"/>
  <c r="B192" i="8"/>
  <c r="H190" i="8"/>
  <c r="E190" i="8"/>
  <c r="D190" i="8"/>
  <c r="K189" i="8"/>
  <c r="J189" i="8"/>
  <c r="F189" i="8"/>
  <c r="K188" i="8"/>
  <c r="J188" i="8"/>
  <c r="F188" i="8"/>
  <c r="K187" i="8"/>
  <c r="J187" i="8"/>
  <c r="F187" i="8"/>
  <c r="K186" i="8"/>
  <c r="J186" i="8"/>
  <c r="F186" i="8"/>
  <c r="K185" i="8"/>
  <c r="J185" i="8"/>
  <c r="F185" i="8"/>
  <c r="K184" i="8"/>
  <c r="J184" i="8"/>
  <c r="F184" i="8"/>
  <c r="K183" i="8"/>
  <c r="J183" i="8"/>
  <c r="F183" i="8"/>
  <c r="K182" i="8"/>
  <c r="J182" i="8"/>
  <c r="F182" i="8"/>
  <c r="K181" i="8"/>
  <c r="J181" i="8"/>
  <c r="F181" i="8"/>
  <c r="K180" i="8"/>
  <c r="J180" i="8"/>
  <c r="F180" i="8"/>
  <c r="K179" i="8"/>
  <c r="J179" i="8"/>
  <c r="F179" i="8"/>
  <c r="K178" i="8"/>
  <c r="J178" i="8"/>
  <c r="F178" i="8"/>
  <c r="K177" i="8"/>
  <c r="J177" i="8"/>
  <c r="F177" i="8"/>
  <c r="K176" i="8"/>
  <c r="J176" i="8"/>
  <c r="F176" i="8"/>
  <c r="F190" i="8" s="1"/>
  <c r="K175" i="8"/>
  <c r="J175" i="8"/>
  <c r="F175" i="8"/>
  <c r="K174" i="8"/>
  <c r="J174" i="8"/>
  <c r="F174" i="8"/>
  <c r="K173" i="8"/>
  <c r="J173" i="8"/>
  <c r="F173" i="8"/>
  <c r="K181" i="7"/>
  <c r="J181" i="7"/>
  <c r="F181" i="7"/>
  <c r="K180" i="7"/>
  <c r="J180" i="7"/>
  <c r="F180" i="7"/>
  <c r="L180" i="7" s="1"/>
  <c r="K179" i="7"/>
  <c r="J179" i="7"/>
  <c r="F179" i="7"/>
  <c r="L179" i="7" s="1"/>
  <c r="K178" i="7"/>
  <c r="J178" i="7"/>
  <c r="F178" i="7"/>
  <c r="K177" i="7"/>
  <c r="J177" i="7"/>
  <c r="F177" i="7"/>
  <c r="K176" i="7"/>
  <c r="J176" i="7"/>
  <c r="F176" i="7"/>
  <c r="L176" i="7" s="1"/>
  <c r="K175" i="7"/>
  <c r="J175" i="7"/>
  <c r="F175" i="7"/>
  <c r="L175" i="7" s="1"/>
  <c r="K174" i="7"/>
  <c r="J174" i="7"/>
  <c r="F174" i="7"/>
  <c r="K173" i="7"/>
  <c r="J173" i="7"/>
  <c r="F173" i="7"/>
  <c r="K172" i="7"/>
  <c r="J172" i="7"/>
  <c r="F172" i="7"/>
  <c r="L172" i="7" s="1"/>
  <c r="K171" i="7"/>
  <c r="J171" i="7"/>
  <c r="F171" i="7"/>
  <c r="L171" i="7" s="1"/>
  <c r="K170" i="7"/>
  <c r="J170" i="7"/>
  <c r="F170" i="7"/>
  <c r="K169" i="7"/>
  <c r="J169" i="7"/>
  <c r="F169" i="7"/>
  <c r="K168" i="7"/>
  <c r="J168" i="7"/>
  <c r="F168" i="7"/>
  <c r="L168" i="7" s="1"/>
  <c r="K167" i="7"/>
  <c r="J167" i="7"/>
  <c r="F167" i="7"/>
  <c r="L167" i="7" s="1"/>
  <c r="K166" i="7"/>
  <c r="J166" i="7"/>
  <c r="F166" i="7"/>
  <c r="K165" i="7"/>
  <c r="J165" i="7"/>
  <c r="F165" i="7"/>
  <c r="K164" i="7"/>
  <c r="J164" i="7"/>
  <c r="F164" i="7"/>
  <c r="L164" i="7" s="1"/>
  <c r="K169" i="8"/>
  <c r="J169" i="8"/>
  <c r="F169" i="8"/>
  <c r="K168" i="8"/>
  <c r="J168" i="8"/>
  <c r="F168" i="8"/>
  <c r="K167" i="8"/>
  <c r="J167" i="8"/>
  <c r="F167" i="8"/>
  <c r="L174" i="8" l="1"/>
  <c r="L186" i="8"/>
  <c r="F184" i="9"/>
  <c r="H186" i="9"/>
  <c r="D186" i="9"/>
  <c r="E186" i="9"/>
  <c r="L159" i="11"/>
  <c r="L171" i="11" s="1"/>
  <c r="K171" i="11"/>
  <c r="L166" i="7"/>
  <c r="L170" i="7"/>
  <c r="L174" i="7"/>
  <c r="L178" i="7"/>
  <c r="L165" i="7"/>
  <c r="L169" i="7"/>
  <c r="L173" i="7"/>
  <c r="L177" i="7"/>
  <c r="L181" i="7"/>
  <c r="K197" i="10"/>
  <c r="F177" i="10"/>
  <c r="L192" i="10"/>
  <c r="L195" i="10"/>
  <c r="L191" i="10"/>
  <c r="L188" i="10"/>
  <c r="L187" i="10"/>
  <c r="L183" i="10"/>
  <c r="L176" i="10"/>
  <c r="L182" i="10"/>
  <c r="L186" i="10"/>
  <c r="L190" i="10"/>
  <c r="L194" i="10"/>
  <c r="L181" i="10"/>
  <c r="L185" i="10"/>
  <c r="L189" i="10"/>
  <c r="L193" i="10"/>
  <c r="K177" i="10"/>
  <c r="L175" i="10"/>
  <c r="L174" i="10"/>
  <c r="K184" i="9"/>
  <c r="L187" i="8"/>
  <c r="L183" i="8"/>
  <c r="L182" i="8"/>
  <c r="L179" i="8"/>
  <c r="L178" i="8"/>
  <c r="L175" i="8"/>
  <c r="K190" i="8"/>
  <c r="L168" i="9"/>
  <c r="L172" i="9"/>
  <c r="L176" i="9"/>
  <c r="L180" i="9"/>
  <c r="L169" i="9"/>
  <c r="L173" i="9"/>
  <c r="L177" i="9"/>
  <c r="L181" i="9"/>
  <c r="F165" i="9"/>
  <c r="L171" i="9"/>
  <c r="L175" i="9"/>
  <c r="L179" i="9"/>
  <c r="L183" i="9"/>
  <c r="L170" i="9"/>
  <c r="L174" i="9"/>
  <c r="L178" i="9"/>
  <c r="L182" i="9"/>
  <c r="L164" i="9"/>
  <c r="K165" i="9"/>
  <c r="L163" i="9"/>
  <c r="L162" i="9"/>
  <c r="L173" i="8"/>
  <c r="L177" i="8"/>
  <c r="L181" i="8"/>
  <c r="L185" i="8"/>
  <c r="L189" i="8"/>
  <c r="L176" i="8"/>
  <c r="L180" i="8"/>
  <c r="L184" i="8"/>
  <c r="L188" i="8"/>
  <c r="L168" i="8"/>
  <c r="L169" i="8"/>
  <c r="L167" i="8"/>
  <c r="B184" i="7"/>
  <c r="K199" i="10" l="1"/>
  <c r="L177" i="10"/>
  <c r="L184" i="9"/>
  <c r="L190" i="8"/>
  <c r="L165" i="9"/>
  <c r="K158" i="7"/>
  <c r="J158" i="7"/>
  <c r="D163" i="8"/>
  <c r="B186" i="17"/>
  <c r="F165" i="17"/>
  <c r="F164" i="17"/>
  <c r="F183" i="17"/>
  <c r="L183" i="17" s="1"/>
  <c r="F182" i="17"/>
  <c r="L182" i="17" s="1"/>
  <c r="F181" i="17"/>
  <c r="K163" i="17"/>
  <c r="J163" i="17"/>
  <c r="F163" i="17"/>
  <c r="K162" i="17"/>
  <c r="J162" i="17"/>
  <c r="F162" i="17"/>
  <c r="K161" i="17"/>
  <c r="J161" i="17"/>
  <c r="F161" i="17"/>
  <c r="K160" i="17"/>
  <c r="L160" i="17" s="1"/>
  <c r="J160" i="17"/>
  <c r="K159" i="17"/>
  <c r="J159" i="17"/>
  <c r="F159" i="17"/>
  <c r="L159" i="17" s="1"/>
  <c r="K158" i="17"/>
  <c r="J158" i="17"/>
  <c r="F158" i="17"/>
  <c r="K157" i="17"/>
  <c r="J157" i="17"/>
  <c r="F157" i="17"/>
  <c r="L157" i="17" s="1"/>
  <c r="K156" i="17"/>
  <c r="J156" i="17"/>
  <c r="F156" i="17"/>
  <c r="L156" i="17" s="1"/>
  <c r="K155" i="17"/>
  <c r="J155" i="17"/>
  <c r="F155" i="17"/>
  <c r="K154" i="17"/>
  <c r="J154" i="17"/>
  <c r="F154" i="17"/>
  <c r="K153" i="17"/>
  <c r="J153" i="17"/>
  <c r="F153" i="17"/>
  <c r="K152" i="17"/>
  <c r="J152" i="17"/>
  <c r="F152" i="17"/>
  <c r="L152" i="17" s="1"/>
  <c r="K151" i="17"/>
  <c r="J151" i="17"/>
  <c r="F151" i="17"/>
  <c r="L150" i="17"/>
  <c r="K150" i="17"/>
  <c r="J150" i="17"/>
  <c r="F150" i="17"/>
  <c r="K149" i="17"/>
  <c r="L149" i="17" s="1"/>
  <c r="J149" i="17"/>
  <c r="F149" i="17"/>
  <c r="K148" i="17"/>
  <c r="L148" i="17" s="1"/>
  <c r="J148" i="17"/>
  <c r="F148" i="17"/>
  <c r="K147" i="17"/>
  <c r="L147" i="17" s="1"/>
  <c r="J147" i="17"/>
  <c r="F147" i="17"/>
  <c r="K146" i="17"/>
  <c r="L146" i="17" s="1"/>
  <c r="J146" i="17"/>
  <c r="F146" i="17"/>
  <c r="K145" i="17"/>
  <c r="L145" i="17" s="1"/>
  <c r="J145" i="17"/>
  <c r="F145" i="17"/>
  <c r="K144" i="17"/>
  <c r="L144" i="17" s="1"/>
  <c r="J144" i="17"/>
  <c r="F144" i="17"/>
  <c r="K143" i="17"/>
  <c r="L143" i="17" s="1"/>
  <c r="J143" i="17"/>
  <c r="F143" i="17"/>
  <c r="K142" i="17"/>
  <c r="L142" i="17" s="1"/>
  <c r="J142" i="17"/>
  <c r="F142" i="17"/>
  <c r="K141" i="17"/>
  <c r="L141" i="17" s="1"/>
  <c r="J141" i="17"/>
  <c r="F141" i="17"/>
  <c r="K140" i="17"/>
  <c r="L140" i="17" s="1"/>
  <c r="J140" i="17"/>
  <c r="F140" i="17"/>
  <c r="K139" i="17"/>
  <c r="L139" i="17" s="1"/>
  <c r="J139" i="17"/>
  <c r="F139" i="17"/>
  <c r="K138" i="17"/>
  <c r="L138" i="17" s="1"/>
  <c r="J138" i="17"/>
  <c r="F138" i="17"/>
  <c r="K137" i="17"/>
  <c r="L137" i="17" s="1"/>
  <c r="J137" i="17"/>
  <c r="F137" i="17"/>
  <c r="L136" i="17"/>
  <c r="K136" i="17"/>
  <c r="J136" i="17"/>
  <c r="F136" i="17"/>
  <c r="K135" i="17"/>
  <c r="L135" i="17" s="1"/>
  <c r="J135" i="17"/>
  <c r="F135" i="17"/>
  <c r="K134" i="17"/>
  <c r="L134" i="17" s="1"/>
  <c r="J134" i="17"/>
  <c r="F134" i="17"/>
  <c r="K133" i="17"/>
  <c r="L133" i="17" s="1"/>
  <c r="J133" i="17"/>
  <c r="F133" i="17"/>
  <c r="K132" i="17"/>
  <c r="L132" i="17" s="1"/>
  <c r="J132" i="17"/>
  <c r="F132" i="17"/>
  <c r="K131" i="17"/>
  <c r="L131" i="17" s="1"/>
  <c r="J131" i="17"/>
  <c r="F131" i="17"/>
  <c r="L130" i="17"/>
  <c r="K130" i="17"/>
  <c r="J130" i="17"/>
  <c r="F130" i="17"/>
  <c r="L129" i="17"/>
  <c r="K129" i="17"/>
  <c r="J129" i="17"/>
  <c r="F129" i="17"/>
  <c r="K128" i="17"/>
  <c r="L128" i="17" s="1"/>
  <c r="J128" i="17"/>
  <c r="F128" i="17"/>
  <c r="L127" i="17"/>
  <c r="K127" i="17"/>
  <c r="J127" i="17"/>
  <c r="F127" i="17"/>
  <c r="K126" i="17"/>
  <c r="L126" i="17" s="1"/>
  <c r="J126" i="17"/>
  <c r="F126" i="17"/>
  <c r="K125" i="17"/>
  <c r="L125" i="17" s="1"/>
  <c r="J125" i="17"/>
  <c r="F125" i="17"/>
  <c r="K124" i="17"/>
  <c r="L124" i="17" s="1"/>
  <c r="J124" i="17"/>
  <c r="F124" i="17"/>
  <c r="K123" i="17"/>
  <c r="L123" i="17" s="1"/>
  <c r="J123" i="17"/>
  <c r="F123" i="17"/>
  <c r="K122" i="17"/>
  <c r="L122" i="17" s="1"/>
  <c r="J122" i="17"/>
  <c r="F122" i="17"/>
  <c r="K121" i="17"/>
  <c r="L121" i="17" s="1"/>
  <c r="J121" i="17"/>
  <c r="F121" i="17"/>
  <c r="K120" i="17"/>
  <c r="L120" i="17" s="1"/>
  <c r="J120" i="17"/>
  <c r="F120" i="17"/>
  <c r="L119" i="17"/>
  <c r="K119" i="17"/>
  <c r="J119" i="17"/>
  <c r="F119" i="17"/>
  <c r="K118" i="17"/>
  <c r="L118" i="17" s="1"/>
  <c r="J118" i="17"/>
  <c r="F118" i="17"/>
  <c r="K117" i="17"/>
  <c r="L117" i="17" s="1"/>
  <c r="J117" i="17"/>
  <c r="F117" i="17"/>
  <c r="L116" i="17"/>
  <c r="K116" i="17"/>
  <c r="J116" i="17"/>
  <c r="F116" i="17"/>
  <c r="K115" i="17"/>
  <c r="L115" i="17" s="1"/>
  <c r="J115" i="17"/>
  <c r="F115" i="17"/>
  <c r="K114" i="17"/>
  <c r="L114" i="17" s="1"/>
  <c r="J114" i="17"/>
  <c r="F114" i="17"/>
  <c r="K113" i="17"/>
  <c r="L113" i="17" s="1"/>
  <c r="J113" i="17"/>
  <c r="F113" i="17"/>
  <c r="K112" i="17"/>
  <c r="L112" i="17" s="1"/>
  <c r="J112" i="17"/>
  <c r="F112" i="17"/>
  <c r="K111" i="17"/>
  <c r="L111" i="17" s="1"/>
  <c r="J111" i="17"/>
  <c r="F111" i="17"/>
  <c r="L110" i="17"/>
  <c r="K110" i="17"/>
  <c r="J110" i="17"/>
  <c r="F110" i="17"/>
  <c r="K109" i="17"/>
  <c r="L109" i="17" s="1"/>
  <c r="J109" i="17"/>
  <c r="F109" i="17"/>
  <c r="K108" i="17"/>
  <c r="L108" i="17" s="1"/>
  <c r="J108" i="17"/>
  <c r="F108" i="17"/>
  <c r="K107" i="17"/>
  <c r="L107" i="17" s="1"/>
  <c r="J107" i="17"/>
  <c r="F107" i="17"/>
  <c r="K106" i="17"/>
  <c r="L106" i="17" s="1"/>
  <c r="J106" i="17"/>
  <c r="F106" i="17"/>
  <c r="K105" i="17"/>
  <c r="L105" i="17" s="1"/>
  <c r="J105" i="17"/>
  <c r="F105" i="17"/>
  <c r="L104" i="17"/>
  <c r="K104" i="17"/>
  <c r="J104" i="17"/>
  <c r="F104" i="17"/>
  <c r="K103" i="17"/>
  <c r="L103" i="17" s="1"/>
  <c r="J103" i="17"/>
  <c r="F103" i="17"/>
  <c r="L102" i="17"/>
  <c r="K102" i="17"/>
  <c r="J102" i="17"/>
  <c r="F102" i="17"/>
  <c r="K101" i="17"/>
  <c r="L101" i="17" s="1"/>
  <c r="J101" i="17"/>
  <c r="F101" i="17"/>
  <c r="K100" i="17"/>
  <c r="L100" i="17" s="1"/>
  <c r="J100" i="17"/>
  <c r="F100" i="17"/>
  <c r="K99" i="17"/>
  <c r="L99" i="17" s="1"/>
  <c r="J99" i="17"/>
  <c r="F99" i="17"/>
  <c r="K98" i="17"/>
  <c r="L98" i="17" s="1"/>
  <c r="J98" i="17"/>
  <c r="F98" i="17"/>
  <c r="K97" i="17"/>
  <c r="L97" i="17" s="1"/>
  <c r="J97" i="17"/>
  <c r="F97" i="17"/>
  <c r="K96" i="17"/>
  <c r="L96" i="17" s="1"/>
  <c r="J96" i="17"/>
  <c r="F96" i="17"/>
  <c r="K95" i="17"/>
  <c r="L95" i="17" s="1"/>
  <c r="J95" i="17"/>
  <c r="F95" i="17"/>
  <c r="K94" i="17"/>
  <c r="L94" i="17" s="1"/>
  <c r="J94" i="17"/>
  <c r="F94" i="17"/>
  <c r="K93" i="17"/>
  <c r="L93" i="17" s="1"/>
  <c r="J93" i="17"/>
  <c r="F93" i="17"/>
  <c r="K92" i="17"/>
  <c r="L92" i="17" s="1"/>
  <c r="J92" i="17"/>
  <c r="F92" i="17"/>
  <c r="K91" i="17"/>
  <c r="L91" i="17" s="1"/>
  <c r="J91" i="17"/>
  <c r="F91" i="17"/>
  <c r="K90" i="17"/>
  <c r="L90" i="17" s="1"/>
  <c r="J90" i="17"/>
  <c r="F90" i="17"/>
  <c r="K89" i="17"/>
  <c r="L89" i="17" s="1"/>
  <c r="J89" i="17"/>
  <c r="F89" i="17"/>
  <c r="K88" i="17"/>
  <c r="L88" i="17" s="1"/>
  <c r="J88" i="17"/>
  <c r="F88" i="17"/>
  <c r="K87" i="17"/>
  <c r="L87" i="17" s="1"/>
  <c r="J87" i="17"/>
  <c r="F87" i="17"/>
  <c r="K86" i="17"/>
  <c r="L86" i="17" s="1"/>
  <c r="J86" i="17"/>
  <c r="F86" i="17"/>
  <c r="K85" i="17"/>
  <c r="L85" i="17" s="1"/>
  <c r="J85" i="17"/>
  <c r="F85" i="17"/>
  <c r="K84" i="17"/>
  <c r="L84" i="17" s="1"/>
  <c r="J84" i="17"/>
  <c r="F84" i="17"/>
  <c r="K83" i="17"/>
  <c r="L83" i="17" s="1"/>
  <c r="J83" i="17"/>
  <c r="F83" i="17"/>
  <c r="K82" i="17"/>
  <c r="L82" i="17" s="1"/>
  <c r="J82" i="17"/>
  <c r="F82" i="17"/>
  <c r="K81" i="17"/>
  <c r="L81" i="17" s="1"/>
  <c r="J81" i="17"/>
  <c r="F81" i="17"/>
  <c r="K80" i="17"/>
  <c r="L80" i="17" s="1"/>
  <c r="J80" i="17"/>
  <c r="F80" i="17"/>
  <c r="K79" i="17"/>
  <c r="L79" i="17" s="1"/>
  <c r="J79" i="17"/>
  <c r="F79" i="17"/>
  <c r="K78" i="17"/>
  <c r="L78" i="17" s="1"/>
  <c r="J78" i="17"/>
  <c r="F78" i="17"/>
  <c r="K77" i="17"/>
  <c r="L77" i="17" s="1"/>
  <c r="J77" i="17"/>
  <c r="F77" i="17"/>
  <c r="K76" i="17"/>
  <c r="L76" i="17" s="1"/>
  <c r="J76" i="17"/>
  <c r="F76" i="17"/>
  <c r="K75" i="17"/>
  <c r="L75" i="17" s="1"/>
  <c r="J75" i="17"/>
  <c r="F75" i="17"/>
  <c r="K74" i="17"/>
  <c r="L74" i="17" s="1"/>
  <c r="J74" i="17"/>
  <c r="F74" i="17"/>
  <c r="K73" i="17"/>
  <c r="L73" i="17" s="1"/>
  <c r="J73" i="17"/>
  <c r="F73" i="17"/>
  <c r="L72" i="17"/>
  <c r="K72" i="17"/>
  <c r="J72" i="17"/>
  <c r="F72" i="17"/>
  <c r="K71" i="17"/>
  <c r="L71" i="17" s="1"/>
  <c r="J71" i="17"/>
  <c r="F71" i="17"/>
  <c r="K70" i="17"/>
  <c r="J70" i="17"/>
  <c r="F70" i="17"/>
  <c r="K69" i="17"/>
  <c r="J69" i="17"/>
  <c r="F69" i="17"/>
  <c r="L69" i="17" s="1"/>
  <c r="K68" i="17"/>
  <c r="J68" i="17"/>
  <c r="F68" i="17"/>
  <c r="L68" i="17" s="1"/>
  <c r="K67" i="17"/>
  <c r="J67" i="17"/>
  <c r="F67" i="17"/>
  <c r="K66" i="17"/>
  <c r="J66" i="17"/>
  <c r="F66" i="17"/>
  <c r="K65" i="17"/>
  <c r="J65" i="17"/>
  <c r="F65" i="17"/>
  <c r="K64" i="17"/>
  <c r="J64" i="17"/>
  <c r="F64" i="17"/>
  <c r="L64" i="17" s="1"/>
  <c r="K63" i="17"/>
  <c r="L63" i="17" s="1"/>
  <c r="J63" i="17"/>
  <c r="K62" i="17"/>
  <c r="J62" i="17"/>
  <c r="F62" i="17"/>
  <c r="K61" i="17"/>
  <c r="J61" i="17"/>
  <c r="F61" i="17"/>
  <c r="K60" i="17"/>
  <c r="J60" i="17"/>
  <c r="F60" i="17"/>
  <c r="K59" i="17"/>
  <c r="J59" i="17"/>
  <c r="F59" i="17"/>
  <c r="K58" i="17"/>
  <c r="J58" i="17"/>
  <c r="F58" i="17"/>
  <c r="K57" i="17"/>
  <c r="J57" i="17"/>
  <c r="F57" i="17"/>
  <c r="L57" i="17" s="1"/>
  <c r="K56" i="17"/>
  <c r="J56" i="17"/>
  <c r="F56" i="17"/>
  <c r="K55" i="17"/>
  <c r="J55" i="17"/>
  <c r="F55" i="17"/>
  <c r="K54" i="17"/>
  <c r="J54" i="17"/>
  <c r="F54" i="17"/>
  <c r="K53" i="17"/>
  <c r="J53" i="17"/>
  <c r="F53" i="17"/>
  <c r="K52" i="17"/>
  <c r="J52" i="17"/>
  <c r="F52" i="17"/>
  <c r="K51" i="17"/>
  <c r="J51" i="17"/>
  <c r="F51" i="17"/>
  <c r="K50" i="17"/>
  <c r="J50" i="17"/>
  <c r="F50" i="17"/>
  <c r="K49" i="17"/>
  <c r="J49" i="17"/>
  <c r="F49" i="17"/>
  <c r="L49" i="17" s="1"/>
  <c r="K48" i="17"/>
  <c r="J48" i="17"/>
  <c r="F48" i="17"/>
  <c r="K47" i="17"/>
  <c r="J47" i="17"/>
  <c r="F47" i="17"/>
  <c r="K46" i="17"/>
  <c r="J46" i="17"/>
  <c r="F46" i="17"/>
  <c r="K45" i="17"/>
  <c r="J45" i="17"/>
  <c r="F45" i="17"/>
  <c r="L45" i="17" s="1"/>
  <c r="K44" i="17"/>
  <c r="J44" i="17"/>
  <c r="F44" i="17"/>
  <c r="K43" i="17"/>
  <c r="J43" i="17"/>
  <c r="F43" i="17"/>
  <c r="K42" i="17"/>
  <c r="J42" i="17"/>
  <c r="F42" i="17"/>
  <c r="K41" i="17"/>
  <c r="J41" i="17"/>
  <c r="F41" i="17"/>
  <c r="L41" i="17" s="1"/>
  <c r="K40" i="17"/>
  <c r="J40" i="17"/>
  <c r="F40" i="17"/>
  <c r="K39" i="17"/>
  <c r="J39" i="17"/>
  <c r="F39" i="17"/>
  <c r="K38" i="17"/>
  <c r="J38" i="17"/>
  <c r="F38" i="17"/>
  <c r="K37" i="17"/>
  <c r="J37" i="17"/>
  <c r="F37" i="17"/>
  <c r="L37" i="17" s="1"/>
  <c r="K36" i="17"/>
  <c r="J36" i="17"/>
  <c r="F36" i="17"/>
  <c r="K35" i="17"/>
  <c r="J35" i="17"/>
  <c r="F35" i="17"/>
  <c r="K34" i="17"/>
  <c r="J34" i="17"/>
  <c r="F34" i="17"/>
  <c r="K33" i="17"/>
  <c r="J33" i="17"/>
  <c r="F33" i="17"/>
  <c r="L33" i="17" s="1"/>
  <c r="K32" i="17"/>
  <c r="J32" i="17"/>
  <c r="F32" i="17"/>
  <c r="K31" i="17"/>
  <c r="J31" i="17"/>
  <c r="F31" i="17"/>
  <c r="K30" i="17"/>
  <c r="J30" i="17"/>
  <c r="F30" i="17"/>
  <c r="K29" i="17"/>
  <c r="J29" i="17"/>
  <c r="F29" i="17"/>
  <c r="K28" i="17"/>
  <c r="J28" i="17"/>
  <c r="F28" i="17"/>
  <c r="K27" i="17"/>
  <c r="J27" i="17"/>
  <c r="F27" i="17"/>
  <c r="K26" i="17"/>
  <c r="J26" i="17"/>
  <c r="F26" i="17"/>
  <c r="K25" i="17"/>
  <c r="J25" i="17"/>
  <c r="F25" i="17"/>
  <c r="L25" i="17" s="1"/>
  <c r="K24" i="17"/>
  <c r="J24" i="17"/>
  <c r="F24" i="17"/>
  <c r="K23" i="17"/>
  <c r="J23" i="17"/>
  <c r="F23" i="17"/>
  <c r="K22" i="17"/>
  <c r="J22" i="17"/>
  <c r="F22" i="17"/>
  <c r="K21" i="17"/>
  <c r="J21" i="17"/>
  <c r="F21" i="17"/>
  <c r="L21" i="17" s="1"/>
  <c r="K20" i="17"/>
  <c r="J20" i="17"/>
  <c r="F20" i="17"/>
  <c r="K19" i="17"/>
  <c r="J19" i="17"/>
  <c r="F19" i="17"/>
  <c r="K18" i="17"/>
  <c r="J18" i="17"/>
  <c r="F18" i="17"/>
  <c r="K17" i="17"/>
  <c r="J17" i="17"/>
  <c r="F17" i="17"/>
  <c r="K16" i="17"/>
  <c r="J16" i="17"/>
  <c r="F16" i="17"/>
  <c r="K15" i="17"/>
  <c r="J15" i="17"/>
  <c r="F15" i="17"/>
  <c r="K14" i="17"/>
  <c r="J14" i="17"/>
  <c r="F14" i="17"/>
  <c r="K13" i="17"/>
  <c r="J13" i="17"/>
  <c r="F13" i="17"/>
  <c r="L13" i="17" s="1"/>
  <c r="K12" i="17"/>
  <c r="J12" i="17"/>
  <c r="F12" i="17"/>
  <c r="K11" i="17"/>
  <c r="J11" i="17"/>
  <c r="F11" i="17"/>
  <c r="K10" i="17"/>
  <c r="J10" i="17"/>
  <c r="F10" i="17"/>
  <c r="K9" i="17"/>
  <c r="J9" i="17"/>
  <c r="F9" i="17"/>
  <c r="K8" i="17"/>
  <c r="J8" i="17"/>
  <c r="F8" i="17"/>
  <c r="K7" i="17"/>
  <c r="J7" i="17"/>
  <c r="F7" i="17"/>
  <c r="K6" i="17"/>
  <c r="J6" i="17"/>
  <c r="F6" i="17"/>
  <c r="L162" i="17" l="1"/>
  <c r="L161" i="17"/>
  <c r="L158" i="17"/>
  <c r="L155" i="17"/>
  <c r="L154" i="17"/>
  <c r="L153" i="17"/>
  <c r="L67" i="17"/>
  <c r="L66" i="17"/>
  <c r="L65" i="17"/>
  <c r="L61" i="17"/>
  <c r="L60" i="17"/>
  <c r="L56" i="17"/>
  <c r="L53" i="17"/>
  <c r="L52" i="17"/>
  <c r="L48" i="17"/>
  <c r="L44" i="17"/>
  <c r="L40" i="17"/>
  <c r="L36" i="17"/>
  <c r="L32" i="17"/>
  <c r="L29" i="17"/>
  <c r="L28" i="17"/>
  <c r="L24" i="17"/>
  <c r="L20" i="17"/>
  <c r="L17" i="17"/>
  <c r="L16" i="17"/>
  <c r="L12" i="17"/>
  <c r="L9" i="17"/>
  <c r="L8" i="17"/>
  <c r="K166" i="17"/>
  <c r="K186" i="17" s="1"/>
  <c r="L7" i="17"/>
  <c r="L11" i="17"/>
  <c r="L15" i="17"/>
  <c r="L19" i="17"/>
  <c r="L23" i="17"/>
  <c r="L27" i="17"/>
  <c r="L31" i="17"/>
  <c r="L35" i="17"/>
  <c r="L39" i="17"/>
  <c r="L43" i="17"/>
  <c r="L47" i="17"/>
  <c r="L51" i="17"/>
  <c r="L55" i="17"/>
  <c r="L59" i="17"/>
  <c r="L151" i="17"/>
  <c r="L181" i="17"/>
  <c r="L184" i="17" s="1"/>
  <c r="F184" i="17"/>
  <c r="L26" i="17"/>
  <c r="L30" i="17"/>
  <c r="L34" i="17"/>
  <c r="L38" i="17"/>
  <c r="L42" i="17"/>
  <c r="L46" i="17"/>
  <c r="L50" i="17"/>
  <c r="L54" i="17"/>
  <c r="L58" i="17"/>
  <c r="L62" i="17"/>
  <c r="L70" i="17"/>
  <c r="L163" i="17"/>
  <c r="L6" i="17"/>
  <c r="F166" i="17"/>
  <c r="L10" i="17"/>
  <c r="L14" i="17"/>
  <c r="L18" i="17"/>
  <c r="L22" i="17"/>
  <c r="E184" i="7"/>
  <c r="D184" i="7"/>
  <c r="L166" i="17" l="1"/>
  <c r="L186" i="17" s="1"/>
  <c r="F186" i="17"/>
  <c r="K163" i="16"/>
  <c r="L163" i="16" s="1"/>
  <c r="J163" i="16"/>
  <c r="K162" i="16"/>
  <c r="J162" i="16"/>
  <c r="K161" i="16"/>
  <c r="L161" i="16" s="1"/>
  <c r="J161" i="16"/>
  <c r="J160" i="16"/>
  <c r="K160" i="16"/>
  <c r="L160" i="16" s="1"/>
  <c r="F161" i="16"/>
  <c r="F163" i="16"/>
  <c r="F162" i="16"/>
  <c r="L162" i="16" s="1"/>
  <c r="K159" i="16" l="1"/>
  <c r="J159" i="16"/>
  <c r="F159" i="16"/>
  <c r="K158" i="16"/>
  <c r="J158" i="16"/>
  <c r="F158" i="16"/>
  <c r="K157" i="16"/>
  <c r="L157" i="16" s="1"/>
  <c r="J157" i="16"/>
  <c r="F157" i="16"/>
  <c r="K156" i="16"/>
  <c r="J156" i="16"/>
  <c r="F156" i="16"/>
  <c r="K155" i="16"/>
  <c r="J155" i="16"/>
  <c r="F155" i="16"/>
  <c r="K154" i="16"/>
  <c r="L154" i="16" s="1"/>
  <c r="J154" i="16"/>
  <c r="F154" i="16"/>
  <c r="K153" i="16"/>
  <c r="L153" i="16" s="1"/>
  <c r="J153" i="16"/>
  <c r="F153" i="16"/>
  <c r="K152" i="16"/>
  <c r="J152" i="16"/>
  <c r="F152" i="16"/>
  <c r="K151" i="16"/>
  <c r="J151" i="16"/>
  <c r="F151" i="16"/>
  <c r="K150" i="16"/>
  <c r="L150" i="16" s="1"/>
  <c r="J150" i="16"/>
  <c r="F150" i="16"/>
  <c r="K149" i="16"/>
  <c r="L149" i="16" s="1"/>
  <c r="J149" i="16"/>
  <c r="F149" i="16"/>
  <c r="K148" i="16"/>
  <c r="J148" i="16"/>
  <c r="F148" i="16"/>
  <c r="K147" i="16"/>
  <c r="J147" i="16"/>
  <c r="F147" i="16"/>
  <c r="K146" i="16"/>
  <c r="L146" i="16" s="1"/>
  <c r="J146" i="16"/>
  <c r="F146" i="16"/>
  <c r="K145" i="16"/>
  <c r="L145" i="16" s="1"/>
  <c r="J145" i="16"/>
  <c r="F145" i="16"/>
  <c r="K144" i="16"/>
  <c r="J144" i="16"/>
  <c r="F144" i="16"/>
  <c r="K143" i="16"/>
  <c r="J143" i="16"/>
  <c r="F143" i="16"/>
  <c r="K142" i="16"/>
  <c r="L142" i="16" s="1"/>
  <c r="J142" i="16"/>
  <c r="F142" i="16"/>
  <c r="K141" i="16"/>
  <c r="L141" i="16" s="1"/>
  <c r="J141" i="16"/>
  <c r="F141" i="16"/>
  <c r="K140" i="16"/>
  <c r="J140" i="16"/>
  <c r="F140" i="16"/>
  <c r="K139" i="16"/>
  <c r="J139" i="16"/>
  <c r="F139" i="16"/>
  <c r="K138" i="16"/>
  <c r="L138" i="16" s="1"/>
  <c r="J138" i="16"/>
  <c r="F138" i="16"/>
  <c r="K137" i="16"/>
  <c r="L137" i="16" s="1"/>
  <c r="J137" i="16"/>
  <c r="F137" i="16"/>
  <c r="K136" i="16"/>
  <c r="J136" i="16"/>
  <c r="F136" i="16"/>
  <c r="K135" i="16"/>
  <c r="J135" i="16"/>
  <c r="F135" i="16"/>
  <c r="K134" i="16"/>
  <c r="L134" i="16" s="1"/>
  <c r="J134" i="16"/>
  <c r="F134" i="16"/>
  <c r="K133" i="16"/>
  <c r="L133" i="16" s="1"/>
  <c r="J133" i="16"/>
  <c r="F133" i="16"/>
  <c r="K132" i="16"/>
  <c r="J132" i="16"/>
  <c r="F132" i="16"/>
  <c r="K131" i="16"/>
  <c r="J131" i="16"/>
  <c r="F131" i="16"/>
  <c r="K130" i="16"/>
  <c r="L130" i="16" s="1"/>
  <c r="J130" i="16"/>
  <c r="F130" i="16"/>
  <c r="L129" i="16"/>
  <c r="K129" i="16"/>
  <c r="J129" i="16"/>
  <c r="F129" i="16"/>
  <c r="K128" i="16"/>
  <c r="L128" i="16" s="1"/>
  <c r="J128" i="16"/>
  <c r="F128" i="16"/>
  <c r="K127" i="16"/>
  <c r="J127" i="16"/>
  <c r="F127" i="16"/>
  <c r="K126" i="16"/>
  <c r="J126" i="16"/>
  <c r="F126" i="16"/>
  <c r="K125" i="16"/>
  <c r="L125" i="16" s="1"/>
  <c r="J125" i="16"/>
  <c r="F125" i="16"/>
  <c r="K124" i="16"/>
  <c r="L124" i="16" s="1"/>
  <c r="J124" i="16"/>
  <c r="F124" i="16"/>
  <c r="K123" i="16"/>
  <c r="J123" i="16"/>
  <c r="F123" i="16"/>
  <c r="K122" i="16"/>
  <c r="J122" i="16"/>
  <c r="F122" i="16"/>
  <c r="K121" i="16"/>
  <c r="L121" i="16" s="1"/>
  <c r="J121" i="16"/>
  <c r="F121" i="16"/>
  <c r="K120" i="16"/>
  <c r="L120" i="16" s="1"/>
  <c r="J120" i="16"/>
  <c r="F120" i="16"/>
  <c r="K119" i="16"/>
  <c r="J119" i="16"/>
  <c r="F119" i="16"/>
  <c r="K118" i="16"/>
  <c r="J118" i="16"/>
  <c r="F118" i="16"/>
  <c r="K117" i="16"/>
  <c r="L117" i="16" s="1"/>
  <c r="J117" i="16"/>
  <c r="F117" i="16"/>
  <c r="K116" i="16"/>
  <c r="L116" i="16" s="1"/>
  <c r="J116" i="16"/>
  <c r="F116" i="16"/>
  <c r="K115" i="16"/>
  <c r="J115" i="16"/>
  <c r="F115" i="16"/>
  <c r="K114" i="16"/>
  <c r="J114" i="16"/>
  <c r="F114" i="16"/>
  <c r="K113" i="16"/>
  <c r="L113" i="16" s="1"/>
  <c r="J113" i="16"/>
  <c r="F113" i="16"/>
  <c r="K112" i="16"/>
  <c r="L112" i="16" s="1"/>
  <c r="J112" i="16"/>
  <c r="F112" i="16"/>
  <c r="K111" i="16"/>
  <c r="J111" i="16"/>
  <c r="F111" i="16"/>
  <c r="K110" i="16"/>
  <c r="J110" i="16"/>
  <c r="F110" i="16"/>
  <c r="K109" i="16"/>
  <c r="L109" i="16" s="1"/>
  <c r="J109" i="16"/>
  <c r="F109" i="16"/>
  <c r="K108" i="16"/>
  <c r="L108" i="16" s="1"/>
  <c r="J108" i="16"/>
  <c r="F108" i="16"/>
  <c r="K107" i="16"/>
  <c r="J107" i="16"/>
  <c r="F107" i="16"/>
  <c r="K106" i="16"/>
  <c r="J106" i="16"/>
  <c r="F106" i="16"/>
  <c r="K105" i="16"/>
  <c r="L105" i="16" s="1"/>
  <c r="J105" i="16"/>
  <c r="F105" i="16"/>
  <c r="K104" i="16"/>
  <c r="L104" i="16" s="1"/>
  <c r="J104" i="16"/>
  <c r="F104" i="16"/>
  <c r="K103" i="16"/>
  <c r="J103" i="16"/>
  <c r="F103" i="16"/>
  <c r="K102" i="16"/>
  <c r="J102" i="16"/>
  <c r="F102" i="16"/>
  <c r="K101" i="16"/>
  <c r="L101" i="16" s="1"/>
  <c r="J101" i="16"/>
  <c r="F101" i="16"/>
  <c r="K100" i="16"/>
  <c r="L100" i="16" s="1"/>
  <c r="J100" i="16"/>
  <c r="F100" i="16"/>
  <c r="K99" i="16"/>
  <c r="J99" i="16"/>
  <c r="F99" i="16"/>
  <c r="K98" i="16"/>
  <c r="J98" i="16"/>
  <c r="F98" i="16"/>
  <c r="K97" i="16"/>
  <c r="L97" i="16" s="1"/>
  <c r="J97" i="16"/>
  <c r="F97" i="16"/>
  <c r="K96" i="16"/>
  <c r="L96" i="16" s="1"/>
  <c r="J96" i="16"/>
  <c r="F96" i="16"/>
  <c r="K95" i="16"/>
  <c r="J95" i="16"/>
  <c r="F95" i="16"/>
  <c r="K94" i="16"/>
  <c r="J94" i="16"/>
  <c r="F94" i="16"/>
  <c r="K93" i="16"/>
  <c r="L93" i="16" s="1"/>
  <c r="J93" i="16"/>
  <c r="F93" i="16"/>
  <c r="K92" i="16"/>
  <c r="L92" i="16" s="1"/>
  <c r="J92" i="16"/>
  <c r="F92" i="16"/>
  <c r="K91" i="16"/>
  <c r="J91" i="16"/>
  <c r="F91" i="16"/>
  <c r="K90" i="16"/>
  <c r="J90" i="16"/>
  <c r="F90" i="16"/>
  <c r="K89" i="16"/>
  <c r="L89" i="16" s="1"/>
  <c r="J89" i="16"/>
  <c r="F89" i="16"/>
  <c r="K88" i="16"/>
  <c r="L88" i="16" s="1"/>
  <c r="J88" i="16"/>
  <c r="F88" i="16"/>
  <c r="K87" i="16"/>
  <c r="J87" i="16"/>
  <c r="F87" i="16"/>
  <c r="K86" i="16"/>
  <c r="J86" i="16"/>
  <c r="F86" i="16"/>
  <c r="K85" i="16"/>
  <c r="L85" i="16" s="1"/>
  <c r="J85" i="16"/>
  <c r="F85" i="16"/>
  <c r="K84" i="16"/>
  <c r="L84" i="16" s="1"/>
  <c r="J84" i="16"/>
  <c r="F84" i="16"/>
  <c r="K83" i="16"/>
  <c r="J83" i="16"/>
  <c r="F83" i="16"/>
  <c r="K82" i="16"/>
  <c r="J82" i="16"/>
  <c r="F82" i="16"/>
  <c r="K81" i="16"/>
  <c r="L81" i="16" s="1"/>
  <c r="J81" i="16"/>
  <c r="F81" i="16"/>
  <c r="K80" i="16"/>
  <c r="L80" i="16" s="1"/>
  <c r="J80" i="16"/>
  <c r="F80" i="16"/>
  <c r="K79" i="16"/>
  <c r="J79" i="16"/>
  <c r="F79" i="16"/>
  <c r="K78" i="16"/>
  <c r="J78" i="16"/>
  <c r="F78" i="16"/>
  <c r="K77" i="16"/>
  <c r="L77" i="16" s="1"/>
  <c r="J77" i="16"/>
  <c r="F77" i="16"/>
  <c r="K76" i="16"/>
  <c r="L76" i="16" s="1"/>
  <c r="J76" i="16"/>
  <c r="F76" i="16"/>
  <c r="K75" i="16"/>
  <c r="J75" i="16"/>
  <c r="F75" i="16"/>
  <c r="K74" i="16"/>
  <c r="J74" i="16"/>
  <c r="F74" i="16"/>
  <c r="K73" i="16"/>
  <c r="L73" i="16" s="1"/>
  <c r="J73" i="16"/>
  <c r="F73" i="16"/>
  <c r="K72" i="16"/>
  <c r="L72" i="16" s="1"/>
  <c r="J72" i="16"/>
  <c r="F72" i="16"/>
  <c r="K71" i="16"/>
  <c r="J71" i="16"/>
  <c r="F71" i="16"/>
  <c r="K70" i="16"/>
  <c r="J70" i="16"/>
  <c r="F70" i="16"/>
  <c r="K69" i="16"/>
  <c r="L69" i="16" s="1"/>
  <c r="J69" i="16"/>
  <c r="F69" i="16"/>
  <c r="K68" i="16"/>
  <c r="L68" i="16" s="1"/>
  <c r="J68" i="16"/>
  <c r="F68" i="16"/>
  <c r="K67" i="16"/>
  <c r="J67" i="16"/>
  <c r="F67" i="16"/>
  <c r="K66" i="16"/>
  <c r="J66" i="16"/>
  <c r="F66" i="16"/>
  <c r="K65" i="16"/>
  <c r="L65" i="16" s="1"/>
  <c r="J65" i="16"/>
  <c r="F65" i="16"/>
  <c r="K64" i="16"/>
  <c r="L64" i="16" s="1"/>
  <c r="J64" i="16"/>
  <c r="F64" i="16"/>
  <c r="K63" i="16"/>
  <c r="L63" i="16" s="1"/>
  <c r="J63" i="16"/>
  <c r="K62" i="16"/>
  <c r="J62" i="16"/>
  <c r="F62" i="16"/>
  <c r="K61" i="16"/>
  <c r="J61" i="16"/>
  <c r="F61" i="16"/>
  <c r="K60" i="16"/>
  <c r="J60" i="16"/>
  <c r="F60" i="16"/>
  <c r="K59" i="16"/>
  <c r="J59" i="16"/>
  <c r="F59" i="16"/>
  <c r="K58" i="16"/>
  <c r="J58" i="16"/>
  <c r="F58" i="16"/>
  <c r="K57" i="16"/>
  <c r="J57" i="16"/>
  <c r="F57" i="16"/>
  <c r="K56" i="16"/>
  <c r="J56" i="16"/>
  <c r="F56" i="16"/>
  <c r="K55" i="16"/>
  <c r="J55" i="16"/>
  <c r="F55" i="16"/>
  <c r="K54" i="16"/>
  <c r="J54" i="16"/>
  <c r="F54" i="16"/>
  <c r="K53" i="16"/>
  <c r="J53" i="16"/>
  <c r="F53" i="16"/>
  <c r="K52" i="16"/>
  <c r="J52" i="16"/>
  <c r="F52" i="16"/>
  <c r="K51" i="16"/>
  <c r="J51" i="16"/>
  <c r="F51" i="16"/>
  <c r="K50" i="16"/>
  <c r="J50" i="16"/>
  <c r="F50" i="16"/>
  <c r="K49" i="16"/>
  <c r="J49" i="16"/>
  <c r="F49" i="16"/>
  <c r="K48" i="16"/>
  <c r="J48" i="16"/>
  <c r="F48" i="16"/>
  <c r="K47" i="16"/>
  <c r="J47" i="16"/>
  <c r="F47" i="16"/>
  <c r="K46" i="16"/>
  <c r="J46" i="16"/>
  <c r="F46" i="16"/>
  <c r="K45" i="16"/>
  <c r="J45" i="16"/>
  <c r="F45" i="16"/>
  <c r="K44" i="16"/>
  <c r="J44" i="16"/>
  <c r="F44" i="16"/>
  <c r="K43" i="16"/>
  <c r="J43" i="16"/>
  <c r="F43" i="16"/>
  <c r="K42" i="16"/>
  <c r="J42" i="16"/>
  <c r="F42" i="16"/>
  <c r="K41" i="16"/>
  <c r="J41" i="16"/>
  <c r="F41" i="16"/>
  <c r="K40" i="16"/>
  <c r="J40" i="16"/>
  <c r="F40" i="16"/>
  <c r="K39" i="16"/>
  <c r="J39" i="16"/>
  <c r="F39" i="16"/>
  <c r="K38" i="16"/>
  <c r="J38" i="16"/>
  <c r="F38" i="16"/>
  <c r="K37" i="16"/>
  <c r="J37" i="16"/>
  <c r="F37" i="16"/>
  <c r="K36" i="16"/>
  <c r="J36" i="16"/>
  <c r="F36" i="16"/>
  <c r="K35" i="16"/>
  <c r="J35" i="16"/>
  <c r="F35" i="16"/>
  <c r="K34" i="16"/>
  <c r="J34" i="16"/>
  <c r="F34" i="16"/>
  <c r="K33" i="16"/>
  <c r="J33" i="16"/>
  <c r="F33" i="16"/>
  <c r="K32" i="16"/>
  <c r="J32" i="16"/>
  <c r="F32" i="16"/>
  <c r="K31" i="16"/>
  <c r="J31" i="16"/>
  <c r="F31" i="16"/>
  <c r="K30" i="16"/>
  <c r="J30" i="16"/>
  <c r="F30" i="16"/>
  <c r="K29" i="16"/>
  <c r="J29" i="16"/>
  <c r="F29" i="16"/>
  <c r="K28" i="16"/>
  <c r="J28" i="16"/>
  <c r="F28" i="16"/>
  <c r="K27" i="16"/>
  <c r="J27" i="16"/>
  <c r="F27" i="16"/>
  <c r="K26" i="16"/>
  <c r="J26" i="16"/>
  <c r="F26" i="16"/>
  <c r="K25" i="16"/>
  <c r="J25" i="16"/>
  <c r="F25" i="16"/>
  <c r="K194" i="16"/>
  <c r="J194" i="16"/>
  <c r="F194" i="16"/>
  <c r="K24" i="16"/>
  <c r="J24" i="16"/>
  <c r="F24" i="16"/>
  <c r="K23" i="16"/>
  <c r="J23" i="16"/>
  <c r="F23" i="16"/>
  <c r="K22" i="16"/>
  <c r="J22" i="16"/>
  <c r="F22" i="16"/>
  <c r="K21" i="16"/>
  <c r="J21" i="16"/>
  <c r="F21" i="16"/>
  <c r="K20" i="16"/>
  <c r="J20" i="16"/>
  <c r="F20" i="16"/>
  <c r="K19" i="16"/>
  <c r="J19" i="16"/>
  <c r="F19" i="16"/>
  <c r="K18" i="16"/>
  <c r="J18" i="16"/>
  <c r="F18" i="16"/>
  <c r="K17" i="16"/>
  <c r="J17" i="16"/>
  <c r="F17" i="16"/>
  <c r="K16" i="16"/>
  <c r="J16" i="16"/>
  <c r="F16" i="16"/>
  <c r="K15" i="16"/>
  <c r="J15" i="16"/>
  <c r="F15" i="16"/>
  <c r="K14" i="16"/>
  <c r="J14" i="16"/>
  <c r="F14" i="16"/>
  <c r="K13" i="16"/>
  <c r="J13" i="16"/>
  <c r="F13" i="16"/>
  <c r="K12" i="16"/>
  <c r="J12" i="16"/>
  <c r="F12" i="16"/>
  <c r="K11" i="16"/>
  <c r="J11" i="16"/>
  <c r="F11" i="16"/>
  <c r="K10" i="16"/>
  <c r="J10" i="16"/>
  <c r="F10" i="16"/>
  <c r="K9" i="16"/>
  <c r="J9" i="16"/>
  <c r="F9" i="16"/>
  <c r="K8" i="16"/>
  <c r="J8" i="16"/>
  <c r="F8" i="16"/>
  <c r="K7" i="16"/>
  <c r="J7" i="16"/>
  <c r="F7" i="16"/>
  <c r="K6" i="16"/>
  <c r="J6" i="16"/>
  <c r="F6" i="16"/>
  <c r="K160" i="15"/>
  <c r="J160" i="15"/>
  <c r="K159" i="15"/>
  <c r="J159" i="15"/>
  <c r="J158" i="15"/>
  <c r="K158" i="15"/>
  <c r="F160" i="15"/>
  <c r="L160" i="15" s="1"/>
  <c r="F159" i="15"/>
  <c r="F158" i="15"/>
  <c r="J157" i="15"/>
  <c r="K157" i="15"/>
  <c r="F157" i="15"/>
  <c r="L67" i="16" l="1"/>
  <c r="L71" i="16"/>
  <c r="L75" i="16"/>
  <c r="L79" i="16"/>
  <c r="L83" i="16"/>
  <c r="L87" i="16"/>
  <c r="L91" i="16"/>
  <c r="L95" i="16"/>
  <c r="L99" i="16"/>
  <c r="L103" i="16"/>
  <c r="L107" i="16"/>
  <c r="L111" i="16"/>
  <c r="L115" i="16"/>
  <c r="L119" i="16"/>
  <c r="L123" i="16"/>
  <c r="L127" i="16"/>
  <c r="L132" i="16"/>
  <c r="L136" i="16"/>
  <c r="L140" i="16"/>
  <c r="L144" i="16"/>
  <c r="L148" i="16"/>
  <c r="L152" i="16"/>
  <c r="L156" i="16"/>
  <c r="K164" i="16"/>
  <c r="K181" i="16" s="1"/>
  <c r="F164" i="16"/>
  <c r="F181" i="16" s="1"/>
  <c r="L8" i="16"/>
  <c r="L12" i="16"/>
  <c r="L16" i="16"/>
  <c r="L20" i="16"/>
  <c r="L24" i="16"/>
  <c r="L27" i="16"/>
  <c r="L31" i="16"/>
  <c r="L35" i="16"/>
  <c r="L39" i="16"/>
  <c r="L43" i="16"/>
  <c r="L47" i="16"/>
  <c r="L51" i="16"/>
  <c r="L55" i="16"/>
  <c r="L59" i="16"/>
  <c r="L66" i="16"/>
  <c r="L70" i="16"/>
  <c r="L74" i="16"/>
  <c r="L78" i="16"/>
  <c r="L82" i="16"/>
  <c r="L86" i="16"/>
  <c r="L90" i="16"/>
  <c r="L94" i="16"/>
  <c r="L98" i="16"/>
  <c r="L102" i="16"/>
  <c r="L106" i="16"/>
  <c r="L110" i="16"/>
  <c r="L114" i="16"/>
  <c r="L118" i="16"/>
  <c r="L122" i="16"/>
  <c r="L126" i="16"/>
  <c r="L131" i="16"/>
  <c r="L135" i="16"/>
  <c r="L139" i="16"/>
  <c r="L143" i="16"/>
  <c r="L147" i="16"/>
  <c r="L151" i="16"/>
  <c r="L155" i="16"/>
  <c r="L158" i="15"/>
  <c r="L157" i="15"/>
  <c r="L159" i="15"/>
  <c r="L7" i="16"/>
  <c r="L15" i="16"/>
  <c r="L19" i="16"/>
  <c r="L23" i="16"/>
  <c r="L26" i="16"/>
  <c r="L30" i="16"/>
  <c r="L34" i="16"/>
  <c r="L38" i="16"/>
  <c r="L42" i="16"/>
  <c r="L46" i="16"/>
  <c r="L50" i="16"/>
  <c r="L54" i="16"/>
  <c r="L58" i="16"/>
  <c r="L62" i="16"/>
  <c r="L11" i="16"/>
  <c r="L10" i="16"/>
  <c r="L14" i="16"/>
  <c r="L18" i="16"/>
  <c r="L22" i="16"/>
  <c r="L25" i="16"/>
  <c r="L29" i="16"/>
  <c r="L33" i="16"/>
  <c r="L37" i="16"/>
  <c r="L41" i="16"/>
  <c r="L45" i="16"/>
  <c r="L49" i="16"/>
  <c r="L53" i="16"/>
  <c r="L57" i="16"/>
  <c r="L61" i="16"/>
  <c r="L159" i="16"/>
  <c r="L9" i="16"/>
  <c r="L13" i="16"/>
  <c r="L17" i="16"/>
  <c r="L21" i="16"/>
  <c r="L194" i="16"/>
  <c r="L28" i="16"/>
  <c r="L32" i="16"/>
  <c r="L36" i="16"/>
  <c r="L40" i="16"/>
  <c r="L44" i="16"/>
  <c r="L48" i="16"/>
  <c r="L52" i="16"/>
  <c r="L56" i="16"/>
  <c r="L60" i="16"/>
  <c r="L158" i="16"/>
  <c r="L6" i="16"/>
  <c r="L164" i="16" l="1"/>
  <c r="L181" i="16" s="1"/>
  <c r="K156" i="15"/>
  <c r="J156" i="15"/>
  <c r="F156" i="15"/>
  <c r="L156" i="15" s="1"/>
  <c r="K155" i="15"/>
  <c r="J155" i="15"/>
  <c r="F155" i="15"/>
  <c r="K154" i="15"/>
  <c r="J154" i="15"/>
  <c r="F154" i="15"/>
  <c r="K153" i="15"/>
  <c r="J153" i="15"/>
  <c r="F153" i="15"/>
  <c r="L153" i="15" s="1"/>
  <c r="K152" i="15"/>
  <c r="J152" i="15"/>
  <c r="F152" i="15"/>
  <c r="K151" i="15"/>
  <c r="J151" i="15"/>
  <c r="F151" i="15"/>
  <c r="K150" i="15"/>
  <c r="J150" i="15"/>
  <c r="F150" i="15"/>
  <c r="K149" i="15"/>
  <c r="J149" i="15"/>
  <c r="F149" i="15"/>
  <c r="L149" i="15" s="1"/>
  <c r="K148" i="15"/>
  <c r="J148" i="15"/>
  <c r="F148" i="15"/>
  <c r="L148" i="15" s="1"/>
  <c r="K147" i="15"/>
  <c r="J147" i="15"/>
  <c r="F147" i="15"/>
  <c r="K146" i="15"/>
  <c r="J146" i="15"/>
  <c r="F146" i="15"/>
  <c r="K145" i="15"/>
  <c r="J145" i="15"/>
  <c r="F145" i="15"/>
  <c r="L145" i="15" s="1"/>
  <c r="K144" i="15"/>
  <c r="J144" i="15"/>
  <c r="F144" i="15"/>
  <c r="K143" i="15"/>
  <c r="J143" i="15"/>
  <c r="F143" i="15"/>
  <c r="K142" i="15"/>
  <c r="J142" i="15"/>
  <c r="F142" i="15"/>
  <c r="K141" i="15"/>
  <c r="J141" i="15"/>
  <c r="F141" i="15"/>
  <c r="L141" i="15" s="1"/>
  <c r="K140" i="15"/>
  <c r="J140" i="15"/>
  <c r="F140" i="15"/>
  <c r="L140" i="15" s="1"/>
  <c r="K139" i="15"/>
  <c r="J139" i="15"/>
  <c r="F139" i="15"/>
  <c r="K138" i="15"/>
  <c r="J138" i="15"/>
  <c r="F138" i="15"/>
  <c r="K137" i="15"/>
  <c r="J137" i="15"/>
  <c r="F137" i="15"/>
  <c r="K136" i="15"/>
  <c r="J136" i="15"/>
  <c r="F136" i="15"/>
  <c r="K135" i="15"/>
  <c r="J135" i="15"/>
  <c r="F135" i="15"/>
  <c r="K134" i="15"/>
  <c r="J134" i="15"/>
  <c r="F134" i="15"/>
  <c r="K133" i="15"/>
  <c r="J133" i="15"/>
  <c r="F133" i="15"/>
  <c r="L133" i="15" s="1"/>
  <c r="K132" i="15"/>
  <c r="J132" i="15"/>
  <c r="F132" i="15"/>
  <c r="L132" i="15" s="1"/>
  <c r="K131" i="15"/>
  <c r="J131" i="15"/>
  <c r="F131" i="15"/>
  <c r="K130" i="15"/>
  <c r="J130" i="15"/>
  <c r="F130" i="15"/>
  <c r="L130" i="15" s="1"/>
  <c r="K129" i="15"/>
  <c r="J129" i="15"/>
  <c r="F129" i="15"/>
  <c r="L129" i="15" s="1"/>
  <c r="K128" i="15"/>
  <c r="J128" i="15"/>
  <c r="F128" i="15"/>
  <c r="K127" i="15"/>
  <c r="J127" i="15"/>
  <c r="F127" i="15"/>
  <c r="K126" i="15"/>
  <c r="J126" i="15"/>
  <c r="F126" i="15"/>
  <c r="K125" i="15"/>
  <c r="J125" i="15"/>
  <c r="F125" i="15"/>
  <c r="L125" i="15" s="1"/>
  <c r="K124" i="15"/>
  <c r="J124" i="15"/>
  <c r="F124" i="15"/>
  <c r="K123" i="15"/>
  <c r="L123" i="15" s="1"/>
  <c r="J123" i="15"/>
  <c r="F123" i="15"/>
  <c r="K122" i="15"/>
  <c r="J122" i="15"/>
  <c r="F122" i="15"/>
  <c r="K121" i="15"/>
  <c r="J121" i="15"/>
  <c r="F121" i="15"/>
  <c r="L121" i="15" s="1"/>
  <c r="K120" i="15"/>
  <c r="J120" i="15"/>
  <c r="F120" i="15"/>
  <c r="K119" i="15"/>
  <c r="L119" i="15" s="1"/>
  <c r="J119" i="15"/>
  <c r="F119" i="15"/>
  <c r="K118" i="15"/>
  <c r="L118" i="15" s="1"/>
  <c r="J118" i="15"/>
  <c r="F118" i="15"/>
  <c r="K117" i="15"/>
  <c r="J117" i="15"/>
  <c r="F117" i="15"/>
  <c r="K116" i="15"/>
  <c r="J116" i="15"/>
  <c r="F116" i="15"/>
  <c r="L116" i="15" s="1"/>
  <c r="K115" i="15"/>
  <c r="J115" i="15"/>
  <c r="F115" i="15"/>
  <c r="K114" i="15"/>
  <c r="J114" i="15"/>
  <c r="F114" i="15"/>
  <c r="K113" i="15"/>
  <c r="J113" i="15"/>
  <c r="F113" i="15"/>
  <c r="L113" i="15" s="1"/>
  <c r="K112" i="15"/>
  <c r="J112" i="15"/>
  <c r="F112" i="15"/>
  <c r="K111" i="15"/>
  <c r="J111" i="15"/>
  <c r="F111" i="15"/>
  <c r="K110" i="15"/>
  <c r="L110" i="15" s="1"/>
  <c r="J110" i="15"/>
  <c r="F110" i="15"/>
  <c r="K109" i="15"/>
  <c r="J109" i="15"/>
  <c r="F109" i="15"/>
  <c r="K108" i="15"/>
  <c r="J108" i="15"/>
  <c r="F108" i="15"/>
  <c r="K107" i="15"/>
  <c r="L107" i="15" s="1"/>
  <c r="J107" i="15"/>
  <c r="F107" i="15"/>
  <c r="K106" i="15"/>
  <c r="L106" i="15" s="1"/>
  <c r="J106" i="15"/>
  <c r="F106" i="15"/>
  <c r="K105" i="15"/>
  <c r="J105" i="15"/>
  <c r="F105" i="15"/>
  <c r="K104" i="15"/>
  <c r="J104" i="15"/>
  <c r="F104" i="15"/>
  <c r="K103" i="15"/>
  <c r="L103" i="15" s="1"/>
  <c r="J103" i="15"/>
  <c r="F103" i="15"/>
  <c r="K102" i="15"/>
  <c r="L102" i="15" s="1"/>
  <c r="J102" i="15"/>
  <c r="F102" i="15"/>
  <c r="K101" i="15"/>
  <c r="J101" i="15"/>
  <c r="F101" i="15"/>
  <c r="K100" i="15"/>
  <c r="J100" i="15"/>
  <c r="F100" i="15"/>
  <c r="K99" i="15"/>
  <c r="L99" i="15" s="1"/>
  <c r="J99" i="15"/>
  <c r="F99" i="15"/>
  <c r="K98" i="15"/>
  <c r="L98" i="15" s="1"/>
  <c r="J98" i="15"/>
  <c r="F98" i="15"/>
  <c r="K97" i="15"/>
  <c r="J97" i="15"/>
  <c r="F97" i="15"/>
  <c r="K96" i="15"/>
  <c r="J96" i="15"/>
  <c r="F96" i="15"/>
  <c r="K95" i="15"/>
  <c r="L95" i="15" s="1"/>
  <c r="J95" i="15"/>
  <c r="F95" i="15"/>
  <c r="K94" i="15"/>
  <c r="L94" i="15" s="1"/>
  <c r="J94" i="15"/>
  <c r="F94" i="15"/>
  <c r="K93" i="15"/>
  <c r="J93" i="15"/>
  <c r="F93" i="15"/>
  <c r="K92" i="15"/>
  <c r="J92" i="15"/>
  <c r="F92" i="15"/>
  <c r="K91" i="15"/>
  <c r="L91" i="15" s="1"/>
  <c r="J91" i="15"/>
  <c r="F91" i="15"/>
  <c r="K90" i="15"/>
  <c r="L90" i="15" s="1"/>
  <c r="J90" i="15"/>
  <c r="F90" i="15"/>
  <c r="K89" i="15"/>
  <c r="J89" i="15"/>
  <c r="F89" i="15"/>
  <c r="K88" i="15"/>
  <c r="J88" i="15"/>
  <c r="F88" i="15"/>
  <c r="K87" i="15"/>
  <c r="L87" i="15" s="1"/>
  <c r="J87" i="15"/>
  <c r="F87" i="15"/>
  <c r="K86" i="15"/>
  <c r="L86" i="15" s="1"/>
  <c r="J86" i="15"/>
  <c r="F86" i="15"/>
  <c r="K85" i="15"/>
  <c r="J85" i="15"/>
  <c r="F85" i="15"/>
  <c r="K84" i="15"/>
  <c r="J84" i="15"/>
  <c r="F84" i="15"/>
  <c r="K83" i="15"/>
  <c r="L83" i="15" s="1"/>
  <c r="J83" i="15"/>
  <c r="F83" i="15"/>
  <c r="K82" i="15"/>
  <c r="L82" i="15" s="1"/>
  <c r="J82" i="15"/>
  <c r="F82" i="15"/>
  <c r="K81" i="15"/>
  <c r="J81" i="15"/>
  <c r="F81" i="15"/>
  <c r="K80" i="15"/>
  <c r="J80" i="15"/>
  <c r="F80" i="15"/>
  <c r="K79" i="15"/>
  <c r="J79" i="15"/>
  <c r="F79" i="15"/>
  <c r="K78" i="15"/>
  <c r="L78" i="15" s="1"/>
  <c r="J78" i="15"/>
  <c r="F78" i="15"/>
  <c r="K77" i="15"/>
  <c r="J77" i="15"/>
  <c r="F77" i="15"/>
  <c r="K76" i="15"/>
  <c r="J76" i="15"/>
  <c r="F76" i="15"/>
  <c r="K75" i="15"/>
  <c r="J75" i="15"/>
  <c r="F75" i="15"/>
  <c r="K74" i="15"/>
  <c r="J74" i="15"/>
  <c r="F74" i="15"/>
  <c r="K73" i="15"/>
  <c r="J73" i="15"/>
  <c r="F73" i="15"/>
  <c r="L73" i="15" s="1"/>
  <c r="K72" i="15"/>
  <c r="J72" i="15"/>
  <c r="F72" i="15"/>
  <c r="L72" i="15" s="1"/>
  <c r="K71" i="15"/>
  <c r="J71" i="15"/>
  <c r="F71" i="15"/>
  <c r="K70" i="15"/>
  <c r="J70" i="15"/>
  <c r="F70" i="15"/>
  <c r="K69" i="15"/>
  <c r="J69" i="15"/>
  <c r="F69" i="15"/>
  <c r="L69" i="15" s="1"/>
  <c r="K68" i="15"/>
  <c r="J68" i="15"/>
  <c r="F68" i="15"/>
  <c r="K67" i="15"/>
  <c r="J67" i="15"/>
  <c r="F67" i="15"/>
  <c r="K66" i="15"/>
  <c r="J66" i="15"/>
  <c r="F66" i="15"/>
  <c r="K65" i="15"/>
  <c r="J65" i="15"/>
  <c r="F65" i="15"/>
  <c r="L65" i="15" s="1"/>
  <c r="K64" i="15"/>
  <c r="L64" i="15" s="1"/>
  <c r="J64" i="15"/>
  <c r="K63" i="15"/>
  <c r="J63" i="15"/>
  <c r="F63" i="15"/>
  <c r="K62" i="15"/>
  <c r="J62" i="15"/>
  <c r="F62" i="15"/>
  <c r="K61" i="15"/>
  <c r="J61" i="15"/>
  <c r="F61" i="15"/>
  <c r="K60" i="15"/>
  <c r="J60" i="15"/>
  <c r="F60" i="15"/>
  <c r="K59" i="15"/>
  <c r="J59" i="15"/>
  <c r="F59" i="15"/>
  <c r="K58" i="15"/>
  <c r="J58" i="15"/>
  <c r="F58" i="15"/>
  <c r="K57" i="15"/>
  <c r="J57" i="15"/>
  <c r="F57" i="15"/>
  <c r="K56" i="15"/>
  <c r="J56" i="15"/>
  <c r="F56" i="15"/>
  <c r="K55" i="15"/>
  <c r="J55" i="15"/>
  <c r="F55" i="15"/>
  <c r="K54" i="15"/>
  <c r="J54" i="15"/>
  <c r="F54" i="15"/>
  <c r="K53" i="15"/>
  <c r="J53" i="15"/>
  <c r="F53" i="15"/>
  <c r="K52" i="15"/>
  <c r="J52" i="15"/>
  <c r="F52" i="15"/>
  <c r="K51" i="15"/>
  <c r="J51" i="15"/>
  <c r="F51" i="15"/>
  <c r="K50" i="15"/>
  <c r="J50" i="15"/>
  <c r="F50" i="15"/>
  <c r="K49" i="15"/>
  <c r="J49" i="15"/>
  <c r="F49" i="15"/>
  <c r="K48" i="15"/>
  <c r="J48" i="15"/>
  <c r="F48" i="15"/>
  <c r="K47" i="15"/>
  <c r="J47" i="15"/>
  <c r="F47" i="15"/>
  <c r="K46" i="15"/>
  <c r="J46" i="15"/>
  <c r="F46" i="15"/>
  <c r="K45" i="15"/>
  <c r="J45" i="15"/>
  <c r="F45" i="15"/>
  <c r="K44" i="15"/>
  <c r="J44" i="15"/>
  <c r="F44" i="15"/>
  <c r="K43" i="15"/>
  <c r="J43" i="15"/>
  <c r="F43" i="15"/>
  <c r="K42" i="15"/>
  <c r="J42" i="15"/>
  <c r="F42" i="15"/>
  <c r="K41" i="15"/>
  <c r="J41" i="15"/>
  <c r="F41" i="15"/>
  <c r="K40" i="15"/>
  <c r="J40" i="15"/>
  <c r="F40" i="15"/>
  <c r="K39" i="15"/>
  <c r="J39" i="15"/>
  <c r="F39" i="15"/>
  <c r="K38" i="15"/>
  <c r="J38" i="15"/>
  <c r="F38" i="15"/>
  <c r="K37" i="15"/>
  <c r="J37" i="15"/>
  <c r="F37" i="15"/>
  <c r="K36" i="15"/>
  <c r="J36" i="15"/>
  <c r="F36" i="15"/>
  <c r="K35" i="15"/>
  <c r="J35" i="15"/>
  <c r="F35" i="15"/>
  <c r="K34" i="15"/>
  <c r="J34" i="15"/>
  <c r="F34" i="15"/>
  <c r="K33" i="15"/>
  <c r="J33" i="15"/>
  <c r="F33" i="15"/>
  <c r="K32" i="15"/>
  <c r="J32" i="15"/>
  <c r="F32" i="15"/>
  <c r="K31" i="15"/>
  <c r="J31" i="15"/>
  <c r="F31" i="15"/>
  <c r="K30" i="15"/>
  <c r="J30" i="15"/>
  <c r="F30" i="15"/>
  <c r="K29" i="15"/>
  <c r="J29" i="15"/>
  <c r="F29" i="15"/>
  <c r="K28" i="15"/>
  <c r="J28" i="15"/>
  <c r="F28" i="15"/>
  <c r="K27" i="15"/>
  <c r="J27" i="15"/>
  <c r="F27" i="15"/>
  <c r="K26" i="15"/>
  <c r="J26" i="15"/>
  <c r="F26" i="15"/>
  <c r="K25" i="15"/>
  <c r="J25" i="15"/>
  <c r="F25" i="15"/>
  <c r="K24" i="15"/>
  <c r="J24" i="15"/>
  <c r="F24" i="15"/>
  <c r="K23" i="15"/>
  <c r="J23" i="15"/>
  <c r="F23" i="15"/>
  <c r="K22" i="15"/>
  <c r="J22" i="15"/>
  <c r="F22" i="15"/>
  <c r="K21" i="15"/>
  <c r="J21" i="15"/>
  <c r="F21" i="15"/>
  <c r="K191" i="15"/>
  <c r="J191" i="15"/>
  <c r="F191" i="15"/>
  <c r="K20" i="15"/>
  <c r="J20" i="15"/>
  <c r="F20" i="15"/>
  <c r="K19" i="15"/>
  <c r="J19" i="15"/>
  <c r="F19" i="15"/>
  <c r="K18" i="15"/>
  <c r="J18" i="15"/>
  <c r="F18" i="15"/>
  <c r="K17" i="15"/>
  <c r="J17" i="15"/>
  <c r="F17" i="15"/>
  <c r="K16" i="15"/>
  <c r="J16" i="15"/>
  <c r="F16" i="15"/>
  <c r="K15" i="15"/>
  <c r="J15" i="15"/>
  <c r="F15" i="15"/>
  <c r="K14" i="15"/>
  <c r="J14" i="15"/>
  <c r="F14" i="15"/>
  <c r="K13" i="15"/>
  <c r="J13" i="15"/>
  <c r="F13" i="15"/>
  <c r="K12" i="15"/>
  <c r="J12" i="15"/>
  <c r="F12" i="15"/>
  <c r="K11" i="15"/>
  <c r="J11" i="15"/>
  <c r="F11" i="15"/>
  <c r="K10" i="15"/>
  <c r="J10" i="15"/>
  <c r="F10" i="15"/>
  <c r="K9" i="15"/>
  <c r="J9" i="15"/>
  <c r="F9" i="15"/>
  <c r="K8" i="15"/>
  <c r="J8" i="15"/>
  <c r="F8" i="15"/>
  <c r="K7" i="15"/>
  <c r="J7" i="15"/>
  <c r="F7" i="15"/>
  <c r="K6" i="15"/>
  <c r="J6" i="15"/>
  <c r="F6" i="15"/>
  <c r="J89" i="14"/>
  <c r="K89" i="14"/>
  <c r="F161" i="15" l="1"/>
  <c r="F179" i="15" s="1"/>
  <c r="K161" i="15"/>
  <c r="K179" i="15" s="1"/>
  <c r="L152" i="15"/>
  <c r="L144" i="15"/>
  <c r="L137" i="15"/>
  <c r="L136" i="15"/>
  <c r="L128" i="15"/>
  <c r="L124" i="15"/>
  <c r="L112" i="15"/>
  <c r="L68" i="15"/>
  <c r="L66" i="15"/>
  <c r="L8" i="15"/>
  <c r="L12" i="15"/>
  <c r="L16" i="15"/>
  <c r="L20" i="15"/>
  <c r="L23" i="15"/>
  <c r="L27" i="15"/>
  <c r="L31" i="15"/>
  <c r="L35" i="15"/>
  <c r="L39" i="15"/>
  <c r="L43" i="15"/>
  <c r="L47" i="15"/>
  <c r="L51" i="15"/>
  <c r="L55" i="15"/>
  <c r="L59" i="15"/>
  <c r="L63" i="15"/>
  <c r="L7" i="15"/>
  <c r="L11" i="15"/>
  <c r="L15" i="15"/>
  <c r="L19" i="15"/>
  <c r="L22" i="15"/>
  <c r="L26" i="15"/>
  <c r="L30" i="15"/>
  <c r="L34" i="15"/>
  <c r="L38" i="15"/>
  <c r="L42" i="15"/>
  <c r="L46" i="15"/>
  <c r="L50" i="15"/>
  <c r="L54" i="15"/>
  <c r="L58" i="15"/>
  <c r="L62" i="15"/>
  <c r="L67" i="15"/>
  <c r="L71" i="15"/>
  <c r="L77" i="15"/>
  <c r="L81" i="15"/>
  <c r="L85" i="15"/>
  <c r="L89" i="15"/>
  <c r="L93" i="15"/>
  <c r="L97" i="15"/>
  <c r="L101" i="15"/>
  <c r="L105" i="15"/>
  <c r="L109" i="15"/>
  <c r="L117" i="15"/>
  <c r="L70" i="15"/>
  <c r="L76" i="15"/>
  <c r="L80" i="15"/>
  <c r="L84" i="15"/>
  <c r="L88" i="15"/>
  <c r="L92" i="15"/>
  <c r="L96" i="15"/>
  <c r="L100" i="15"/>
  <c r="L104" i="15"/>
  <c r="L108" i="15"/>
  <c r="L120" i="15"/>
  <c r="L147" i="15"/>
  <c r="L151" i="15"/>
  <c r="L155" i="15"/>
  <c r="L10" i="15"/>
  <c r="L14" i="15"/>
  <c r="L18" i="15"/>
  <c r="L21" i="15"/>
  <c r="L25" i="15"/>
  <c r="L29" i="15"/>
  <c r="L33" i="15"/>
  <c r="L37" i="15"/>
  <c r="L41" i="15"/>
  <c r="L45" i="15"/>
  <c r="L49" i="15"/>
  <c r="L53" i="15"/>
  <c r="L57" i="15"/>
  <c r="L61" i="15"/>
  <c r="L75" i="15"/>
  <c r="L79" i="15"/>
  <c r="L111" i="15"/>
  <c r="L115" i="15"/>
  <c r="L127" i="15"/>
  <c r="L131" i="15"/>
  <c r="L135" i="15"/>
  <c r="L139" i="15"/>
  <c r="L143" i="15"/>
  <c r="L9" i="15"/>
  <c r="L13" i="15"/>
  <c r="L17" i="15"/>
  <c r="L191" i="15"/>
  <c r="L24" i="15"/>
  <c r="L28" i="15"/>
  <c r="L32" i="15"/>
  <c r="L36" i="15"/>
  <c r="L40" i="15"/>
  <c r="L44" i="15"/>
  <c r="L48" i="15"/>
  <c r="L52" i="15"/>
  <c r="L56" i="15"/>
  <c r="L60" i="15"/>
  <c r="L74" i="15"/>
  <c r="L114" i="15"/>
  <c r="L122" i="15"/>
  <c r="L126" i="15"/>
  <c r="L134" i="15"/>
  <c r="L138" i="15"/>
  <c r="L142" i="15"/>
  <c r="L146" i="15"/>
  <c r="L150" i="15"/>
  <c r="L154" i="15"/>
  <c r="L6" i="15"/>
  <c r="L161" i="15" l="1"/>
  <c r="L179" i="15" s="1"/>
  <c r="F89" i="14"/>
  <c r="L89" i="14" s="1"/>
  <c r="F172" i="14"/>
  <c r="L172" i="14" l="1"/>
  <c r="L173" i="14" s="1"/>
  <c r="F173" i="14"/>
  <c r="K157" i="14"/>
  <c r="J157" i="14"/>
  <c r="F157" i="14"/>
  <c r="K156" i="14"/>
  <c r="J156" i="14"/>
  <c r="F156" i="14"/>
  <c r="K155" i="14"/>
  <c r="J155" i="14"/>
  <c r="F155" i="14"/>
  <c r="K154" i="14"/>
  <c r="J154" i="14"/>
  <c r="F154" i="14"/>
  <c r="K153" i="14"/>
  <c r="J153" i="14"/>
  <c r="F153" i="14"/>
  <c r="K152" i="14"/>
  <c r="J152" i="14"/>
  <c r="F152" i="14"/>
  <c r="K151" i="14"/>
  <c r="J151" i="14"/>
  <c r="F151" i="14"/>
  <c r="K150" i="14"/>
  <c r="J150" i="14"/>
  <c r="F150" i="14"/>
  <c r="K149" i="14"/>
  <c r="J149" i="14"/>
  <c r="F149" i="14"/>
  <c r="K148" i="14"/>
  <c r="J148" i="14"/>
  <c r="F148" i="14"/>
  <c r="K147" i="14"/>
  <c r="J147" i="14"/>
  <c r="F147" i="14"/>
  <c r="K146" i="14"/>
  <c r="J146" i="14"/>
  <c r="F146" i="14"/>
  <c r="K145" i="14"/>
  <c r="J145" i="14"/>
  <c r="F145" i="14"/>
  <c r="K144" i="14"/>
  <c r="J144" i="14"/>
  <c r="F144" i="14"/>
  <c r="K143" i="14"/>
  <c r="J143" i="14"/>
  <c r="F143" i="14"/>
  <c r="K142" i="14"/>
  <c r="J142" i="14"/>
  <c r="F142" i="14"/>
  <c r="K141" i="14"/>
  <c r="J141" i="14"/>
  <c r="F141" i="14"/>
  <c r="K140" i="14"/>
  <c r="J140" i="14"/>
  <c r="F140" i="14"/>
  <c r="K139" i="14"/>
  <c r="J139" i="14"/>
  <c r="F139" i="14"/>
  <c r="K138" i="14"/>
  <c r="J138" i="14"/>
  <c r="F138" i="14"/>
  <c r="K137" i="14"/>
  <c r="J137" i="14"/>
  <c r="F137" i="14"/>
  <c r="K136" i="14"/>
  <c r="J136" i="14"/>
  <c r="F136" i="14"/>
  <c r="K135" i="14"/>
  <c r="J135" i="14"/>
  <c r="F135" i="14"/>
  <c r="K134" i="14"/>
  <c r="J134" i="14"/>
  <c r="F134" i="14"/>
  <c r="K133" i="14"/>
  <c r="J133" i="14"/>
  <c r="F133" i="14"/>
  <c r="K132" i="14"/>
  <c r="J132" i="14"/>
  <c r="F132" i="14"/>
  <c r="K131" i="14"/>
  <c r="J131" i="14"/>
  <c r="F131" i="14"/>
  <c r="L131" i="14" s="1"/>
  <c r="K130" i="14"/>
  <c r="J130" i="14"/>
  <c r="F130" i="14"/>
  <c r="K129" i="14"/>
  <c r="J129" i="14"/>
  <c r="F129" i="14"/>
  <c r="K128" i="14"/>
  <c r="J128" i="14"/>
  <c r="F128" i="14"/>
  <c r="K127" i="14"/>
  <c r="J127" i="14"/>
  <c r="F127" i="14"/>
  <c r="K126" i="14"/>
  <c r="J126" i="14"/>
  <c r="F126" i="14"/>
  <c r="K125" i="14"/>
  <c r="J125" i="14"/>
  <c r="F125" i="14"/>
  <c r="K124" i="14"/>
  <c r="J124" i="14"/>
  <c r="F124" i="14"/>
  <c r="K123" i="14"/>
  <c r="J123" i="14"/>
  <c r="F123" i="14"/>
  <c r="K122" i="14"/>
  <c r="J122" i="14"/>
  <c r="F122" i="14"/>
  <c r="K121" i="14"/>
  <c r="J121" i="14"/>
  <c r="F121" i="14"/>
  <c r="K120" i="14"/>
  <c r="J120" i="14"/>
  <c r="F120" i="14"/>
  <c r="K119" i="14"/>
  <c r="J119" i="14"/>
  <c r="F119" i="14"/>
  <c r="K118" i="14"/>
  <c r="J118" i="14"/>
  <c r="F118" i="14"/>
  <c r="K117" i="14"/>
  <c r="J117" i="14"/>
  <c r="F117" i="14"/>
  <c r="K116" i="14"/>
  <c r="J116" i="14"/>
  <c r="F116" i="14"/>
  <c r="K115" i="14"/>
  <c r="J115" i="14"/>
  <c r="F115" i="14"/>
  <c r="K114" i="14"/>
  <c r="J114" i="14"/>
  <c r="F114" i="14"/>
  <c r="K113" i="14"/>
  <c r="J113" i="14"/>
  <c r="F113" i="14"/>
  <c r="K112" i="14"/>
  <c r="J112" i="14"/>
  <c r="F112" i="14"/>
  <c r="K111" i="14"/>
  <c r="J111" i="14"/>
  <c r="F111" i="14"/>
  <c r="K110" i="14"/>
  <c r="J110" i="14"/>
  <c r="F110" i="14"/>
  <c r="K109" i="14"/>
  <c r="J109" i="14"/>
  <c r="F109" i="14"/>
  <c r="K108" i="14"/>
  <c r="J108" i="14"/>
  <c r="F108" i="14"/>
  <c r="K107" i="14"/>
  <c r="J107" i="14"/>
  <c r="F107" i="14"/>
  <c r="K106" i="14"/>
  <c r="J106" i="14"/>
  <c r="F106" i="14"/>
  <c r="K105" i="14"/>
  <c r="J105" i="14"/>
  <c r="F105" i="14"/>
  <c r="K104" i="14"/>
  <c r="J104" i="14"/>
  <c r="F104" i="14"/>
  <c r="K103" i="14"/>
  <c r="J103" i="14"/>
  <c r="F103" i="14"/>
  <c r="K102" i="14"/>
  <c r="J102" i="14"/>
  <c r="F102" i="14"/>
  <c r="K101" i="14"/>
  <c r="J101" i="14"/>
  <c r="F101" i="14"/>
  <c r="K100" i="14"/>
  <c r="J100" i="14"/>
  <c r="F100" i="14"/>
  <c r="K99" i="14"/>
  <c r="J99" i="14"/>
  <c r="F99" i="14"/>
  <c r="K98" i="14"/>
  <c r="J98" i="14"/>
  <c r="F98" i="14"/>
  <c r="K97" i="14"/>
  <c r="J97" i="14"/>
  <c r="F97" i="14"/>
  <c r="K96" i="14"/>
  <c r="J96" i="14"/>
  <c r="F96" i="14"/>
  <c r="K95" i="14"/>
  <c r="J95" i="14"/>
  <c r="F95" i="14"/>
  <c r="K94" i="14"/>
  <c r="J94" i="14"/>
  <c r="F94" i="14"/>
  <c r="K93" i="14"/>
  <c r="J93" i="14"/>
  <c r="F93" i="14"/>
  <c r="K92" i="14"/>
  <c r="J92" i="14"/>
  <c r="F92" i="14"/>
  <c r="K91" i="14"/>
  <c r="J91" i="14"/>
  <c r="F91" i="14"/>
  <c r="K90" i="14"/>
  <c r="J90" i="14"/>
  <c r="F90" i="14"/>
  <c r="K189" i="14"/>
  <c r="J189" i="14"/>
  <c r="F189" i="14"/>
  <c r="K88" i="14"/>
  <c r="J88" i="14"/>
  <c r="F88" i="14"/>
  <c r="K87" i="14"/>
  <c r="J87" i="14"/>
  <c r="F87" i="14"/>
  <c r="K86" i="14"/>
  <c r="J86" i="14"/>
  <c r="F86" i="14"/>
  <c r="K85" i="14"/>
  <c r="J85" i="14"/>
  <c r="F85" i="14"/>
  <c r="K84" i="14"/>
  <c r="J84" i="14"/>
  <c r="F84" i="14"/>
  <c r="K83" i="14"/>
  <c r="J83" i="14"/>
  <c r="F83" i="14"/>
  <c r="K82" i="14"/>
  <c r="J82" i="14"/>
  <c r="F82" i="14"/>
  <c r="K81" i="14"/>
  <c r="J81" i="14"/>
  <c r="F81" i="14"/>
  <c r="K80" i="14"/>
  <c r="J80" i="14"/>
  <c r="F80" i="14"/>
  <c r="K79" i="14"/>
  <c r="J79" i="14"/>
  <c r="F79" i="14"/>
  <c r="K78" i="14"/>
  <c r="J78" i="14"/>
  <c r="F78" i="14"/>
  <c r="K77" i="14"/>
  <c r="J77" i="14"/>
  <c r="F77" i="14"/>
  <c r="K76" i="14"/>
  <c r="J76" i="14"/>
  <c r="F76" i="14"/>
  <c r="K75" i="14"/>
  <c r="J75" i="14"/>
  <c r="F75" i="14"/>
  <c r="K74" i="14"/>
  <c r="J74" i="14"/>
  <c r="F74" i="14"/>
  <c r="K73" i="14"/>
  <c r="J73" i="14"/>
  <c r="F73" i="14"/>
  <c r="K72" i="14"/>
  <c r="J72" i="14"/>
  <c r="F72" i="14"/>
  <c r="K71" i="14"/>
  <c r="J71" i="14"/>
  <c r="F71" i="14"/>
  <c r="K70" i="14"/>
  <c r="J70" i="14"/>
  <c r="F70" i="14"/>
  <c r="K69" i="14"/>
  <c r="J69" i="14"/>
  <c r="F69" i="14"/>
  <c r="K68" i="14"/>
  <c r="J68" i="14"/>
  <c r="F68" i="14"/>
  <c r="K67" i="14"/>
  <c r="J67" i="14"/>
  <c r="F67" i="14"/>
  <c r="K66" i="14"/>
  <c r="J66" i="14"/>
  <c r="F66" i="14"/>
  <c r="K65" i="14"/>
  <c r="L65" i="14" s="1"/>
  <c r="J65" i="14"/>
  <c r="K64" i="14"/>
  <c r="J64" i="14"/>
  <c r="F64" i="14"/>
  <c r="K63" i="14"/>
  <c r="J63" i="14"/>
  <c r="F63" i="14"/>
  <c r="K187" i="14"/>
  <c r="J187" i="14"/>
  <c r="F187" i="14"/>
  <c r="K62" i="14"/>
  <c r="J62" i="14"/>
  <c r="F62" i="14"/>
  <c r="K61" i="14"/>
  <c r="J61" i="14"/>
  <c r="F61" i="14"/>
  <c r="K60" i="14"/>
  <c r="J60" i="14"/>
  <c r="F60" i="14"/>
  <c r="K59" i="14"/>
  <c r="J59" i="14"/>
  <c r="F59" i="14"/>
  <c r="K58" i="14"/>
  <c r="J58" i="14"/>
  <c r="F58" i="14"/>
  <c r="K191" i="14"/>
  <c r="J191" i="14"/>
  <c r="F191" i="14"/>
  <c r="K57" i="14"/>
  <c r="J57" i="14"/>
  <c r="F57" i="14"/>
  <c r="K56" i="14"/>
  <c r="J56" i="14"/>
  <c r="F56" i="14"/>
  <c r="K55" i="14"/>
  <c r="J55" i="14"/>
  <c r="F55" i="14"/>
  <c r="K54" i="14"/>
  <c r="J54" i="14"/>
  <c r="F54" i="14"/>
  <c r="K53" i="14"/>
  <c r="J53" i="14"/>
  <c r="F53" i="14"/>
  <c r="K52" i="14"/>
  <c r="J52" i="14"/>
  <c r="F52" i="14"/>
  <c r="K51" i="14"/>
  <c r="J51" i="14"/>
  <c r="F51" i="14"/>
  <c r="K50" i="14"/>
  <c r="J50" i="14"/>
  <c r="F50" i="14"/>
  <c r="K190" i="14"/>
  <c r="J190" i="14"/>
  <c r="F190" i="14"/>
  <c r="K49" i="14"/>
  <c r="J49" i="14"/>
  <c r="F49" i="14"/>
  <c r="K48" i="14"/>
  <c r="J48" i="14"/>
  <c r="F48" i="14"/>
  <c r="K47" i="14"/>
  <c r="J47" i="14"/>
  <c r="F47" i="14"/>
  <c r="K46" i="14"/>
  <c r="J46" i="14"/>
  <c r="F46" i="14"/>
  <c r="K45" i="14"/>
  <c r="J45" i="14"/>
  <c r="F45" i="14"/>
  <c r="K44" i="14"/>
  <c r="J44" i="14"/>
  <c r="F44" i="14"/>
  <c r="K43" i="14"/>
  <c r="J43" i="14"/>
  <c r="F43" i="14"/>
  <c r="K42" i="14"/>
  <c r="J42" i="14"/>
  <c r="F42" i="14"/>
  <c r="K41" i="14"/>
  <c r="J41" i="14"/>
  <c r="F41" i="14"/>
  <c r="K40" i="14"/>
  <c r="J40" i="14"/>
  <c r="F40" i="14"/>
  <c r="K39" i="14"/>
  <c r="J39" i="14"/>
  <c r="F39" i="14"/>
  <c r="K38" i="14"/>
  <c r="J38" i="14"/>
  <c r="F38" i="14"/>
  <c r="K37" i="14"/>
  <c r="J37" i="14"/>
  <c r="F37" i="14"/>
  <c r="K36" i="14"/>
  <c r="J36" i="14"/>
  <c r="F36" i="14"/>
  <c r="K35" i="14"/>
  <c r="J35" i="14"/>
  <c r="F35" i="14"/>
  <c r="K34" i="14"/>
  <c r="J34" i="14"/>
  <c r="F34" i="14"/>
  <c r="K33" i="14"/>
  <c r="J33" i="14"/>
  <c r="F33" i="14"/>
  <c r="K32" i="14"/>
  <c r="J32" i="14"/>
  <c r="F32" i="14"/>
  <c r="K31" i="14"/>
  <c r="J31" i="14"/>
  <c r="F31" i="14"/>
  <c r="K30" i="14"/>
  <c r="J30" i="14"/>
  <c r="F30" i="14"/>
  <c r="K29" i="14"/>
  <c r="J29" i="14"/>
  <c r="F29" i="14"/>
  <c r="K28" i="14"/>
  <c r="J28" i="14"/>
  <c r="F28" i="14"/>
  <c r="K27" i="14"/>
  <c r="J27" i="14"/>
  <c r="F27" i="14"/>
  <c r="K26" i="14"/>
  <c r="J26" i="14"/>
  <c r="F26" i="14"/>
  <c r="K25" i="14"/>
  <c r="J25" i="14"/>
  <c r="F25" i="14"/>
  <c r="K24" i="14"/>
  <c r="J24" i="14"/>
  <c r="F24" i="14"/>
  <c r="K23" i="14"/>
  <c r="J23" i="14"/>
  <c r="F23" i="14"/>
  <c r="K22" i="14"/>
  <c r="J22" i="14"/>
  <c r="F22" i="14"/>
  <c r="K21" i="14"/>
  <c r="J21" i="14"/>
  <c r="F21" i="14"/>
  <c r="K20" i="14"/>
  <c r="J20" i="14"/>
  <c r="F20" i="14"/>
  <c r="K19" i="14"/>
  <c r="J19" i="14"/>
  <c r="F19" i="14"/>
  <c r="K18" i="14"/>
  <c r="J18" i="14"/>
  <c r="F18" i="14"/>
  <c r="K17" i="14"/>
  <c r="J17" i="14"/>
  <c r="F17" i="14"/>
  <c r="K16" i="14"/>
  <c r="J16" i="14"/>
  <c r="F16" i="14"/>
  <c r="K15" i="14"/>
  <c r="J15" i="14"/>
  <c r="F15" i="14"/>
  <c r="K14" i="14"/>
  <c r="J14" i="14"/>
  <c r="F14" i="14"/>
  <c r="K13" i="14"/>
  <c r="J13" i="14"/>
  <c r="F13" i="14"/>
  <c r="K188" i="14"/>
  <c r="J188" i="14"/>
  <c r="F188" i="14"/>
  <c r="K12" i="14"/>
  <c r="J12" i="14"/>
  <c r="F12" i="14"/>
  <c r="K11" i="14"/>
  <c r="J11" i="14"/>
  <c r="F11" i="14"/>
  <c r="K10" i="14"/>
  <c r="J10" i="14"/>
  <c r="F10" i="14"/>
  <c r="K9" i="14"/>
  <c r="J9" i="14"/>
  <c r="F9" i="14"/>
  <c r="K8" i="14"/>
  <c r="J8" i="14"/>
  <c r="F8" i="14"/>
  <c r="K7" i="14"/>
  <c r="J7" i="14"/>
  <c r="F7" i="14"/>
  <c r="K6" i="14"/>
  <c r="J6" i="14"/>
  <c r="F6" i="14"/>
  <c r="F158" i="14" s="1"/>
  <c r="B178" i="13"/>
  <c r="J161" i="13"/>
  <c r="K161" i="13"/>
  <c r="L161" i="13"/>
  <c r="F161" i="13"/>
  <c r="J92" i="13"/>
  <c r="K92" i="13"/>
  <c r="L92" i="13"/>
  <c r="J91" i="13"/>
  <c r="K91" i="13"/>
  <c r="L91" i="13"/>
  <c r="F92" i="13"/>
  <c r="F91" i="13"/>
  <c r="K158" i="14" l="1"/>
  <c r="K175" i="14" s="1"/>
  <c r="F175" i="14"/>
  <c r="L132" i="14"/>
  <c r="L136" i="14"/>
  <c r="L140" i="14"/>
  <c r="L144" i="14"/>
  <c r="L148" i="14"/>
  <c r="L152" i="14"/>
  <c r="L156" i="14"/>
  <c r="L12" i="14"/>
  <c r="L15" i="14"/>
  <c r="L19" i="14"/>
  <c r="L27" i="14"/>
  <c r="L31" i="14"/>
  <c r="L67" i="14"/>
  <c r="L71" i="14"/>
  <c r="L75" i="14"/>
  <c r="L79" i="14"/>
  <c r="L83" i="14"/>
  <c r="L87" i="14"/>
  <c r="L91" i="14"/>
  <c r="L95" i="14"/>
  <c r="L99" i="14"/>
  <c r="L103" i="14"/>
  <c r="L107" i="14"/>
  <c r="L111" i="14"/>
  <c r="L115" i="14"/>
  <c r="L119" i="14"/>
  <c r="L123" i="14"/>
  <c r="L127" i="14"/>
  <c r="L8" i="14"/>
  <c r="L7" i="14"/>
  <c r="L11" i="14"/>
  <c r="L14" i="14"/>
  <c r="L18" i="14"/>
  <c r="L22" i="14"/>
  <c r="L26" i="14"/>
  <c r="L38" i="14"/>
  <c r="L66" i="14"/>
  <c r="L70" i="14"/>
  <c r="L74" i="14"/>
  <c r="L78" i="14"/>
  <c r="L82" i="14"/>
  <c r="L86" i="14"/>
  <c r="L90" i="14"/>
  <c r="L94" i="14"/>
  <c r="L98" i="14"/>
  <c r="L102" i="14"/>
  <c r="L106" i="14"/>
  <c r="L110" i="14"/>
  <c r="L114" i="14"/>
  <c r="L118" i="14"/>
  <c r="L122" i="14"/>
  <c r="L126" i="14"/>
  <c r="L130" i="14"/>
  <c r="L135" i="14"/>
  <c r="L139" i="14"/>
  <c r="L143" i="14"/>
  <c r="L147" i="14"/>
  <c r="L151" i="14"/>
  <c r="L155" i="14"/>
  <c r="L10" i="14"/>
  <c r="L13" i="14"/>
  <c r="L17" i="14"/>
  <c r="L21" i="14"/>
  <c r="L23" i="14"/>
  <c r="L25" i="14"/>
  <c r="L29" i="14"/>
  <c r="L35" i="14"/>
  <c r="L39" i="14"/>
  <c r="L43" i="14"/>
  <c r="L47" i="14"/>
  <c r="L50" i="14"/>
  <c r="L54" i="14"/>
  <c r="L191" i="14"/>
  <c r="L61" i="14"/>
  <c r="L64" i="14"/>
  <c r="L69" i="14"/>
  <c r="L73" i="14"/>
  <c r="L77" i="14"/>
  <c r="L81" i="14"/>
  <c r="L85" i="14"/>
  <c r="L189" i="14"/>
  <c r="L93" i="14"/>
  <c r="L97" i="14"/>
  <c r="L101" i="14"/>
  <c r="L105" i="14"/>
  <c r="L109" i="14"/>
  <c r="L113" i="14"/>
  <c r="L117" i="14"/>
  <c r="L121" i="14"/>
  <c r="L125" i="14"/>
  <c r="L129" i="14"/>
  <c r="L134" i="14"/>
  <c r="L138" i="14"/>
  <c r="L142" i="14"/>
  <c r="L146" i="14"/>
  <c r="L150" i="14"/>
  <c r="L154" i="14"/>
  <c r="L9" i="14"/>
  <c r="L188" i="14"/>
  <c r="L16" i="14"/>
  <c r="L20" i="14"/>
  <c r="L24" i="14"/>
  <c r="L28" i="14"/>
  <c r="L30" i="14"/>
  <c r="L32" i="14"/>
  <c r="L34" i="14"/>
  <c r="L42" i="14"/>
  <c r="L46" i="14"/>
  <c r="L48" i="14"/>
  <c r="L190" i="14"/>
  <c r="L53" i="14"/>
  <c r="L57" i="14"/>
  <c r="L60" i="14"/>
  <c r="L63" i="14"/>
  <c r="L68" i="14"/>
  <c r="L72" i="14"/>
  <c r="L76" i="14"/>
  <c r="L80" i="14"/>
  <c r="L84" i="14"/>
  <c r="L88" i="14"/>
  <c r="L92" i="14"/>
  <c r="L96" i="14"/>
  <c r="L100" i="14"/>
  <c r="L104" i="14"/>
  <c r="L108" i="14"/>
  <c r="L112" i="14"/>
  <c r="L116" i="14"/>
  <c r="L120" i="14"/>
  <c r="L124" i="14"/>
  <c r="L128" i="14"/>
  <c r="L133" i="14"/>
  <c r="L137" i="14"/>
  <c r="L141" i="14"/>
  <c r="L145" i="14"/>
  <c r="L149" i="14"/>
  <c r="L153" i="14"/>
  <c r="L157" i="14"/>
  <c r="L6" i="14"/>
  <c r="L158" i="14" s="1"/>
  <c r="L175" i="14" s="1"/>
  <c r="L33" i="14"/>
  <c r="L37" i="14"/>
  <c r="L41" i="14"/>
  <c r="L45" i="14"/>
  <c r="L49" i="14"/>
  <c r="L52" i="14"/>
  <c r="L56" i="14"/>
  <c r="L59" i="14"/>
  <c r="L187" i="14"/>
  <c r="L36" i="14"/>
  <c r="L40" i="14"/>
  <c r="L44" i="14"/>
  <c r="L51" i="14"/>
  <c r="L55" i="14"/>
  <c r="L58" i="14"/>
  <c r="L62" i="14"/>
  <c r="J57" i="13" l="1"/>
  <c r="K57" i="13"/>
  <c r="L57" i="13"/>
  <c r="F57" i="13"/>
  <c r="J38" i="13"/>
  <c r="K38" i="13"/>
  <c r="L38" i="13" s="1"/>
  <c r="J37" i="13"/>
  <c r="K37" i="13"/>
  <c r="L37" i="13" s="1"/>
  <c r="F38" i="13"/>
  <c r="F37" i="13"/>
  <c r="K160" i="13" l="1"/>
  <c r="L160" i="13" s="1"/>
  <c r="J160" i="13"/>
  <c r="F160" i="13"/>
  <c r="K159" i="13"/>
  <c r="L159" i="13" s="1"/>
  <c r="J159" i="13"/>
  <c r="F159" i="13"/>
  <c r="K158" i="13"/>
  <c r="L158" i="13" s="1"/>
  <c r="J158" i="13"/>
  <c r="F158" i="13"/>
  <c r="K157" i="13"/>
  <c r="L157" i="13" s="1"/>
  <c r="J157" i="13"/>
  <c r="F157" i="13"/>
  <c r="K156" i="13"/>
  <c r="L156" i="13" s="1"/>
  <c r="J156" i="13"/>
  <c r="F156" i="13"/>
  <c r="K155" i="13"/>
  <c r="L155" i="13" s="1"/>
  <c r="J155" i="13"/>
  <c r="F155" i="13"/>
  <c r="K154" i="13"/>
  <c r="L154" i="13" s="1"/>
  <c r="J154" i="13"/>
  <c r="F154" i="13"/>
  <c r="K153" i="13"/>
  <c r="L153" i="13" s="1"/>
  <c r="J153" i="13"/>
  <c r="F153" i="13"/>
  <c r="K152" i="13"/>
  <c r="L152" i="13" s="1"/>
  <c r="J152" i="13"/>
  <c r="F152" i="13"/>
  <c r="K151" i="13"/>
  <c r="L151" i="13" s="1"/>
  <c r="J151" i="13"/>
  <c r="F151" i="13"/>
  <c r="K150" i="13"/>
  <c r="L150" i="13" s="1"/>
  <c r="J150" i="13"/>
  <c r="F150" i="13"/>
  <c r="K149" i="13"/>
  <c r="L149" i="13" s="1"/>
  <c r="J149" i="13"/>
  <c r="F149" i="13"/>
  <c r="K148" i="13"/>
  <c r="L148" i="13" s="1"/>
  <c r="J148" i="13"/>
  <c r="F148" i="13"/>
  <c r="K147" i="13"/>
  <c r="L147" i="13" s="1"/>
  <c r="J147" i="13"/>
  <c r="F147" i="13"/>
  <c r="K146" i="13"/>
  <c r="L146" i="13" s="1"/>
  <c r="J146" i="13"/>
  <c r="F146" i="13"/>
  <c r="K145" i="13"/>
  <c r="L145" i="13" s="1"/>
  <c r="J145" i="13"/>
  <c r="F145" i="13"/>
  <c r="K144" i="13"/>
  <c r="L144" i="13" s="1"/>
  <c r="J144" i="13"/>
  <c r="F144" i="13"/>
  <c r="K143" i="13"/>
  <c r="L143" i="13" s="1"/>
  <c r="J143" i="13"/>
  <c r="F143" i="13"/>
  <c r="K142" i="13"/>
  <c r="L142" i="13" s="1"/>
  <c r="J142" i="13"/>
  <c r="F142" i="13"/>
  <c r="K141" i="13"/>
  <c r="L141" i="13" s="1"/>
  <c r="J141" i="13"/>
  <c r="F141" i="13"/>
  <c r="K140" i="13"/>
  <c r="L140" i="13" s="1"/>
  <c r="J140" i="13"/>
  <c r="F140" i="13"/>
  <c r="K139" i="13"/>
  <c r="L139" i="13" s="1"/>
  <c r="J139" i="13"/>
  <c r="F139" i="13"/>
  <c r="K138" i="13"/>
  <c r="L138" i="13" s="1"/>
  <c r="J138" i="13"/>
  <c r="F138" i="13"/>
  <c r="K137" i="13"/>
  <c r="L137" i="13" s="1"/>
  <c r="J137" i="13"/>
  <c r="F137" i="13"/>
  <c r="K136" i="13"/>
  <c r="L136" i="13" s="1"/>
  <c r="J136" i="13"/>
  <c r="F136" i="13"/>
  <c r="L135" i="13"/>
  <c r="K135" i="13"/>
  <c r="J135" i="13"/>
  <c r="F135" i="13"/>
  <c r="K134" i="13"/>
  <c r="L134" i="13" s="1"/>
  <c r="J134" i="13"/>
  <c r="F134" i="13"/>
  <c r="K133" i="13"/>
  <c r="L133" i="13" s="1"/>
  <c r="J133" i="13"/>
  <c r="F133" i="13"/>
  <c r="K132" i="13"/>
  <c r="L132" i="13" s="1"/>
  <c r="J132" i="13"/>
  <c r="F132" i="13"/>
  <c r="K131" i="13"/>
  <c r="L131" i="13" s="1"/>
  <c r="J131" i="13"/>
  <c r="F131" i="13"/>
  <c r="K130" i="13"/>
  <c r="L130" i="13" s="1"/>
  <c r="J130" i="13"/>
  <c r="F130" i="13"/>
  <c r="K129" i="13"/>
  <c r="L129" i="13" s="1"/>
  <c r="J129" i="13"/>
  <c r="F129" i="13"/>
  <c r="K128" i="13"/>
  <c r="L128" i="13" s="1"/>
  <c r="J128" i="13"/>
  <c r="F128" i="13"/>
  <c r="K127" i="13"/>
  <c r="L127" i="13" s="1"/>
  <c r="J127" i="13"/>
  <c r="F127" i="13"/>
  <c r="K126" i="13"/>
  <c r="L126" i="13" s="1"/>
  <c r="J126" i="13"/>
  <c r="F126" i="13"/>
  <c r="K125" i="13"/>
  <c r="L125" i="13" s="1"/>
  <c r="J125" i="13"/>
  <c r="F125" i="13"/>
  <c r="K124" i="13"/>
  <c r="L124" i="13" s="1"/>
  <c r="J124" i="13"/>
  <c r="F124" i="13"/>
  <c r="K123" i="13"/>
  <c r="L123" i="13" s="1"/>
  <c r="J123" i="13"/>
  <c r="F123" i="13"/>
  <c r="K122" i="13"/>
  <c r="L122" i="13" s="1"/>
  <c r="J122" i="13"/>
  <c r="F122" i="13"/>
  <c r="K121" i="13"/>
  <c r="L121" i="13" s="1"/>
  <c r="J121" i="13"/>
  <c r="F121" i="13"/>
  <c r="K120" i="13"/>
  <c r="L120" i="13" s="1"/>
  <c r="J120" i="13"/>
  <c r="F120" i="13"/>
  <c r="K119" i="13"/>
  <c r="L119" i="13" s="1"/>
  <c r="J119" i="13"/>
  <c r="F119" i="13"/>
  <c r="K118" i="13"/>
  <c r="L118" i="13" s="1"/>
  <c r="J118" i="13"/>
  <c r="F118" i="13"/>
  <c r="K117" i="13"/>
  <c r="L117" i="13" s="1"/>
  <c r="J117" i="13"/>
  <c r="F117" i="13"/>
  <c r="K116" i="13"/>
  <c r="L116" i="13" s="1"/>
  <c r="J116" i="13"/>
  <c r="F116" i="13"/>
  <c r="K115" i="13"/>
  <c r="L115" i="13" s="1"/>
  <c r="J115" i="13"/>
  <c r="F115" i="13"/>
  <c r="K114" i="13"/>
  <c r="L114" i="13" s="1"/>
  <c r="J114" i="13"/>
  <c r="F114" i="13"/>
  <c r="K113" i="13"/>
  <c r="L113" i="13" s="1"/>
  <c r="J113" i="13"/>
  <c r="F113" i="13"/>
  <c r="K112" i="13"/>
  <c r="L112" i="13" s="1"/>
  <c r="J112" i="13"/>
  <c r="F112" i="13"/>
  <c r="K111" i="13"/>
  <c r="L111" i="13" s="1"/>
  <c r="J111" i="13"/>
  <c r="F111" i="13"/>
  <c r="K110" i="13"/>
  <c r="L110" i="13" s="1"/>
  <c r="J110" i="13"/>
  <c r="F110" i="13"/>
  <c r="K109" i="13"/>
  <c r="L109" i="13" s="1"/>
  <c r="J109" i="13"/>
  <c r="F109" i="13"/>
  <c r="K108" i="13"/>
  <c r="L108" i="13" s="1"/>
  <c r="J108" i="13"/>
  <c r="F108" i="13"/>
  <c r="K107" i="13"/>
  <c r="L107" i="13" s="1"/>
  <c r="J107" i="13"/>
  <c r="F107" i="13"/>
  <c r="K106" i="13"/>
  <c r="L106" i="13" s="1"/>
  <c r="J106" i="13"/>
  <c r="F106" i="13"/>
  <c r="K105" i="13"/>
  <c r="L105" i="13" s="1"/>
  <c r="J105" i="13"/>
  <c r="F105" i="13"/>
  <c r="K104" i="13"/>
  <c r="L104" i="13" s="1"/>
  <c r="J104" i="13"/>
  <c r="F104" i="13"/>
  <c r="K103" i="13"/>
  <c r="L103" i="13" s="1"/>
  <c r="J103" i="13"/>
  <c r="F103" i="13"/>
  <c r="L102" i="13"/>
  <c r="K102" i="13"/>
  <c r="J102" i="13"/>
  <c r="F102" i="13"/>
  <c r="K101" i="13"/>
  <c r="L101" i="13" s="1"/>
  <c r="J101" i="13"/>
  <c r="F101" i="13"/>
  <c r="K100" i="13"/>
  <c r="L100" i="13" s="1"/>
  <c r="J100" i="13"/>
  <c r="F100" i="13"/>
  <c r="K99" i="13"/>
  <c r="L99" i="13" s="1"/>
  <c r="J99" i="13"/>
  <c r="F99" i="13"/>
  <c r="L98" i="13"/>
  <c r="K98" i="13"/>
  <c r="J98" i="13"/>
  <c r="F98" i="13"/>
  <c r="K97" i="13"/>
  <c r="L97" i="13" s="1"/>
  <c r="J97" i="13"/>
  <c r="F97" i="13"/>
  <c r="K96" i="13"/>
  <c r="L96" i="13" s="1"/>
  <c r="J96" i="13"/>
  <c r="F96" i="13"/>
  <c r="K95" i="13"/>
  <c r="L95" i="13" s="1"/>
  <c r="J95" i="13"/>
  <c r="F95" i="13"/>
  <c r="K94" i="13"/>
  <c r="L94" i="13" s="1"/>
  <c r="J94" i="13"/>
  <c r="F94" i="13"/>
  <c r="K93" i="13"/>
  <c r="L93" i="13" s="1"/>
  <c r="J93" i="13"/>
  <c r="F93" i="13"/>
  <c r="K90" i="13"/>
  <c r="L90" i="13" s="1"/>
  <c r="J90" i="13"/>
  <c r="F90" i="13"/>
  <c r="K89" i="13"/>
  <c r="L89" i="13" s="1"/>
  <c r="J89" i="13"/>
  <c r="F89" i="13"/>
  <c r="K88" i="13"/>
  <c r="L88" i="13" s="1"/>
  <c r="J88" i="13"/>
  <c r="F88" i="13"/>
  <c r="K87" i="13"/>
  <c r="L87" i="13" s="1"/>
  <c r="J87" i="13"/>
  <c r="F87" i="13"/>
  <c r="K86" i="13"/>
  <c r="L86" i="13" s="1"/>
  <c r="J86" i="13"/>
  <c r="F86" i="13"/>
  <c r="K85" i="13"/>
  <c r="L85" i="13" s="1"/>
  <c r="J85" i="13"/>
  <c r="F85" i="13"/>
  <c r="K84" i="13"/>
  <c r="L84" i="13" s="1"/>
  <c r="J84" i="13"/>
  <c r="F84" i="13"/>
  <c r="K83" i="13"/>
  <c r="L83" i="13" s="1"/>
  <c r="J83" i="13"/>
  <c r="F83" i="13"/>
  <c r="K82" i="13"/>
  <c r="L82" i="13" s="1"/>
  <c r="J82" i="13"/>
  <c r="F82" i="13"/>
  <c r="K81" i="13"/>
  <c r="L81" i="13" s="1"/>
  <c r="J81" i="13"/>
  <c r="F81" i="13"/>
  <c r="K80" i="13"/>
  <c r="L80" i="13" s="1"/>
  <c r="J80" i="13"/>
  <c r="F80" i="13"/>
  <c r="K79" i="13"/>
  <c r="L79" i="13" s="1"/>
  <c r="J79" i="13"/>
  <c r="F79" i="13"/>
  <c r="K78" i="13"/>
  <c r="L78" i="13" s="1"/>
  <c r="J78" i="13"/>
  <c r="F78" i="13"/>
  <c r="K77" i="13"/>
  <c r="L77" i="13" s="1"/>
  <c r="J77" i="13"/>
  <c r="F77" i="13"/>
  <c r="K76" i="13"/>
  <c r="L76" i="13" s="1"/>
  <c r="J76" i="13"/>
  <c r="F76" i="13"/>
  <c r="L75" i="13"/>
  <c r="K75" i="13"/>
  <c r="J75" i="13"/>
  <c r="F75" i="13"/>
  <c r="K74" i="13"/>
  <c r="L74" i="13" s="1"/>
  <c r="J74" i="13"/>
  <c r="F74" i="13"/>
  <c r="K73" i="13"/>
  <c r="L73" i="13" s="1"/>
  <c r="J73" i="13"/>
  <c r="F73" i="13"/>
  <c r="K72" i="13"/>
  <c r="L72" i="13" s="1"/>
  <c r="J72" i="13"/>
  <c r="F72" i="13"/>
  <c r="K71" i="13"/>
  <c r="L71" i="13" s="1"/>
  <c r="J71" i="13"/>
  <c r="F71" i="13"/>
  <c r="K70" i="13"/>
  <c r="L70" i="13" s="1"/>
  <c r="J70" i="13"/>
  <c r="F70" i="13"/>
  <c r="K69" i="13"/>
  <c r="L69" i="13" s="1"/>
  <c r="J69" i="13"/>
  <c r="K68" i="13"/>
  <c r="J68" i="13"/>
  <c r="F68" i="13"/>
  <c r="K67" i="13"/>
  <c r="J67" i="13"/>
  <c r="F67" i="13"/>
  <c r="K66" i="13"/>
  <c r="J66" i="13"/>
  <c r="F66" i="13"/>
  <c r="K65" i="13"/>
  <c r="J65" i="13"/>
  <c r="F65" i="13"/>
  <c r="K64" i="13"/>
  <c r="J64" i="13"/>
  <c r="F64" i="13"/>
  <c r="K63" i="13"/>
  <c r="J63" i="13"/>
  <c r="F63" i="13"/>
  <c r="L63" i="13" s="1"/>
  <c r="K62" i="13"/>
  <c r="J62" i="13"/>
  <c r="F62" i="13"/>
  <c r="K61" i="13"/>
  <c r="J61" i="13"/>
  <c r="F61" i="13"/>
  <c r="K60" i="13"/>
  <c r="J60" i="13"/>
  <c r="F60" i="13"/>
  <c r="K59" i="13"/>
  <c r="J59" i="13"/>
  <c r="F59" i="13"/>
  <c r="L59" i="13" s="1"/>
  <c r="K58" i="13"/>
  <c r="J58" i="13"/>
  <c r="F58" i="13"/>
  <c r="K56" i="13"/>
  <c r="J56" i="13"/>
  <c r="F56" i="13"/>
  <c r="K55" i="13"/>
  <c r="J55" i="13"/>
  <c r="F55" i="13"/>
  <c r="K54" i="13"/>
  <c r="J54" i="13"/>
  <c r="F54" i="13"/>
  <c r="K53" i="13"/>
  <c r="J53" i="13"/>
  <c r="F53" i="13"/>
  <c r="K52" i="13"/>
  <c r="J52" i="13"/>
  <c r="F52" i="13"/>
  <c r="K51" i="13"/>
  <c r="J51" i="13"/>
  <c r="F51" i="13"/>
  <c r="K50" i="13"/>
  <c r="J50" i="13"/>
  <c r="F50" i="13"/>
  <c r="L50" i="13" s="1"/>
  <c r="K49" i="13"/>
  <c r="J49" i="13"/>
  <c r="F49" i="13"/>
  <c r="K48" i="13"/>
  <c r="J48" i="13"/>
  <c r="F48" i="13"/>
  <c r="K47" i="13"/>
  <c r="J47" i="13"/>
  <c r="F47" i="13"/>
  <c r="K46" i="13"/>
  <c r="J46" i="13"/>
  <c r="F46" i="13"/>
  <c r="K45" i="13"/>
  <c r="J45" i="13"/>
  <c r="F45" i="13"/>
  <c r="K44" i="13"/>
  <c r="J44" i="13"/>
  <c r="F44" i="13"/>
  <c r="K43" i="13"/>
  <c r="J43" i="13"/>
  <c r="F43" i="13"/>
  <c r="K42" i="13"/>
  <c r="J42" i="13"/>
  <c r="F42" i="13"/>
  <c r="L42" i="13" s="1"/>
  <c r="K41" i="13"/>
  <c r="J41" i="13"/>
  <c r="F41" i="13"/>
  <c r="K40" i="13"/>
  <c r="L40" i="13" s="1"/>
  <c r="J40" i="13"/>
  <c r="F40" i="13"/>
  <c r="K39" i="13"/>
  <c r="L39" i="13" s="1"/>
  <c r="J39" i="13"/>
  <c r="F39" i="13"/>
  <c r="K36" i="13"/>
  <c r="L36" i="13" s="1"/>
  <c r="J36" i="13"/>
  <c r="F36" i="13"/>
  <c r="K35" i="13"/>
  <c r="L35" i="13" s="1"/>
  <c r="J35" i="13"/>
  <c r="F35" i="13"/>
  <c r="K34" i="13"/>
  <c r="L34" i="13" s="1"/>
  <c r="J34" i="13"/>
  <c r="F34" i="13"/>
  <c r="K33" i="13"/>
  <c r="L33" i="13" s="1"/>
  <c r="J33" i="13"/>
  <c r="F33" i="13"/>
  <c r="K32" i="13"/>
  <c r="L32" i="13" s="1"/>
  <c r="J32" i="13"/>
  <c r="F32" i="13"/>
  <c r="K31" i="13"/>
  <c r="L31" i="13" s="1"/>
  <c r="J31" i="13"/>
  <c r="F31" i="13"/>
  <c r="K30" i="13"/>
  <c r="L30" i="13" s="1"/>
  <c r="J30" i="13"/>
  <c r="F30" i="13"/>
  <c r="K29" i="13"/>
  <c r="L29" i="13" s="1"/>
  <c r="J29" i="13"/>
  <c r="F29" i="13"/>
  <c r="K28" i="13"/>
  <c r="L28" i="13" s="1"/>
  <c r="J28" i="13"/>
  <c r="F28" i="13"/>
  <c r="K27" i="13"/>
  <c r="L27" i="13" s="1"/>
  <c r="J27" i="13"/>
  <c r="F27" i="13"/>
  <c r="K26" i="13"/>
  <c r="L26" i="13" s="1"/>
  <c r="J26" i="13"/>
  <c r="F26" i="13"/>
  <c r="K25" i="13"/>
  <c r="L25" i="13" s="1"/>
  <c r="J25" i="13"/>
  <c r="F25" i="13"/>
  <c r="K24" i="13"/>
  <c r="L24" i="13" s="1"/>
  <c r="J24" i="13"/>
  <c r="F24" i="13"/>
  <c r="K23" i="13"/>
  <c r="L23" i="13" s="1"/>
  <c r="J23" i="13"/>
  <c r="F23" i="13"/>
  <c r="K22" i="13"/>
  <c r="L22" i="13" s="1"/>
  <c r="J22" i="13"/>
  <c r="F22" i="13"/>
  <c r="K21" i="13"/>
  <c r="L21" i="13" s="1"/>
  <c r="J21" i="13"/>
  <c r="F21" i="13"/>
  <c r="K20" i="13"/>
  <c r="L20" i="13" s="1"/>
  <c r="J20" i="13"/>
  <c r="F20" i="13"/>
  <c r="K19" i="13"/>
  <c r="L19" i="13" s="1"/>
  <c r="J19" i="13"/>
  <c r="F19" i="13"/>
  <c r="K18" i="13"/>
  <c r="L18" i="13" s="1"/>
  <c r="J18" i="13"/>
  <c r="F18" i="13"/>
  <c r="K17" i="13"/>
  <c r="L17" i="13" s="1"/>
  <c r="J17" i="13"/>
  <c r="F17" i="13"/>
  <c r="K16" i="13"/>
  <c r="L16" i="13" s="1"/>
  <c r="J16" i="13"/>
  <c r="F16" i="13"/>
  <c r="K15" i="13"/>
  <c r="L15" i="13" s="1"/>
  <c r="J15" i="13"/>
  <c r="F15" i="13"/>
  <c r="K14" i="13"/>
  <c r="L14" i="13" s="1"/>
  <c r="J14" i="13"/>
  <c r="F14" i="13"/>
  <c r="K13" i="13"/>
  <c r="L13" i="13" s="1"/>
  <c r="J13" i="13"/>
  <c r="F13" i="13"/>
  <c r="K12" i="13"/>
  <c r="L12" i="13" s="1"/>
  <c r="J12" i="13"/>
  <c r="F12" i="13"/>
  <c r="K11" i="13"/>
  <c r="L11" i="13" s="1"/>
  <c r="J11" i="13"/>
  <c r="F11" i="13"/>
  <c r="K10" i="13"/>
  <c r="L10" i="13" s="1"/>
  <c r="J10" i="13"/>
  <c r="F10" i="13"/>
  <c r="K9" i="13"/>
  <c r="L9" i="13" s="1"/>
  <c r="J9" i="13"/>
  <c r="F9" i="13"/>
  <c r="K8" i="13"/>
  <c r="L8" i="13" s="1"/>
  <c r="J8" i="13"/>
  <c r="F8" i="13"/>
  <c r="K7" i="13"/>
  <c r="L7" i="13" s="1"/>
  <c r="J7" i="13"/>
  <c r="F7" i="13"/>
  <c r="K6" i="13"/>
  <c r="J6" i="13"/>
  <c r="F6" i="13"/>
  <c r="L67" i="13" l="1"/>
  <c r="L66" i="13"/>
  <c r="L62" i="13"/>
  <c r="L58" i="13"/>
  <c r="L54" i="13"/>
  <c r="L53" i="13"/>
  <c r="L49" i="13"/>
  <c r="L46" i="13"/>
  <c r="L45" i="13"/>
  <c r="L41" i="13"/>
  <c r="L56" i="13"/>
  <c r="L61" i="13"/>
  <c r="L65" i="13"/>
  <c r="L6" i="13"/>
  <c r="L44" i="13"/>
  <c r="L48" i="13"/>
  <c r="L52" i="13"/>
  <c r="L43" i="13"/>
  <c r="L47" i="13"/>
  <c r="L51" i="13"/>
  <c r="L55" i="13"/>
  <c r="L60" i="13"/>
  <c r="L64" i="13"/>
  <c r="L68" i="13"/>
  <c r="K155" i="12" l="1"/>
  <c r="J155" i="12"/>
  <c r="F155" i="12"/>
  <c r="K154" i="12"/>
  <c r="L154" i="12" s="1"/>
  <c r="J154" i="12"/>
  <c r="F154" i="12"/>
  <c r="K153" i="12"/>
  <c r="J153" i="12"/>
  <c r="F153" i="12"/>
  <c r="K152" i="12"/>
  <c r="J152" i="12"/>
  <c r="F152" i="12"/>
  <c r="K151" i="12"/>
  <c r="J151" i="12"/>
  <c r="F151" i="12"/>
  <c r="K150" i="12"/>
  <c r="L150" i="12" s="1"/>
  <c r="J150" i="12"/>
  <c r="F150" i="12"/>
  <c r="K149" i="12"/>
  <c r="J149" i="12"/>
  <c r="F149" i="12"/>
  <c r="K148" i="12"/>
  <c r="J148" i="12"/>
  <c r="F148" i="12"/>
  <c r="L148" i="12" s="1"/>
  <c r="K147" i="12"/>
  <c r="J147" i="12"/>
  <c r="F147" i="12"/>
  <c r="K146" i="12"/>
  <c r="J146" i="12"/>
  <c r="F146" i="12"/>
  <c r="K145" i="12"/>
  <c r="J145" i="12"/>
  <c r="F145" i="12"/>
  <c r="K144" i="12"/>
  <c r="J144" i="12"/>
  <c r="F144" i="12"/>
  <c r="K143" i="12"/>
  <c r="J143" i="12"/>
  <c r="F143" i="12"/>
  <c r="K142" i="12"/>
  <c r="L142" i="12" s="1"/>
  <c r="J142" i="12"/>
  <c r="F142" i="12"/>
  <c r="K141" i="12"/>
  <c r="J141" i="12"/>
  <c r="F141" i="12"/>
  <c r="K140" i="12"/>
  <c r="J140" i="12"/>
  <c r="F140" i="12"/>
  <c r="K139" i="12"/>
  <c r="J139" i="12"/>
  <c r="F139" i="12"/>
  <c r="K138" i="12"/>
  <c r="L138" i="12" s="1"/>
  <c r="J138" i="12"/>
  <c r="F138" i="12"/>
  <c r="K137" i="12"/>
  <c r="J137" i="12"/>
  <c r="F137" i="12"/>
  <c r="K136" i="12"/>
  <c r="J136" i="12"/>
  <c r="F136" i="12"/>
  <c r="K135" i="12"/>
  <c r="J135" i="12"/>
  <c r="F135" i="12"/>
  <c r="K134" i="12"/>
  <c r="L134" i="12" s="1"/>
  <c r="J134" i="12"/>
  <c r="F134" i="12"/>
  <c r="K133" i="12"/>
  <c r="J133" i="12"/>
  <c r="F133" i="12"/>
  <c r="K132" i="12"/>
  <c r="J132" i="12"/>
  <c r="F132" i="12"/>
  <c r="K131" i="12"/>
  <c r="J131" i="12"/>
  <c r="F131" i="12"/>
  <c r="L130" i="12"/>
  <c r="K130" i="12"/>
  <c r="J130" i="12"/>
  <c r="F130" i="12"/>
  <c r="K129" i="12"/>
  <c r="L129" i="12" s="1"/>
  <c r="J129" i="12"/>
  <c r="F129" i="12"/>
  <c r="K128" i="12"/>
  <c r="J128" i="12"/>
  <c r="F128" i="12"/>
  <c r="K127" i="12"/>
  <c r="J127" i="12"/>
  <c r="F127" i="12"/>
  <c r="L127" i="12" s="1"/>
  <c r="K126" i="12"/>
  <c r="J126" i="12"/>
  <c r="F126" i="12"/>
  <c r="K125" i="12"/>
  <c r="J125" i="12"/>
  <c r="F125" i="12"/>
  <c r="K124" i="12"/>
  <c r="J124" i="12"/>
  <c r="F124" i="12"/>
  <c r="K123" i="12"/>
  <c r="J123" i="12"/>
  <c r="F123" i="12"/>
  <c r="K122" i="12"/>
  <c r="J122" i="12"/>
  <c r="F122" i="12"/>
  <c r="K121" i="12"/>
  <c r="J121" i="12"/>
  <c r="F121" i="12"/>
  <c r="K120" i="12"/>
  <c r="J120" i="12"/>
  <c r="F120" i="12"/>
  <c r="K119" i="12"/>
  <c r="J119" i="12"/>
  <c r="F119" i="12"/>
  <c r="L119" i="12" s="1"/>
  <c r="K118" i="12"/>
  <c r="J118" i="12"/>
  <c r="F118" i="12"/>
  <c r="K117" i="12"/>
  <c r="J117" i="12"/>
  <c r="F117" i="12"/>
  <c r="K116" i="12"/>
  <c r="J116" i="12"/>
  <c r="F116" i="12"/>
  <c r="K115" i="12"/>
  <c r="J115" i="12"/>
  <c r="F115" i="12"/>
  <c r="K114" i="12"/>
  <c r="J114" i="12"/>
  <c r="F114" i="12"/>
  <c r="K113" i="12"/>
  <c r="J113" i="12"/>
  <c r="F113" i="12"/>
  <c r="K112" i="12"/>
  <c r="J112" i="12"/>
  <c r="F112" i="12"/>
  <c r="K111" i="12"/>
  <c r="J111" i="12"/>
  <c r="F111" i="12"/>
  <c r="L111" i="12" s="1"/>
  <c r="K110" i="12"/>
  <c r="J110" i="12"/>
  <c r="F110" i="12"/>
  <c r="K109" i="12"/>
  <c r="J109" i="12"/>
  <c r="F109" i="12"/>
  <c r="K108" i="12"/>
  <c r="J108" i="12"/>
  <c r="F108" i="12"/>
  <c r="K107" i="12"/>
  <c r="J107" i="12"/>
  <c r="F107" i="12"/>
  <c r="L107" i="12" s="1"/>
  <c r="K106" i="12"/>
  <c r="J106" i="12"/>
  <c r="F106" i="12"/>
  <c r="K105" i="12"/>
  <c r="J105" i="12"/>
  <c r="F105" i="12"/>
  <c r="K104" i="12"/>
  <c r="J104" i="12"/>
  <c r="F104" i="12"/>
  <c r="K103" i="12"/>
  <c r="J103" i="12"/>
  <c r="F103" i="12"/>
  <c r="K102" i="12"/>
  <c r="J102" i="12"/>
  <c r="F102" i="12"/>
  <c r="K101" i="12"/>
  <c r="J101" i="12"/>
  <c r="F101" i="12"/>
  <c r="K100" i="12"/>
  <c r="J100" i="12"/>
  <c r="F100" i="12"/>
  <c r="K99" i="12"/>
  <c r="J99" i="12"/>
  <c r="F99" i="12"/>
  <c r="L99" i="12" s="1"/>
  <c r="K98" i="12"/>
  <c r="J98" i="12"/>
  <c r="F98" i="12"/>
  <c r="K97" i="12"/>
  <c r="J97" i="12"/>
  <c r="F97" i="12"/>
  <c r="K96" i="12"/>
  <c r="J96" i="12"/>
  <c r="F96" i="12"/>
  <c r="K95" i="12"/>
  <c r="J95" i="12"/>
  <c r="F95" i="12"/>
  <c r="L95" i="12" s="1"/>
  <c r="K94" i="12"/>
  <c r="J94" i="12"/>
  <c r="F94" i="12"/>
  <c r="K93" i="12"/>
  <c r="J93" i="12"/>
  <c r="F93" i="12"/>
  <c r="K92" i="12"/>
  <c r="J92" i="12"/>
  <c r="F92" i="12"/>
  <c r="K91" i="12"/>
  <c r="J91" i="12"/>
  <c r="F91" i="12"/>
  <c r="L91" i="12" s="1"/>
  <c r="K90" i="12"/>
  <c r="J90" i="12"/>
  <c r="F90" i="12"/>
  <c r="K89" i="12"/>
  <c r="J89" i="12"/>
  <c r="F89" i="12"/>
  <c r="K88" i="12"/>
  <c r="J88" i="12"/>
  <c r="F88" i="12"/>
  <c r="K87" i="12"/>
  <c r="J87" i="12"/>
  <c r="F87" i="12"/>
  <c r="K86" i="12"/>
  <c r="J86" i="12"/>
  <c r="F86" i="12"/>
  <c r="K85" i="12"/>
  <c r="J85" i="12"/>
  <c r="F85" i="12"/>
  <c r="K84" i="12"/>
  <c r="J84" i="12"/>
  <c r="F84" i="12"/>
  <c r="K83" i="12"/>
  <c r="J83" i="12"/>
  <c r="F83" i="12"/>
  <c r="L83" i="12" s="1"/>
  <c r="K82" i="12"/>
  <c r="J82" i="12"/>
  <c r="F82" i="12"/>
  <c r="K81" i="12"/>
  <c r="J81" i="12"/>
  <c r="F81" i="12"/>
  <c r="K80" i="12"/>
  <c r="J80" i="12"/>
  <c r="F80" i="12"/>
  <c r="K79" i="12"/>
  <c r="J79" i="12"/>
  <c r="F79" i="12"/>
  <c r="L79" i="12" s="1"/>
  <c r="K78" i="12"/>
  <c r="J78" i="12"/>
  <c r="F78" i="12"/>
  <c r="K77" i="12"/>
  <c r="J77" i="12"/>
  <c r="F77" i="12"/>
  <c r="K76" i="12"/>
  <c r="J76" i="12"/>
  <c r="F76" i="12"/>
  <c r="K75" i="12"/>
  <c r="J75" i="12"/>
  <c r="F75" i="12"/>
  <c r="K74" i="12"/>
  <c r="J74" i="12"/>
  <c r="F74" i="12"/>
  <c r="K73" i="12"/>
  <c r="L73" i="12" s="1"/>
  <c r="J73" i="12"/>
  <c r="F73" i="12"/>
  <c r="K72" i="12"/>
  <c r="J72" i="12"/>
  <c r="F72" i="12"/>
  <c r="K71" i="12"/>
  <c r="J71" i="12"/>
  <c r="F71" i="12"/>
  <c r="K70" i="12"/>
  <c r="J70" i="12"/>
  <c r="F70" i="12"/>
  <c r="K69" i="12"/>
  <c r="L69" i="12" s="1"/>
  <c r="J69" i="12"/>
  <c r="F69" i="12"/>
  <c r="K68" i="12"/>
  <c r="J68" i="12"/>
  <c r="F68" i="12"/>
  <c r="K67" i="12"/>
  <c r="J67" i="12"/>
  <c r="F67" i="12"/>
  <c r="K66" i="12"/>
  <c r="L66" i="12" s="1"/>
  <c r="J66" i="12"/>
  <c r="K65" i="12"/>
  <c r="J65" i="12"/>
  <c r="F65" i="12"/>
  <c r="K64" i="12"/>
  <c r="J64" i="12"/>
  <c r="F64" i="12"/>
  <c r="K63" i="12"/>
  <c r="J63" i="12"/>
  <c r="F63" i="12"/>
  <c r="K62" i="12"/>
  <c r="L62" i="12" s="1"/>
  <c r="J62" i="12"/>
  <c r="F62" i="12"/>
  <c r="K61" i="12"/>
  <c r="J61" i="12"/>
  <c r="F61" i="12"/>
  <c r="K60" i="12"/>
  <c r="J60" i="12"/>
  <c r="F60" i="12"/>
  <c r="K59" i="12"/>
  <c r="J59" i="12"/>
  <c r="F59" i="12"/>
  <c r="K58" i="12"/>
  <c r="L58" i="12" s="1"/>
  <c r="J58" i="12"/>
  <c r="F58" i="12"/>
  <c r="K57" i="12"/>
  <c r="J57" i="12"/>
  <c r="F57" i="12"/>
  <c r="K56" i="12"/>
  <c r="J56" i="12"/>
  <c r="F56" i="12"/>
  <c r="K55" i="12"/>
  <c r="J55" i="12"/>
  <c r="F55" i="12"/>
  <c r="K54" i="12"/>
  <c r="L54" i="12" s="1"/>
  <c r="J54" i="12"/>
  <c r="F54" i="12"/>
  <c r="K53" i="12"/>
  <c r="J53" i="12"/>
  <c r="F53" i="12"/>
  <c r="K52" i="12"/>
  <c r="J52" i="12"/>
  <c r="F52" i="12"/>
  <c r="K51" i="12"/>
  <c r="J51" i="12"/>
  <c r="F51" i="12"/>
  <c r="K50" i="12"/>
  <c r="L50" i="12" s="1"/>
  <c r="J50" i="12"/>
  <c r="F50" i="12"/>
  <c r="K49" i="12"/>
  <c r="J49" i="12"/>
  <c r="F49" i="12"/>
  <c r="K48" i="12"/>
  <c r="J48" i="12"/>
  <c r="F48" i="12"/>
  <c r="K47" i="12"/>
  <c r="J47" i="12"/>
  <c r="F47" i="12"/>
  <c r="K46" i="12"/>
  <c r="L46" i="12" s="1"/>
  <c r="J46" i="12"/>
  <c r="F46" i="12"/>
  <c r="K45" i="12"/>
  <c r="J45" i="12"/>
  <c r="F45" i="12"/>
  <c r="K44" i="12"/>
  <c r="J44" i="12"/>
  <c r="F44" i="12"/>
  <c r="K43" i="12"/>
  <c r="J43" i="12"/>
  <c r="F43" i="12"/>
  <c r="K42" i="12"/>
  <c r="L42" i="12" s="1"/>
  <c r="J42" i="12"/>
  <c r="F42" i="12"/>
  <c r="K41" i="12"/>
  <c r="J41" i="12"/>
  <c r="F41" i="12"/>
  <c r="K40" i="12"/>
  <c r="J40" i="12"/>
  <c r="F40" i="12"/>
  <c r="K39" i="12"/>
  <c r="J39" i="12"/>
  <c r="F39" i="12"/>
  <c r="K38" i="12"/>
  <c r="J38" i="12"/>
  <c r="F38" i="12"/>
  <c r="K37" i="12"/>
  <c r="J37" i="12"/>
  <c r="F37" i="12"/>
  <c r="K36" i="12"/>
  <c r="J36" i="12"/>
  <c r="F36" i="12"/>
  <c r="K35" i="12"/>
  <c r="J35" i="12"/>
  <c r="F35" i="12"/>
  <c r="K34" i="12"/>
  <c r="L34" i="12" s="1"/>
  <c r="J34" i="12"/>
  <c r="F34" i="12"/>
  <c r="K33" i="12"/>
  <c r="J33" i="12"/>
  <c r="F33" i="12"/>
  <c r="K32" i="12"/>
  <c r="J32" i="12"/>
  <c r="F32" i="12"/>
  <c r="K31" i="12"/>
  <c r="J31" i="12"/>
  <c r="F31" i="12"/>
  <c r="K30" i="12"/>
  <c r="L30" i="12" s="1"/>
  <c r="J30" i="12"/>
  <c r="F30" i="12"/>
  <c r="K29" i="12"/>
  <c r="J29" i="12"/>
  <c r="F29" i="12"/>
  <c r="K28" i="12"/>
  <c r="J28" i="12"/>
  <c r="F28" i="12"/>
  <c r="K27" i="12"/>
  <c r="J27" i="12"/>
  <c r="F27" i="12"/>
  <c r="K26" i="12"/>
  <c r="L26" i="12" s="1"/>
  <c r="J26" i="12"/>
  <c r="F26" i="12"/>
  <c r="K25" i="12"/>
  <c r="J25" i="12"/>
  <c r="F25" i="12"/>
  <c r="K24" i="12"/>
  <c r="J24" i="12"/>
  <c r="F24" i="12"/>
  <c r="K23" i="12"/>
  <c r="J23" i="12"/>
  <c r="F23" i="12"/>
  <c r="K22" i="12"/>
  <c r="L22" i="12" s="1"/>
  <c r="J22" i="12"/>
  <c r="F22" i="12"/>
  <c r="K21" i="12"/>
  <c r="J21" i="12"/>
  <c r="F21" i="12"/>
  <c r="K20" i="12"/>
  <c r="J20" i="12"/>
  <c r="F20" i="12"/>
  <c r="K19" i="12"/>
  <c r="J19" i="12"/>
  <c r="F19" i="12"/>
  <c r="K18" i="12"/>
  <c r="L18" i="12" s="1"/>
  <c r="J18" i="12"/>
  <c r="F18" i="12"/>
  <c r="K17" i="12"/>
  <c r="J17" i="12"/>
  <c r="F17" i="12"/>
  <c r="K16" i="12"/>
  <c r="J16" i="12"/>
  <c r="F16" i="12"/>
  <c r="K15" i="12"/>
  <c r="J15" i="12"/>
  <c r="F15" i="12"/>
  <c r="K14" i="12"/>
  <c r="L14" i="12" s="1"/>
  <c r="J14" i="12"/>
  <c r="F14" i="12"/>
  <c r="K13" i="12"/>
  <c r="J13" i="12"/>
  <c r="F13" i="12"/>
  <c r="K12" i="12"/>
  <c r="J12" i="12"/>
  <c r="F12" i="12"/>
  <c r="K11" i="12"/>
  <c r="J11" i="12"/>
  <c r="F11" i="12"/>
  <c r="K10" i="12"/>
  <c r="L10" i="12" s="1"/>
  <c r="J10" i="12"/>
  <c r="F10" i="12"/>
  <c r="K9" i="12"/>
  <c r="J9" i="12"/>
  <c r="F9" i="12"/>
  <c r="K8" i="12"/>
  <c r="J8" i="12"/>
  <c r="F8" i="12"/>
  <c r="K7" i="12"/>
  <c r="J7" i="12"/>
  <c r="F7" i="12"/>
  <c r="K6" i="12"/>
  <c r="J6" i="12"/>
  <c r="F6" i="12"/>
  <c r="F170" i="10"/>
  <c r="F155" i="11"/>
  <c r="K25" i="11"/>
  <c r="J25" i="11"/>
  <c r="F25" i="11"/>
  <c r="K156" i="12" l="1"/>
  <c r="K172" i="12" s="1"/>
  <c r="F156" i="12"/>
  <c r="F172" i="12" s="1"/>
  <c r="L7" i="12"/>
  <c r="L11" i="12"/>
  <c r="L15" i="12"/>
  <c r="L19" i="12"/>
  <c r="L23" i="12"/>
  <c r="L27" i="12"/>
  <c r="L31" i="12"/>
  <c r="L35" i="12"/>
  <c r="L39" i="12"/>
  <c r="L43" i="12"/>
  <c r="L47" i="12"/>
  <c r="L51" i="12"/>
  <c r="L55" i="12"/>
  <c r="L59" i="12"/>
  <c r="L63" i="12"/>
  <c r="L70" i="12"/>
  <c r="L74" i="12"/>
  <c r="L78" i="12"/>
  <c r="L131" i="12"/>
  <c r="L135" i="12"/>
  <c r="L139" i="12"/>
  <c r="L143" i="12"/>
  <c r="L151" i="12"/>
  <c r="L25" i="11"/>
  <c r="L38" i="12"/>
  <c r="L123" i="12"/>
  <c r="L115" i="12"/>
  <c r="L103" i="12"/>
  <c r="L87" i="12"/>
  <c r="L68" i="12"/>
  <c r="L67" i="12"/>
  <c r="L9" i="12"/>
  <c r="L13" i="12"/>
  <c r="L17" i="12"/>
  <c r="L21" i="12"/>
  <c r="L25" i="12"/>
  <c r="L29" i="12"/>
  <c r="L33" i="12"/>
  <c r="L37" i="12"/>
  <c r="L41" i="12"/>
  <c r="L45" i="12"/>
  <c r="L49" i="12"/>
  <c r="L53" i="12"/>
  <c r="L57" i="12"/>
  <c r="L61" i="12"/>
  <c r="L65" i="12"/>
  <c r="L72" i="12"/>
  <c r="L76" i="12"/>
  <c r="L82" i="12"/>
  <c r="L86" i="12"/>
  <c r="L90" i="12"/>
  <c r="L94" i="12"/>
  <c r="L98" i="12"/>
  <c r="L102" i="12"/>
  <c r="L106" i="12"/>
  <c r="L110" i="12"/>
  <c r="L114" i="12"/>
  <c r="L118" i="12"/>
  <c r="L122" i="12"/>
  <c r="L126" i="12"/>
  <c r="L128" i="12"/>
  <c r="L133" i="12"/>
  <c r="L137" i="12"/>
  <c r="L141" i="12"/>
  <c r="L145" i="12"/>
  <c r="L147" i="12"/>
  <c r="L149" i="12"/>
  <c r="L153" i="12"/>
  <c r="L155" i="12"/>
  <c r="L8" i="12"/>
  <c r="L12" i="12"/>
  <c r="L16" i="12"/>
  <c r="L20" i="12"/>
  <c r="L24" i="12"/>
  <c r="L28" i="12"/>
  <c r="L32" i="12"/>
  <c r="L36" i="12"/>
  <c r="L40" i="12"/>
  <c r="L44" i="12"/>
  <c r="L48" i="12"/>
  <c r="L52" i="12"/>
  <c r="L56" i="12"/>
  <c r="L60" i="12"/>
  <c r="L64" i="12"/>
  <c r="L71" i="12"/>
  <c r="L75" i="12"/>
  <c r="L132" i="12"/>
  <c r="L136" i="12"/>
  <c r="L140" i="12"/>
  <c r="L144" i="12"/>
  <c r="L152" i="12"/>
  <c r="L77" i="12"/>
  <c r="L81" i="12"/>
  <c r="L85" i="12"/>
  <c r="L89" i="12"/>
  <c r="L93" i="12"/>
  <c r="L97" i="12"/>
  <c r="L101" i="12"/>
  <c r="L105" i="12"/>
  <c r="L109" i="12"/>
  <c r="L113" i="12"/>
  <c r="L117" i="12"/>
  <c r="L121" i="12"/>
  <c r="L125" i="12"/>
  <c r="L146" i="12"/>
  <c r="L6" i="12"/>
  <c r="L156" i="12" s="1"/>
  <c r="L172" i="12" s="1"/>
  <c r="L80" i="12"/>
  <c r="L84" i="12"/>
  <c r="L88" i="12"/>
  <c r="L92" i="12"/>
  <c r="L96" i="12"/>
  <c r="L100" i="12"/>
  <c r="L104" i="12"/>
  <c r="L108" i="12"/>
  <c r="L112" i="12"/>
  <c r="L116" i="12"/>
  <c r="L120" i="12"/>
  <c r="L124" i="12"/>
  <c r="K154" i="11" l="1"/>
  <c r="J154" i="11"/>
  <c r="F154" i="11"/>
  <c r="K153" i="11"/>
  <c r="J153" i="11"/>
  <c r="F153" i="11"/>
  <c r="K87" i="11"/>
  <c r="J87" i="11"/>
  <c r="F87" i="11"/>
  <c r="K86" i="11"/>
  <c r="J86" i="11"/>
  <c r="F86" i="11"/>
  <c r="K85" i="11"/>
  <c r="J85" i="11"/>
  <c r="F85" i="11"/>
  <c r="K84" i="11"/>
  <c r="J84" i="11"/>
  <c r="F84" i="11"/>
  <c r="K54" i="11"/>
  <c r="J54" i="11"/>
  <c r="F54" i="11"/>
  <c r="K53" i="11"/>
  <c r="J53" i="11"/>
  <c r="F53" i="11"/>
  <c r="K52" i="11"/>
  <c r="J52" i="11"/>
  <c r="F52" i="11"/>
  <c r="K36" i="11"/>
  <c r="J36" i="11"/>
  <c r="F36" i="11"/>
  <c r="K35" i="11"/>
  <c r="J35" i="11"/>
  <c r="F35" i="11"/>
  <c r="K34" i="11"/>
  <c r="J34" i="11"/>
  <c r="F34" i="11"/>
  <c r="K152" i="11"/>
  <c r="J152" i="11"/>
  <c r="F152" i="11"/>
  <c r="K151" i="11"/>
  <c r="J151" i="11"/>
  <c r="F151" i="11"/>
  <c r="K150" i="11"/>
  <c r="J150" i="11"/>
  <c r="F150" i="11"/>
  <c r="K149" i="11"/>
  <c r="J149" i="11"/>
  <c r="F149" i="11"/>
  <c r="K83" i="11"/>
  <c r="J83" i="11"/>
  <c r="F83" i="11"/>
  <c r="K82" i="11"/>
  <c r="J82" i="11"/>
  <c r="F82" i="11"/>
  <c r="K51" i="11"/>
  <c r="J51" i="11"/>
  <c r="F51" i="11"/>
  <c r="K33" i="11"/>
  <c r="J33" i="11"/>
  <c r="F33" i="11"/>
  <c r="K32" i="11"/>
  <c r="J32" i="11"/>
  <c r="F32" i="11"/>
  <c r="K31" i="11"/>
  <c r="J31" i="11"/>
  <c r="F31" i="11"/>
  <c r="K30" i="11"/>
  <c r="J30" i="11"/>
  <c r="F30" i="11"/>
  <c r="F196" i="11"/>
  <c r="L196" i="11" s="1"/>
  <c r="K148" i="11"/>
  <c r="J148" i="11"/>
  <c r="F148" i="11"/>
  <c r="K88" i="11"/>
  <c r="J88" i="11"/>
  <c r="F88" i="11"/>
  <c r="K81" i="11"/>
  <c r="J81" i="11"/>
  <c r="F81" i="11"/>
  <c r="K29" i="11"/>
  <c r="J29" i="11"/>
  <c r="F29" i="11"/>
  <c r="K155" i="11"/>
  <c r="J155" i="11"/>
  <c r="K28" i="11"/>
  <c r="J28" i="11"/>
  <c r="F28" i="11"/>
  <c r="K147" i="11"/>
  <c r="J147" i="11"/>
  <c r="F147" i="11"/>
  <c r="K146" i="11"/>
  <c r="J146" i="11"/>
  <c r="F146" i="11"/>
  <c r="K27" i="11"/>
  <c r="J27" i="11"/>
  <c r="F27" i="11"/>
  <c r="K145" i="11"/>
  <c r="J145" i="11"/>
  <c r="F145" i="11"/>
  <c r="K144" i="11"/>
  <c r="J144" i="11"/>
  <c r="F144" i="11"/>
  <c r="K143" i="11"/>
  <c r="J143" i="11"/>
  <c r="F143" i="11"/>
  <c r="K80" i="11"/>
  <c r="J80" i="11"/>
  <c r="F80" i="11"/>
  <c r="K79" i="11"/>
  <c r="J79" i="11"/>
  <c r="F79" i="11"/>
  <c r="K78" i="11"/>
  <c r="J78" i="11"/>
  <c r="F78" i="11"/>
  <c r="K50" i="11"/>
  <c r="J50" i="11"/>
  <c r="F50" i="11"/>
  <c r="K142" i="11"/>
  <c r="J142" i="11"/>
  <c r="F142" i="11"/>
  <c r="K141" i="11"/>
  <c r="J141" i="11"/>
  <c r="F141" i="11"/>
  <c r="K140" i="11"/>
  <c r="J140" i="11"/>
  <c r="F140" i="11"/>
  <c r="K26" i="11"/>
  <c r="J26" i="11"/>
  <c r="F26" i="11"/>
  <c r="K77" i="11"/>
  <c r="J77" i="11"/>
  <c r="F77" i="11"/>
  <c r="K49" i="11"/>
  <c r="J49" i="11"/>
  <c r="F49" i="11"/>
  <c r="K139" i="11"/>
  <c r="J139" i="11"/>
  <c r="F139" i="11"/>
  <c r="K76" i="11"/>
  <c r="J76" i="11"/>
  <c r="F76" i="11"/>
  <c r="K75" i="11"/>
  <c r="J75" i="11"/>
  <c r="F75" i="11"/>
  <c r="K138" i="11"/>
  <c r="J138" i="11"/>
  <c r="F138" i="11"/>
  <c r="K137" i="11"/>
  <c r="J137" i="11"/>
  <c r="F137" i="11"/>
  <c r="K136" i="11"/>
  <c r="J136" i="11"/>
  <c r="F136" i="11"/>
  <c r="K135" i="11"/>
  <c r="J135" i="11"/>
  <c r="F135" i="11"/>
  <c r="K74" i="11"/>
  <c r="J74" i="11"/>
  <c r="F74" i="11"/>
  <c r="K48" i="11"/>
  <c r="J48" i="11"/>
  <c r="F48" i="11"/>
  <c r="K24" i="11"/>
  <c r="J24" i="11"/>
  <c r="F24" i="11"/>
  <c r="K23" i="11"/>
  <c r="J23" i="11"/>
  <c r="F23" i="11"/>
  <c r="K22" i="11"/>
  <c r="J22" i="11"/>
  <c r="F22" i="11"/>
  <c r="K73" i="11"/>
  <c r="J73" i="11"/>
  <c r="F73" i="11"/>
  <c r="K60" i="11"/>
  <c r="J60" i="11"/>
  <c r="F60" i="11"/>
  <c r="K47" i="11"/>
  <c r="J47" i="11"/>
  <c r="F47" i="11"/>
  <c r="K21" i="11"/>
  <c r="J21" i="11"/>
  <c r="F21" i="11"/>
  <c r="K20" i="11"/>
  <c r="J20" i="11"/>
  <c r="F20" i="11"/>
  <c r="K19" i="11"/>
  <c r="J19" i="11"/>
  <c r="F19" i="11"/>
  <c r="K72" i="11"/>
  <c r="J72" i="11"/>
  <c r="F72" i="11"/>
  <c r="K71" i="11"/>
  <c r="J71" i="11"/>
  <c r="F71" i="11"/>
  <c r="K70" i="11"/>
  <c r="J70" i="11"/>
  <c r="F70" i="11"/>
  <c r="K69" i="11"/>
  <c r="J69" i="11"/>
  <c r="F69" i="11"/>
  <c r="K68" i="11"/>
  <c r="J68" i="11"/>
  <c r="F68" i="11"/>
  <c r="K18" i="11"/>
  <c r="J18" i="11"/>
  <c r="F18" i="11"/>
  <c r="K17" i="11"/>
  <c r="J17" i="11"/>
  <c r="F17" i="11"/>
  <c r="K134" i="11"/>
  <c r="J134" i="11"/>
  <c r="F134" i="11"/>
  <c r="K133" i="11"/>
  <c r="J133" i="11"/>
  <c r="F133" i="11"/>
  <c r="K132" i="11"/>
  <c r="J132" i="11"/>
  <c r="F132" i="11"/>
  <c r="K67" i="11"/>
  <c r="J67" i="11"/>
  <c r="F67" i="11"/>
  <c r="K66" i="11"/>
  <c r="L66" i="11" s="1"/>
  <c r="J66" i="11"/>
  <c r="K46" i="11"/>
  <c r="J46" i="11"/>
  <c r="F46" i="11"/>
  <c r="K131" i="11"/>
  <c r="J131" i="11"/>
  <c r="F131" i="11"/>
  <c r="K45" i="11"/>
  <c r="J45" i="11"/>
  <c r="F45" i="11"/>
  <c r="K16" i="11"/>
  <c r="J16" i="11"/>
  <c r="F16" i="11"/>
  <c r="K15" i="11"/>
  <c r="J15" i="11"/>
  <c r="F15" i="11"/>
  <c r="K65" i="11"/>
  <c r="J65" i="11"/>
  <c r="F65" i="11"/>
  <c r="K130" i="11"/>
  <c r="J130" i="11"/>
  <c r="F130" i="11"/>
  <c r="L130" i="11" s="1"/>
  <c r="K129" i="11"/>
  <c r="J129" i="11"/>
  <c r="F129" i="11"/>
  <c r="F195" i="11"/>
  <c r="L195" i="11" s="1"/>
  <c r="K64" i="11"/>
  <c r="J64" i="11"/>
  <c r="F64" i="11"/>
  <c r="K128" i="11"/>
  <c r="J128" i="11"/>
  <c r="F128" i="11"/>
  <c r="F202" i="11"/>
  <c r="L202" i="11" s="1"/>
  <c r="K127" i="11"/>
  <c r="J127" i="11"/>
  <c r="F127" i="11"/>
  <c r="K126" i="11"/>
  <c r="J126" i="11"/>
  <c r="F126" i="11"/>
  <c r="K125" i="11"/>
  <c r="J125" i="11"/>
  <c r="F125" i="11"/>
  <c r="K63" i="11"/>
  <c r="J63" i="11"/>
  <c r="F63" i="11"/>
  <c r="K44" i="11"/>
  <c r="J44" i="11"/>
  <c r="F44" i="11"/>
  <c r="K124" i="11"/>
  <c r="J124" i="11"/>
  <c r="F124" i="11"/>
  <c r="K123" i="11"/>
  <c r="J123" i="11"/>
  <c r="F123" i="11"/>
  <c r="K122" i="11"/>
  <c r="J122" i="11"/>
  <c r="F122" i="11"/>
  <c r="F201" i="11"/>
  <c r="L201" i="11" s="1"/>
  <c r="F187" i="11"/>
  <c r="L187" i="11" s="1"/>
  <c r="K121" i="11"/>
  <c r="J121" i="11"/>
  <c r="F121" i="11"/>
  <c r="K120" i="11"/>
  <c r="J120" i="11"/>
  <c r="F120" i="11"/>
  <c r="K119" i="11"/>
  <c r="J119" i="11"/>
  <c r="F119" i="11"/>
  <c r="K118" i="11"/>
  <c r="J118" i="11"/>
  <c r="F118" i="11"/>
  <c r="K117" i="11"/>
  <c r="J117" i="11"/>
  <c r="F117" i="11"/>
  <c r="K116" i="11"/>
  <c r="J116" i="11"/>
  <c r="F116" i="11"/>
  <c r="K115" i="11"/>
  <c r="J115" i="11"/>
  <c r="F115" i="11"/>
  <c r="F185" i="11"/>
  <c r="L185" i="11" s="1"/>
  <c r="K114" i="11"/>
  <c r="J114" i="11"/>
  <c r="F114" i="11"/>
  <c r="F204" i="11"/>
  <c r="L204" i="11" s="1"/>
  <c r="K14" i="11"/>
  <c r="J14" i="11"/>
  <c r="F14" i="11"/>
  <c r="K113" i="11"/>
  <c r="J113" i="11"/>
  <c r="F113" i="11"/>
  <c r="K43" i="11"/>
  <c r="J43" i="11"/>
  <c r="F43" i="11"/>
  <c r="K13" i="11"/>
  <c r="J13" i="11"/>
  <c r="F13" i="11"/>
  <c r="K112" i="11"/>
  <c r="J112" i="11"/>
  <c r="F112" i="11"/>
  <c r="F184" i="11"/>
  <c r="L184" i="11" s="1"/>
  <c r="K111" i="11"/>
  <c r="J111" i="11"/>
  <c r="F111" i="11"/>
  <c r="K42" i="11"/>
  <c r="J42" i="11"/>
  <c r="F42" i="11"/>
  <c r="K110" i="11"/>
  <c r="J110" i="11"/>
  <c r="F110" i="11"/>
  <c r="F203" i="11"/>
  <c r="L203" i="11" s="1"/>
  <c r="K62" i="11"/>
  <c r="J62" i="11"/>
  <c r="F62" i="11"/>
  <c r="K109" i="11"/>
  <c r="J109" i="11"/>
  <c r="F109" i="11"/>
  <c r="K108" i="11"/>
  <c r="J108" i="11"/>
  <c r="F108" i="11"/>
  <c r="F189" i="11"/>
  <c r="L189" i="11" s="1"/>
  <c r="K107" i="11"/>
  <c r="J107" i="11"/>
  <c r="F107" i="11"/>
  <c r="K106" i="11"/>
  <c r="J106" i="11"/>
  <c r="F106" i="11"/>
  <c r="K105" i="11"/>
  <c r="J105" i="11"/>
  <c r="F105" i="11"/>
  <c r="K61" i="11"/>
  <c r="J61" i="11"/>
  <c r="F61" i="11"/>
  <c r="K12" i="11"/>
  <c r="J12" i="11"/>
  <c r="F12" i="11"/>
  <c r="K104" i="11"/>
  <c r="J104" i="11"/>
  <c r="F104" i="11"/>
  <c r="F197" i="11"/>
  <c r="L197" i="11" s="1"/>
  <c r="K11" i="11"/>
  <c r="J11" i="11"/>
  <c r="F11" i="11"/>
  <c r="K10" i="11"/>
  <c r="J10" i="11"/>
  <c r="F10" i="11"/>
  <c r="K9" i="11"/>
  <c r="J9" i="11"/>
  <c r="F9" i="11"/>
  <c r="F206" i="11"/>
  <c r="L206" i="11" s="1"/>
  <c r="K103" i="11"/>
  <c r="J103" i="11"/>
  <c r="F103" i="11"/>
  <c r="K183" i="11"/>
  <c r="J183" i="11"/>
  <c r="F183" i="11"/>
  <c r="K102" i="11"/>
  <c r="J102" i="11"/>
  <c r="F102" i="11"/>
  <c r="K101" i="11"/>
  <c r="J101" i="11"/>
  <c r="F101" i="11"/>
  <c r="K41" i="11"/>
  <c r="J41" i="11"/>
  <c r="F41" i="11"/>
  <c r="K8" i="11"/>
  <c r="J8" i="11"/>
  <c r="F8" i="11"/>
  <c r="K59" i="11"/>
  <c r="J59" i="11"/>
  <c r="F59" i="11"/>
  <c r="K58" i="11"/>
  <c r="J58" i="11"/>
  <c r="F58" i="11"/>
  <c r="K100" i="11"/>
  <c r="J100" i="11"/>
  <c r="F100" i="11"/>
  <c r="K99" i="11"/>
  <c r="J99" i="11"/>
  <c r="F99" i="11"/>
  <c r="K98" i="11"/>
  <c r="J98" i="11"/>
  <c r="F98" i="11"/>
  <c r="F194" i="11"/>
  <c r="L194" i="11" s="1"/>
  <c r="K97" i="11"/>
  <c r="J97" i="11"/>
  <c r="F97" i="11"/>
  <c r="K96" i="11"/>
  <c r="J96" i="11"/>
  <c r="F96" i="11"/>
  <c r="K95" i="11"/>
  <c r="J95" i="11"/>
  <c r="F95" i="11"/>
  <c r="K94" i="11"/>
  <c r="J94" i="11"/>
  <c r="F94" i="11"/>
  <c r="K93" i="11"/>
  <c r="J93" i="11"/>
  <c r="F93" i="11"/>
  <c r="K57" i="11"/>
  <c r="J57" i="11"/>
  <c r="F57" i="11"/>
  <c r="K40" i="11"/>
  <c r="J40" i="11"/>
  <c r="F40" i="11"/>
  <c r="K92" i="11"/>
  <c r="J92" i="11"/>
  <c r="F92" i="11"/>
  <c r="F188" i="11"/>
  <c r="L188" i="11" s="1"/>
  <c r="K56" i="11"/>
  <c r="J56" i="11"/>
  <c r="F56" i="11"/>
  <c r="K7" i="11"/>
  <c r="J7" i="11"/>
  <c r="F7" i="11"/>
  <c r="K6" i="11"/>
  <c r="J6" i="11"/>
  <c r="F6" i="11"/>
  <c r="K91" i="11"/>
  <c r="J91" i="11"/>
  <c r="F91" i="11"/>
  <c r="K39" i="11"/>
  <c r="J39" i="11"/>
  <c r="F39" i="11"/>
  <c r="K38" i="11"/>
  <c r="J38" i="11"/>
  <c r="F38" i="11"/>
  <c r="K90" i="11"/>
  <c r="J90" i="11"/>
  <c r="F90" i="11"/>
  <c r="F186" i="11"/>
  <c r="L186" i="11" s="1"/>
  <c r="K89" i="11"/>
  <c r="J89" i="11"/>
  <c r="F89" i="11"/>
  <c r="K37" i="11"/>
  <c r="J37" i="11"/>
  <c r="F37" i="11"/>
  <c r="K55" i="11"/>
  <c r="J55" i="11"/>
  <c r="F55" i="11"/>
  <c r="F156" i="11" l="1"/>
  <c r="F173" i="11" s="1"/>
  <c r="K156" i="11"/>
  <c r="K173" i="11" s="1"/>
  <c r="L37" i="11"/>
  <c r="L38" i="11"/>
  <c r="L7" i="11"/>
  <c r="L40" i="11"/>
  <c r="L95" i="11"/>
  <c r="L98" i="11"/>
  <c r="L59" i="11"/>
  <c r="L102" i="11"/>
  <c r="L9" i="11"/>
  <c r="L104" i="11"/>
  <c r="L106" i="11"/>
  <c r="L109" i="11"/>
  <c r="L42" i="11"/>
  <c r="L13" i="11"/>
  <c r="L116" i="11"/>
  <c r="L120" i="11"/>
  <c r="L122" i="11"/>
  <c r="L63" i="11"/>
  <c r="L129" i="11"/>
  <c r="L16" i="11"/>
  <c r="L90" i="11"/>
  <c r="L6" i="11"/>
  <c r="L92" i="11"/>
  <c r="L94" i="11"/>
  <c r="L58" i="11"/>
  <c r="L101" i="11"/>
  <c r="L105" i="11"/>
  <c r="L108" i="11"/>
  <c r="L110" i="11"/>
  <c r="L112" i="11"/>
  <c r="L14" i="11"/>
  <c r="L115" i="11"/>
  <c r="L119" i="11"/>
  <c r="L44" i="11"/>
  <c r="L127" i="11"/>
  <c r="L45" i="11"/>
  <c r="L132" i="11"/>
  <c r="L18" i="11"/>
  <c r="L71" i="11"/>
  <c r="L21" i="11"/>
  <c r="L22" i="11"/>
  <c r="L74" i="11"/>
  <c r="L138" i="11"/>
  <c r="L49" i="11"/>
  <c r="L141" i="11"/>
  <c r="L79" i="11"/>
  <c r="L145" i="11"/>
  <c r="L28" i="11"/>
  <c r="L88" i="11"/>
  <c r="L31" i="11"/>
  <c r="L91" i="11"/>
  <c r="L93" i="11"/>
  <c r="L97" i="11"/>
  <c r="L100" i="11"/>
  <c r="L41" i="11"/>
  <c r="L103" i="11"/>
  <c r="L11" i="11"/>
  <c r="L61" i="11"/>
  <c r="L113" i="11"/>
  <c r="L118" i="11"/>
  <c r="L124" i="11"/>
  <c r="L126" i="11"/>
  <c r="L64" i="11"/>
  <c r="L15" i="11"/>
  <c r="L46" i="11"/>
  <c r="L89" i="11"/>
  <c r="L39" i="11"/>
  <c r="L56" i="11"/>
  <c r="L57" i="11"/>
  <c r="L96" i="11"/>
  <c r="L99" i="11"/>
  <c r="L8" i="11"/>
  <c r="L183" i="11"/>
  <c r="L10" i="11"/>
  <c r="L12" i="11"/>
  <c r="L107" i="11"/>
  <c r="L62" i="11"/>
  <c r="L111" i="11"/>
  <c r="L43" i="11"/>
  <c r="L114" i="11"/>
  <c r="L117" i="11"/>
  <c r="L121" i="11"/>
  <c r="L123" i="11"/>
  <c r="L125" i="11"/>
  <c r="L128" i="11"/>
  <c r="L65" i="11"/>
  <c r="L131" i="11"/>
  <c r="L133" i="11"/>
  <c r="L68" i="11"/>
  <c r="L72" i="11"/>
  <c r="L47" i="11"/>
  <c r="L23" i="11"/>
  <c r="L135" i="11"/>
  <c r="L75" i="11"/>
  <c r="L77" i="11"/>
  <c r="L142" i="11"/>
  <c r="L80" i="11"/>
  <c r="L27" i="11"/>
  <c r="L155" i="11"/>
  <c r="L148" i="11"/>
  <c r="L32" i="11"/>
  <c r="L83" i="11"/>
  <c r="L152" i="11"/>
  <c r="L52" i="11"/>
  <c r="L85" i="11"/>
  <c r="L154" i="11"/>
  <c r="L82" i="11"/>
  <c r="L151" i="11"/>
  <c r="L36" i="11"/>
  <c r="L84" i="11"/>
  <c r="L153" i="11"/>
  <c r="L55" i="11"/>
  <c r="L67" i="11"/>
  <c r="L17" i="11"/>
  <c r="L70" i="11"/>
  <c r="L20" i="11"/>
  <c r="L73" i="11"/>
  <c r="L48" i="11"/>
  <c r="L137" i="11"/>
  <c r="L139" i="11"/>
  <c r="L140" i="11"/>
  <c r="L78" i="11"/>
  <c r="L144" i="11"/>
  <c r="L147" i="11"/>
  <c r="L81" i="11"/>
  <c r="L30" i="11"/>
  <c r="L51" i="11"/>
  <c r="L150" i="11"/>
  <c r="L35" i="11"/>
  <c r="L54" i="11"/>
  <c r="L87" i="11"/>
  <c r="L134" i="11"/>
  <c r="L69" i="11"/>
  <c r="L19" i="11"/>
  <c r="L60" i="11"/>
  <c r="L24" i="11"/>
  <c r="L136" i="11"/>
  <c r="L76" i="11"/>
  <c r="L26" i="11"/>
  <c r="L50" i="11"/>
  <c r="L143" i="11"/>
  <c r="L146" i="11"/>
  <c r="L29" i="11"/>
  <c r="L33" i="11"/>
  <c r="L149" i="11"/>
  <c r="L34" i="11"/>
  <c r="L53" i="11"/>
  <c r="L86" i="11"/>
  <c r="J169" i="10"/>
  <c r="K169" i="10"/>
  <c r="J168" i="10"/>
  <c r="K168" i="10"/>
  <c r="J97" i="10"/>
  <c r="K97" i="10"/>
  <c r="J96" i="10"/>
  <c r="K96" i="10"/>
  <c r="J95" i="10"/>
  <c r="K95" i="10"/>
  <c r="J94" i="10"/>
  <c r="K94" i="10"/>
  <c r="J60" i="10"/>
  <c r="K60" i="10"/>
  <c r="J59" i="10"/>
  <c r="K59" i="10"/>
  <c r="J58" i="10"/>
  <c r="K58" i="10"/>
  <c r="J38" i="10"/>
  <c r="K38" i="10"/>
  <c r="J37" i="10"/>
  <c r="K37" i="10"/>
  <c r="J36" i="10"/>
  <c r="K36" i="10"/>
  <c r="F169" i="10"/>
  <c r="L169" i="10" s="1"/>
  <c r="F168" i="10"/>
  <c r="F97" i="10"/>
  <c r="F96" i="10"/>
  <c r="L96" i="10" s="1"/>
  <c r="F95" i="10"/>
  <c r="L95" i="10" s="1"/>
  <c r="F94" i="10"/>
  <c r="F196" i="10"/>
  <c r="F60" i="10"/>
  <c r="F59" i="10"/>
  <c r="F58" i="10"/>
  <c r="F38" i="10"/>
  <c r="F37" i="10"/>
  <c r="F36" i="10"/>
  <c r="K167" i="10"/>
  <c r="J167" i="10"/>
  <c r="F167" i="10"/>
  <c r="K166" i="10"/>
  <c r="J166" i="10"/>
  <c r="F166" i="10"/>
  <c r="K165" i="10"/>
  <c r="J165" i="10"/>
  <c r="F165" i="10"/>
  <c r="K164" i="10"/>
  <c r="J164" i="10"/>
  <c r="F164" i="10"/>
  <c r="K93" i="10"/>
  <c r="J93" i="10"/>
  <c r="F93" i="10"/>
  <c r="K92" i="10"/>
  <c r="J92" i="10"/>
  <c r="F92" i="10"/>
  <c r="K57" i="10"/>
  <c r="J57" i="10"/>
  <c r="F57" i="10"/>
  <c r="K35" i="10"/>
  <c r="J35" i="10"/>
  <c r="F35" i="10"/>
  <c r="K34" i="10"/>
  <c r="J34" i="10"/>
  <c r="F34" i="10"/>
  <c r="K33" i="10"/>
  <c r="J33" i="10"/>
  <c r="F33" i="10"/>
  <c r="K32" i="10"/>
  <c r="J32" i="10"/>
  <c r="F32" i="10"/>
  <c r="K91" i="10"/>
  <c r="J91" i="10"/>
  <c r="F91" i="10"/>
  <c r="K163" i="10"/>
  <c r="J163" i="10"/>
  <c r="F163" i="10"/>
  <c r="K98" i="10"/>
  <c r="J98" i="10"/>
  <c r="F98" i="10"/>
  <c r="K90" i="10"/>
  <c r="J90" i="10"/>
  <c r="F90" i="10"/>
  <c r="K31" i="10"/>
  <c r="J31" i="10"/>
  <c r="F31" i="10"/>
  <c r="K170" i="10"/>
  <c r="J170" i="10"/>
  <c r="K30" i="10"/>
  <c r="J30" i="10"/>
  <c r="F30" i="10"/>
  <c r="K162" i="10"/>
  <c r="J162" i="10"/>
  <c r="F162" i="10"/>
  <c r="K161" i="10"/>
  <c r="J161" i="10"/>
  <c r="F161" i="10"/>
  <c r="K29" i="10"/>
  <c r="J29" i="10"/>
  <c r="F29" i="10"/>
  <c r="K160" i="10"/>
  <c r="J160" i="10"/>
  <c r="F160" i="10"/>
  <c r="K159" i="10"/>
  <c r="J159" i="10"/>
  <c r="F159" i="10"/>
  <c r="K158" i="10"/>
  <c r="J158" i="10"/>
  <c r="F158" i="10"/>
  <c r="K89" i="10"/>
  <c r="J89" i="10"/>
  <c r="F89" i="10"/>
  <c r="K88" i="10"/>
  <c r="J88" i="10"/>
  <c r="F88" i="10"/>
  <c r="K87" i="10"/>
  <c r="J87" i="10"/>
  <c r="F87" i="10"/>
  <c r="K56" i="10"/>
  <c r="J56" i="10"/>
  <c r="F56" i="10"/>
  <c r="K157" i="10"/>
  <c r="J157" i="10"/>
  <c r="F157" i="10"/>
  <c r="K156" i="10"/>
  <c r="J156" i="10"/>
  <c r="F156" i="10"/>
  <c r="K155" i="10"/>
  <c r="J155" i="10"/>
  <c r="F155" i="10"/>
  <c r="K28" i="10"/>
  <c r="J28" i="10"/>
  <c r="F28" i="10"/>
  <c r="K86" i="10"/>
  <c r="J86" i="10"/>
  <c r="F86" i="10"/>
  <c r="K55" i="10"/>
  <c r="J55" i="10"/>
  <c r="F55" i="10"/>
  <c r="K154" i="10"/>
  <c r="J154" i="10"/>
  <c r="F154" i="10"/>
  <c r="K85" i="10"/>
  <c r="J85" i="10"/>
  <c r="F85" i="10"/>
  <c r="K84" i="10"/>
  <c r="J84" i="10"/>
  <c r="F84" i="10"/>
  <c r="K153" i="10"/>
  <c r="J153" i="10"/>
  <c r="F153" i="10"/>
  <c r="K152" i="10"/>
  <c r="J152" i="10"/>
  <c r="F152" i="10"/>
  <c r="K151" i="10"/>
  <c r="J151" i="10"/>
  <c r="F151" i="10"/>
  <c r="K150" i="10"/>
  <c r="J150" i="10"/>
  <c r="F150" i="10"/>
  <c r="K83" i="10"/>
  <c r="J83" i="10"/>
  <c r="F83" i="10"/>
  <c r="K54" i="10"/>
  <c r="J54" i="10"/>
  <c r="F54" i="10"/>
  <c r="K27" i="10"/>
  <c r="J27" i="10"/>
  <c r="F27" i="10"/>
  <c r="K26" i="10"/>
  <c r="J26" i="10"/>
  <c r="F26" i="10"/>
  <c r="K25" i="10"/>
  <c r="J25" i="10"/>
  <c r="F25" i="10"/>
  <c r="K82" i="10"/>
  <c r="J82" i="10"/>
  <c r="F82" i="10"/>
  <c r="K81" i="10"/>
  <c r="J81" i="10"/>
  <c r="F81" i="10"/>
  <c r="K53" i="10"/>
  <c r="J53" i="10"/>
  <c r="F53" i="10"/>
  <c r="K24" i="10"/>
  <c r="J24" i="10"/>
  <c r="F24" i="10"/>
  <c r="K23" i="10"/>
  <c r="J23" i="10"/>
  <c r="F23" i="10"/>
  <c r="K22" i="10"/>
  <c r="J22" i="10"/>
  <c r="F22" i="10"/>
  <c r="K80" i="10"/>
  <c r="J80" i="10"/>
  <c r="F80" i="10"/>
  <c r="K79" i="10"/>
  <c r="J79" i="10"/>
  <c r="F79" i="10"/>
  <c r="K78" i="10"/>
  <c r="J78" i="10"/>
  <c r="F78" i="10"/>
  <c r="K77" i="10"/>
  <c r="J77" i="10"/>
  <c r="F77" i="10"/>
  <c r="K76" i="10"/>
  <c r="J76" i="10"/>
  <c r="F76" i="10"/>
  <c r="K21" i="10"/>
  <c r="J21" i="10"/>
  <c r="F21" i="10"/>
  <c r="K20" i="10"/>
  <c r="J20" i="10"/>
  <c r="F20" i="10"/>
  <c r="K149" i="10"/>
  <c r="J149" i="10"/>
  <c r="F149" i="10"/>
  <c r="K148" i="10"/>
  <c r="J148" i="10"/>
  <c r="F148" i="10"/>
  <c r="K147" i="10"/>
  <c r="J147" i="10"/>
  <c r="F147" i="10"/>
  <c r="K75" i="10"/>
  <c r="J75" i="10"/>
  <c r="F75" i="10"/>
  <c r="K74" i="10"/>
  <c r="L74" i="10" s="1"/>
  <c r="J74" i="10"/>
  <c r="K52" i="10"/>
  <c r="J52" i="10"/>
  <c r="F52" i="10"/>
  <c r="K146" i="10"/>
  <c r="J146" i="10"/>
  <c r="F146" i="10"/>
  <c r="K51" i="10"/>
  <c r="J51" i="10"/>
  <c r="F51" i="10"/>
  <c r="K19" i="10"/>
  <c r="J19" i="10"/>
  <c r="F19" i="10"/>
  <c r="K18" i="10"/>
  <c r="J18" i="10"/>
  <c r="F18" i="10"/>
  <c r="K73" i="10"/>
  <c r="J73" i="10"/>
  <c r="F73" i="10"/>
  <c r="K145" i="10"/>
  <c r="J145" i="10"/>
  <c r="F145" i="10"/>
  <c r="L145" i="10" s="1"/>
  <c r="K144" i="10"/>
  <c r="J144" i="10"/>
  <c r="F144" i="10"/>
  <c r="K72" i="10"/>
  <c r="J72" i="10"/>
  <c r="F72" i="10"/>
  <c r="K71" i="10"/>
  <c r="J71" i="10"/>
  <c r="F71" i="10"/>
  <c r="K143" i="10"/>
  <c r="J143" i="10"/>
  <c r="F143" i="10"/>
  <c r="K50" i="10"/>
  <c r="J50" i="10"/>
  <c r="F50" i="10"/>
  <c r="K142" i="10"/>
  <c r="J142" i="10"/>
  <c r="F142" i="10"/>
  <c r="K141" i="10"/>
  <c r="J141" i="10"/>
  <c r="F141" i="10"/>
  <c r="K140" i="10"/>
  <c r="J140" i="10"/>
  <c r="F140" i="10"/>
  <c r="K70" i="10"/>
  <c r="J70" i="10"/>
  <c r="F70" i="10"/>
  <c r="K49" i="10"/>
  <c r="J49" i="10"/>
  <c r="F49" i="10"/>
  <c r="K139" i="10"/>
  <c r="J139" i="10"/>
  <c r="F139" i="10"/>
  <c r="K138" i="10"/>
  <c r="J138" i="10"/>
  <c r="F138" i="10"/>
  <c r="K137" i="10"/>
  <c r="J137" i="10"/>
  <c r="F137" i="10"/>
  <c r="K136" i="10"/>
  <c r="J136" i="10"/>
  <c r="F136" i="10"/>
  <c r="K135" i="10"/>
  <c r="J135" i="10"/>
  <c r="F135" i="10"/>
  <c r="K134" i="10"/>
  <c r="J134" i="10"/>
  <c r="F134" i="10"/>
  <c r="K133" i="10"/>
  <c r="J133" i="10"/>
  <c r="F133" i="10"/>
  <c r="K132" i="10"/>
  <c r="J132" i="10"/>
  <c r="F132" i="10"/>
  <c r="K131" i="10"/>
  <c r="J131" i="10"/>
  <c r="F131" i="10"/>
  <c r="K130" i="10"/>
  <c r="J130" i="10"/>
  <c r="F130" i="10"/>
  <c r="K129" i="10"/>
  <c r="J129" i="10"/>
  <c r="F129" i="10"/>
  <c r="K128" i="10"/>
  <c r="J128" i="10"/>
  <c r="F128" i="10"/>
  <c r="K127" i="10"/>
  <c r="J127" i="10"/>
  <c r="F127" i="10"/>
  <c r="K126" i="10"/>
  <c r="J126" i="10"/>
  <c r="F126" i="10"/>
  <c r="K17" i="10"/>
  <c r="J17" i="10"/>
  <c r="F17" i="10"/>
  <c r="K16" i="10"/>
  <c r="J16" i="10"/>
  <c r="F16" i="10"/>
  <c r="K125" i="10"/>
  <c r="J125" i="10"/>
  <c r="F125" i="10"/>
  <c r="K48" i="10"/>
  <c r="J48" i="10"/>
  <c r="F48" i="10"/>
  <c r="K15" i="10"/>
  <c r="J15" i="10"/>
  <c r="F15" i="10"/>
  <c r="K124" i="10"/>
  <c r="J124" i="10"/>
  <c r="F124" i="10"/>
  <c r="K69" i="10"/>
  <c r="J69" i="10"/>
  <c r="F69" i="10"/>
  <c r="K123" i="10"/>
  <c r="J123" i="10"/>
  <c r="F123" i="10"/>
  <c r="K47" i="10"/>
  <c r="J47" i="10"/>
  <c r="F47" i="10"/>
  <c r="K122" i="10"/>
  <c r="J122" i="10"/>
  <c r="F122" i="10"/>
  <c r="K14" i="10"/>
  <c r="J14" i="10"/>
  <c r="F14" i="10"/>
  <c r="K68" i="10"/>
  <c r="J68" i="10"/>
  <c r="F68" i="10"/>
  <c r="K121" i="10"/>
  <c r="J121" i="10"/>
  <c r="F121" i="10"/>
  <c r="K120" i="10"/>
  <c r="J120" i="10"/>
  <c r="F120" i="10"/>
  <c r="K46" i="10"/>
  <c r="J46" i="10"/>
  <c r="F46" i="10"/>
  <c r="K119" i="10"/>
  <c r="J119" i="10"/>
  <c r="F119" i="10"/>
  <c r="K118" i="10"/>
  <c r="J118" i="10"/>
  <c r="F118" i="10"/>
  <c r="K117" i="10"/>
  <c r="J117" i="10"/>
  <c r="F117" i="10"/>
  <c r="K67" i="10"/>
  <c r="J67" i="10"/>
  <c r="F67" i="10"/>
  <c r="K13" i="10"/>
  <c r="J13" i="10"/>
  <c r="F13" i="10"/>
  <c r="K116" i="10"/>
  <c r="J116" i="10"/>
  <c r="F116" i="10"/>
  <c r="K66" i="10"/>
  <c r="J66" i="10"/>
  <c r="F66" i="10"/>
  <c r="K12" i="10"/>
  <c r="J12" i="10"/>
  <c r="F12" i="10"/>
  <c r="K11" i="10"/>
  <c r="J11" i="10"/>
  <c r="F11" i="10"/>
  <c r="K10" i="10"/>
  <c r="J10" i="10"/>
  <c r="F10" i="10"/>
  <c r="K45" i="10"/>
  <c r="J45" i="10"/>
  <c r="F45" i="10"/>
  <c r="K115" i="10"/>
  <c r="J115" i="10"/>
  <c r="F115" i="10"/>
  <c r="K9" i="10"/>
  <c r="J9" i="10"/>
  <c r="F9" i="10"/>
  <c r="K114" i="10"/>
  <c r="J114" i="10"/>
  <c r="F114" i="10"/>
  <c r="K113" i="10"/>
  <c r="J113" i="10"/>
  <c r="F113" i="10"/>
  <c r="K44" i="10"/>
  <c r="J44" i="10"/>
  <c r="F44" i="10"/>
  <c r="K8" i="10"/>
  <c r="J8" i="10"/>
  <c r="F8" i="10"/>
  <c r="K65" i="10"/>
  <c r="J65" i="10"/>
  <c r="F65" i="10"/>
  <c r="K64" i="10"/>
  <c r="J64" i="10"/>
  <c r="F64" i="10"/>
  <c r="K112" i="10"/>
  <c r="J112" i="10"/>
  <c r="F112" i="10"/>
  <c r="K111" i="10"/>
  <c r="J111" i="10"/>
  <c r="F111" i="10"/>
  <c r="K110" i="10"/>
  <c r="J110" i="10"/>
  <c r="F110" i="10"/>
  <c r="K43" i="10"/>
  <c r="J43" i="10"/>
  <c r="F43" i="10"/>
  <c r="K109" i="10"/>
  <c r="J109" i="10"/>
  <c r="F109" i="10"/>
  <c r="K108" i="10"/>
  <c r="J108" i="10"/>
  <c r="F108" i="10"/>
  <c r="K107" i="10"/>
  <c r="J107" i="10"/>
  <c r="F107" i="10"/>
  <c r="K106" i="10"/>
  <c r="J106" i="10"/>
  <c r="F106" i="10"/>
  <c r="K105" i="10"/>
  <c r="J105" i="10"/>
  <c r="F105" i="10"/>
  <c r="K63" i="10"/>
  <c r="J63" i="10"/>
  <c r="F63" i="10"/>
  <c r="K42" i="10"/>
  <c r="J42" i="10"/>
  <c r="F42" i="10"/>
  <c r="K104" i="10"/>
  <c r="J104" i="10"/>
  <c r="F104" i="10"/>
  <c r="K103" i="10"/>
  <c r="J103" i="10"/>
  <c r="F103" i="10"/>
  <c r="K62" i="10"/>
  <c r="J62" i="10"/>
  <c r="F62" i="10"/>
  <c r="K7" i="10"/>
  <c r="J7" i="10"/>
  <c r="F7" i="10"/>
  <c r="K6" i="10"/>
  <c r="J6" i="10"/>
  <c r="F6" i="10"/>
  <c r="K102" i="10"/>
  <c r="J102" i="10"/>
  <c r="F102" i="10"/>
  <c r="K41" i="10"/>
  <c r="J41" i="10"/>
  <c r="F41" i="10"/>
  <c r="K40" i="10"/>
  <c r="J40" i="10"/>
  <c r="F40" i="10"/>
  <c r="K101" i="10"/>
  <c r="J101" i="10"/>
  <c r="F101" i="10"/>
  <c r="K100" i="10"/>
  <c r="J100" i="10"/>
  <c r="F100" i="10"/>
  <c r="K99" i="10"/>
  <c r="J99" i="10"/>
  <c r="F99" i="10"/>
  <c r="K39" i="10"/>
  <c r="J39" i="10"/>
  <c r="F39" i="10"/>
  <c r="K61" i="10"/>
  <c r="J61" i="10"/>
  <c r="F61" i="10"/>
  <c r="L156" i="11" l="1"/>
  <c r="L173" i="11" s="1"/>
  <c r="K171" i="10"/>
  <c r="L196" i="10"/>
  <c r="L197" i="10" s="1"/>
  <c r="L199" i="10" s="1"/>
  <c r="F197" i="10"/>
  <c r="L58" i="10"/>
  <c r="F171" i="10"/>
  <c r="L19" i="10"/>
  <c r="L75" i="10"/>
  <c r="L23" i="10"/>
  <c r="L54" i="10"/>
  <c r="L152" i="10"/>
  <c r="L154" i="10"/>
  <c r="L155" i="10"/>
  <c r="L159" i="10"/>
  <c r="L37" i="10"/>
  <c r="L60" i="10"/>
  <c r="L97" i="10"/>
  <c r="L32" i="10"/>
  <c r="L101" i="10"/>
  <c r="L6" i="10"/>
  <c r="L104" i="10"/>
  <c r="L106" i="10"/>
  <c r="L43" i="10"/>
  <c r="L64" i="10"/>
  <c r="L113" i="10"/>
  <c r="L45" i="10"/>
  <c r="L66" i="10"/>
  <c r="L117" i="10"/>
  <c r="L120" i="10"/>
  <c r="L122" i="10"/>
  <c r="L124" i="10"/>
  <c r="L16" i="10"/>
  <c r="L128" i="10"/>
  <c r="L132" i="10"/>
  <c r="L136" i="10"/>
  <c r="L49" i="10"/>
  <c r="L142" i="10"/>
  <c r="L72" i="10"/>
  <c r="L94" i="10"/>
  <c r="L38" i="10"/>
  <c r="L61" i="10"/>
  <c r="L59" i="10"/>
  <c r="L36" i="10"/>
  <c r="L168" i="10"/>
  <c r="L39" i="10"/>
  <c r="L40" i="10"/>
  <c r="L7" i="10"/>
  <c r="L42" i="10"/>
  <c r="L107" i="10"/>
  <c r="L110" i="10"/>
  <c r="L65" i="10"/>
  <c r="L114" i="10"/>
  <c r="L10" i="10"/>
  <c r="L116" i="10"/>
  <c r="L118" i="10"/>
  <c r="L121" i="10"/>
  <c r="L47" i="10"/>
  <c r="L15" i="10"/>
  <c r="L17" i="10"/>
  <c r="L129" i="10"/>
  <c r="L133" i="10"/>
  <c r="L137" i="10"/>
  <c r="L70" i="10"/>
  <c r="L50" i="10"/>
  <c r="L144" i="10"/>
  <c r="L51" i="10"/>
  <c r="L12" i="10"/>
  <c r="L67" i="10"/>
  <c r="L46" i="10"/>
  <c r="L14" i="10"/>
  <c r="L69" i="10"/>
  <c r="L125" i="10"/>
  <c r="L127" i="10"/>
  <c r="L131" i="10"/>
  <c r="L135" i="10"/>
  <c r="L139" i="10"/>
  <c r="L141" i="10"/>
  <c r="L71" i="10"/>
  <c r="L18" i="10"/>
  <c r="L52" i="10"/>
  <c r="L100" i="10"/>
  <c r="L102" i="10"/>
  <c r="L103" i="10"/>
  <c r="L105" i="10"/>
  <c r="L109" i="10"/>
  <c r="L112" i="10"/>
  <c r="L44" i="10"/>
  <c r="L115" i="10"/>
  <c r="L99" i="10"/>
  <c r="L41" i="10"/>
  <c r="L62" i="10"/>
  <c r="L63" i="10"/>
  <c r="L108" i="10"/>
  <c r="L111" i="10"/>
  <c r="L8" i="10"/>
  <c r="L9" i="10"/>
  <c r="L11" i="10"/>
  <c r="L13" i="10"/>
  <c r="L119" i="10"/>
  <c r="L68" i="10"/>
  <c r="L123" i="10"/>
  <c r="L48" i="10"/>
  <c r="L126" i="10"/>
  <c r="L130" i="10"/>
  <c r="L134" i="10"/>
  <c r="L138" i="10"/>
  <c r="L140" i="10"/>
  <c r="L143" i="10"/>
  <c r="L73" i="10"/>
  <c r="L146" i="10"/>
  <c r="L57" i="10"/>
  <c r="L165" i="10"/>
  <c r="L35" i="10"/>
  <c r="L164" i="10"/>
  <c r="L91" i="10"/>
  <c r="L90" i="10"/>
  <c r="L31" i="10"/>
  <c r="L162" i="10"/>
  <c r="L161" i="10"/>
  <c r="L158" i="10"/>
  <c r="L87" i="10"/>
  <c r="L56" i="10"/>
  <c r="L28" i="10"/>
  <c r="L85" i="10"/>
  <c r="L27" i="10"/>
  <c r="L151" i="10"/>
  <c r="L82" i="10"/>
  <c r="L81" i="10"/>
  <c r="L22" i="10"/>
  <c r="L78" i="10"/>
  <c r="L77" i="10"/>
  <c r="L20" i="10"/>
  <c r="L149" i="10"/>
  <c r="L148" i="10"/>
  <c r="L76" i="10"/>
  <c r="L80" i="10"/>
  <c r="L53" i="10"/>
  <c r="L26" i="10"/>
  <c r="L150" i="10"/>
  <c r="L84" i="10"/>
  <c r="L86" i="10"/>
  <c r="L157" i="10"/>
  <c r="L89" i="10"/>
  <c r="L29" i="10"/>
  <c r="L170" i="10"/>
  <c r="L163" i="10"/>
  <c r="L34" i="10"/>
  <c r="L93" i="10"/>
  <c r="L167" i="10"/>
  <c r="L147" i="10"/>
  <c r="L21" i="10"/>
  <c r="L79" i="10"/>
  <c r="L24" i="10"/>
  <c r="L25" i="10"/>
  <c r="L83" i="10"/>
  <c r="L153" i="10"/>
  <c r="L55" i="10"/>
  <c r="L156" i="10"/>
  <c r="L88" i="10"/>
  <c r="L160" i="10"/>
  <c r="L30" i="10"/>
  <c r="L98" i="10"/>
  <c r="L33" i="10"/>
  <c r="L92" i="10"/>
  <c r="L166" i="10"/>
  <c r="L171" i="10" l="1"/>
  <c r="F198" i="9" l="1"/>
  <c r="L198" i="9" s="1"/>
  <c r="K157" i="9"/>
  <c r="J157" i="9"/>
  <c r="F157" i="9"/>
  <c r="K156" i="9"/>
  <c r="J156" i="9"/>
  <c r="F156" i="9"/>
  <c r="K155" i="9"/>
  <c r="J155" i="9"/>
  <c r="F155" i="9"/>
  <c r="K154" i="9"/>
  <c r="J154" i="9"/>
  <c r="F154" i="9"/>
  <c r="K87" i="9"/>
  <c r="J87" i="9"/>
  <c r="F87" i="9"/>
  <c r="K86" i="9"/>
  <c r="J86" i="9"/>
  <c r="F86" i="9"/>
  <c r="K54" i="9"/>
  <c r="J54" i="9"/>
  <c r="F54" i="9"/>
  <c r="K35" i="9"/>
  <c r="J35" i="9"/>
  <c r="F35" i="9"/>
  <c r="K34" i="9"/>
  <c r="J34" i="9"/>
  <c r="F34" i="9"/>
  <c r="K33" i="9"/>
  <c r="J33" i="9"/>
  <c r="F33" i="9"/>
  <c r="K32" i="9"/>
  <c r="J32" i="9"/>
  <c r="F32" i="9"/>
  <c r="K85" i="9"/>
  <c r="J85" i="9"/>
  <c r="F85" i="9"/>
  <c r="K153" i="9"/>
  <c r="J153" i="9"/>
  <c r="F153" i="9"/>
  <c r="K88" i="9"/>
  <c r="J88" i="9"/>
  <c r="F88" i="9"/>
  <c r="K84" i="9"/>
  <c r="J84" i="9"/>
  <c r="F84" i="9"/>
  <c r="K31" i="9"/>
  <c r="J31" i="9"/>
  <c r="F31" i="9"/>
  <c r="K158" i="9"/>
  <c r="J158" i="9"/>
  <c r="F158" i="9"/>
  <c r="K30" i="9"/>
  <c r="J30" i="9"/>
  <c r="F30" i="9"/>
  <c r="K152" i="9"/>
  <c r="J152" i="9"/>
  <c r="F152" i="9"/>
  <c r="K151" i="9"/>
  <c r="J151" i="9"/>
  <c r="F151" i="9"/>
  <c r="K29" i="9"/>
  <c r="J29" i="9"/>
  <c r="F29" i="9"/>
  <c r="K150" i="9"/>
  <c r="J150" i="9"/>
  <c r="F150" i="9"/>
  <c r="K149" i="9"/>
  <c r="J149" i="9"/>
  <c r="F149" i="9"/>
  <c r="K148" i="9"/>
  <c r="J148" i="9"/>
  <c r="F148" i="9"/>
  <c r="K83" i="9"/>
  <c r="J83" i="9"/>
  <c r="F83" i="9"/>
  <c r="K82" i="9"/>
  <c r="J82" i="9"/>
  <c r="F82" i="9"/>
  <c r="K81" i="9"/>
  <c r="J81" i="9"/>
  <c r="F81" i="9"/>
  <c r="K53" i="9"/>
  <c r="J53" i="9"/>
  <c r="F53" i="9"/>
  <c r="K147" i="9"/>
  <c r="J147" i="9"/>
  <c r="F147" i="9"/>
  <c r="K146" i="9"/>
  <c r="J146" i="9"/>
  <c r="F146" i="9"/>
  <c r="K145" i="9"/>
  <c r="J145" i="9"/>
  <c r="F145" i="9"/>
  <c r="K28" i="9"/>
  <c r="J28" i="9"/>
  <c r="F28" i="9"/>
  <c r="K80" i="9"/>
  <c r="J80" i="9"/>
  <c r="F80" i="9"/>
  <c r="K52" i="9"/>
  <c r="J52" i="9"/>
  <c r="F52" i="9"/>
  <c r="K144" i="9"/>
  <c r="J144" i="9"/>
  <c r="F144" i="9"/>
  <c r="K79" i="9"/>
  <c r="J79" i="9"/>
  <c r="F79" i="9"/>
  <c r="K78" i="9"/>
  <c r="J78" i="9"/>
  <c r="F78" i="9"/>
  <c r="K143" i="9"/>
  <c r="J143" i="9"/>
  <c r="F143" i="9"/>
  <c r="K142" i="9"/>
  <c r="J142" i="9"/>
  <c r="F142" i="9"/>
  <c r="K141" i="9"/>
  <c r="J141" i="9"/>
  <c r="F141" i="9"/>
  <c r="K140" i="9"/>
  <c r="J140" i="9"/>
  <c r="F140" i="9"/>
  <c r="K77" i="9"/>
  <c r="J77" i="9"/>
  <c r="F77" i="9"/>
  <c r="K51" i="9"/>
  <c r="J51" i="9"/>
  <c r="F51" i="9"/>
  <c r="K27" i="9"/>
  <c r="J27" i="9"/>
  <c r="F27" i="9"/>
  <c r="K26" i="9"/>
  <c r="J26" i="9"/>
  <c r="F26" i="9"/>
  <c r="K25" i="9"/>
  <c r="J25" i="9"/>
  <c r="F25" i="9"/>
  <c r="K76" i="9"/>
  <c r="J76" i="9"/>
  <c r="F76" i="9"/>
  <c r="K75" i="9"/>
  <c r="J75" i="9"/>
  <c r="F75" i="9"/>
  <c r="K50" i="9"/>
  <c r="J50" i="9"/>
  <c r="F50" i="9"/>
  <c r="K24" i="9"/>
  <c r="J24" i="9"/>
  <c r="F24" i="9"/>
  <c r="K23" i="9"/>
  <c r="J23" i="9"/>
  <c r="F23" i="9"/>
  <c r="K22" i="9"/>
  <c r="J22" i="9"/>
  <c r="F22" i="9"/>
  <c r="K74" i="9"/>
  <c r="J74" i="9"/>
  <c r="F74" i="9"/>
  <c r="K73" i="9"/>
  <c r="J73" i="9"/>
  <c r="F73" i="9"/>
  <c r="K72" i="9"/>
  <c r="J72" i="9"/>
  <c r="F72" i="9"/>
  <c r="K71" i="9"/>
  <c r="J71" i="9"/>
  <c r="F71" i="9"/>
  <c r="K70" i="9"/>
  <c r="J70" i="9"/>
  <c r="F70" i="9"/>
  <c r="K21" i="9"/>
  <c r="J21" i="9"/>
  <c r="F21" i="9"/>
  <c r="K20" i="9"/>
  <c r="J20" i="9"/>
  <c r="F20" i="9"/>
  <c r="K139" i="9"/>
  <c r="J139" i="9"/>
  <c r="F139" i="9"/>
  <c r="K138" i="9"/>
  <c r="J138" i="9"/>
  <c r="F138" i="9"/>
  <c r="K137" i="9"/>
  <c r="J137" i="9"/>
  <c r="F137" i="9"/>
  <c r="K69" i="9"/>
  <c r="J69" i="9"/>
  <c r="F69" i="9"/>
  <c r="K68" i="9"/>
  <c r="L68" i="9" s="1"/>
  <c r="J68" i="9"/>
  <c r="K49" i="9"/>
  <c r="J49" i="9"/>
  <c r="F49" i="9"/>
  <c r="K136" i="9"/>
  <c r="J136" i="9"/>
  <c r="F136" i="9"/>
  <c r="K48" i="9"/>
  <c r="J48" i="9"/>
  <c r="F48" i="9"/>
  <c r="K19" i="9"/>
  <c r="J19" i="9"/>
  <c r="F19" i="9"/>
  <c r="K18" i="9"/>
  <c r="J18" i="9"/>
  <c r="F18" i="9"/>
  <c r="K67" i="9"/>
  <c r="J67" i="9"/>
  <c r="F67" i="9"/>
  <c r="K135" i="9"/>
  <c r="J135" i="9"/>
  <c r="F135" i="9"/>
  <c r="L135" i="9" s="1"/>
  <c r="K134" i="9"/>
  <c r="J134" i="9"/>
  <c r="F134" i="9"/>
  <c r="K199" i="9"/>
  <c r="J199" i="9"/>
  <c r="F199" i="9"/>
  <c r="K66" i="9"/>
  <c r="J66" i="9"/>
  <c r="F66" i="9"/>
  <c r="K65" i="9"/>
  <c r="J65" i="9"/>
  <c r="F65" i="9"/>
  <c r="K133" i="9"/>
  <c r="J133" i="9"/>
  <c r="F133" i="9"/>
  <c r="K47" i="9"/>
  <c r="J47" i="9"/>
  <c r="F47" i="9"/>
  <c r="K132" i="9"/>
  <c r="J132" i="9"/>
  <c r="F132" i="9"/>
  <c r="K131" i="9"/>
  <c r="J131" i="9"/>
  <c r="F131" i="9"/>
  <c r="K130" i="9"/>
  <c r="J130" i="9"/>
  <c r="F130" i="9"/>
  <c r="K64" i="9"/>
  <c r="J64" i="9"/>
  <c r="F64" i="9"/>
  <c r="K46" i="9"/>
  <c r="J46" i="9"/>
  <c r="F46" i="9"/>
  <c r="K129" i="9"/>
  <c r="J129" i="9"/>
  <c r="F129" i="9"/>
  <c r="K128" i="9"/>
  <c r="J128" i="9"/>
  <c r="F128" i="9"/>
  <c r="K127" i="9"/>
  <c r="J127" i="9"/>
  <c r="F127" i="9"/>
  <c r="K126" i="9"/>
  <c r="J126" i="9"/>
  <c r="F126" i="9"/>
  <c r="K125" i="9"/>
  <c r="J125" i="9"/>
  <c r="F125" i="9"/>
  <c r="K124" i="9"/>
  <c r="J124" i="9"/>
  <c r="F124" i="9"/>
  <c r="K197" i="9"/>
  <c r="J197" i="9"/>
  <c r="F197" i="9"/>
  <c r="K123" i="9"/>
  <c r="J123" i="9"/>
  <c r="F123" i="9"/>
  <c r="K122" i="9"/>
  <c r="J122" i="9"/>
  <c r="F122" i="9"/>
  <c r="K121" i="9"/>
  <c r="J121" i="9"/>
  <c r="F121" i="9"/>
  <c r="K120" i="9"/>
  <c r="J120" i="9"/>
  <c r="F120" i="9"/>
  <c r="K119" i="9"/>
  <c r="J119" i="9"/>
  <c r="F119" i="9"/>
  <c r="K118" i="9"/>
  <c r="J118" i="9"/>
  <c r="F118" i="9"/>
  <c r="K117" i="9"/>
  <c r="J117" i="9"/>
  <c r="F117" i="9"/>
  <c r="K116" i="9"/>
  <c r="J116" i="9"/>
  <c r="F116" i="9"/>
  <c r="K17" i="9"/>
  <c r="J17" i="9"/>
  <c r="F17" i="9"/>
  <c r="K16" i="9"/>
  <c r="J16" i="9"/>
  <c r="F16" i="9"/>
  <c r="K115" i="9"/>
  <c r="J115" i="9"/>
  <c r="F115" i="9"/>
  <c r="K45" i="9"/>
  <c r="J45" i="9"/>
  <c r="F45" i="9"/>
  <c r="K15" i="9"/>
  <c r="J15" i="9"/>
  <c r="F15" i="9"/>
  <c r="K114" i="9"/>
  <c r="J114" i="9"/>
  <c r="F114" i="9"/>
  <c r="K63" i="9"/>
  <c r="J63" i="9"/>
  <c r="F63" i="9"/>
  <c r="K113" i="9"/>
  <c r="J113" i="9"/>
  <c r="F113" i="9"/>
  <c r="K44" i="9"/>
  <c r="J44" i="9"/>
  <c r="F44" i="9"/>
  <c r="K112" i="9"/>
  <c r="J112" i="9"/>
  <c r="F112" i="9"/>
  <c r="K14" i="9"/>
  <c r="J14" i="9"/>
  <c r="F14" i="9"/>
  <c r="K62" i="9"/>
  <c r="J62" i="9"/>
  <c r="F62" i="9"/>
  <c r="K111" i="9"/>
  <c r="J111" i="9"/>
  <c r="F111" i="9"/>
  <c r="K110" i="9"/>
  <c r="J110" i="9"/>
  <c r="F110" i="9"/>
  <c r="K43" i="9"/>
  <c r="J43" i="9"/>
  <c r="F43" i="9"/>
  <c r="K109" i="9"/>
  <c r="J109" i="9"/>
  <c r="F109" i="9"/>
  <c r="K108" i="9"/>
  <c r="J108" i="9"/>
  <c r="F108" i="9"/>
  <c r="K107" i="9"/>
  <c r="J107" i="9"/>
  <c r="F107" i="9"/>
  <c r="K61" i="9"/>
  <c r="J61" i="9"/>
  <c r="F61" i="9"/>
  <c r="K13" i="9"/>
  <c r="J13" i="9"/>
  <c r="F13" i="9"/>
  <c r="K106" i="9"/>
  <c r="J106" i="9"/>
  <c r="F106" i="9"/>
  <c r="K60" i="9"/>
  <c r="J60" i="9"/>
  <c r="F60" i="9"/>
  <c r="K12" i="9"/>
  <c r="J12" i="9"/>
  <c r="F12" i="9"/>
  <c r="K11" i="9"/>
  <c r="J11" i="9"/>
  <c r="F11" i="9"/>
  <c r="K10" i="9"/>
  <c r="J10" i="9"/>
  <c r="F10" i="9"/>
  <c r="K42" i="9"/>
  <c r="J42" i="9"/>
  <c r="F42" i="9"/>
  <c r="K105" i="9"/>
  <c r="J105" i="9"/>
  <c r="F105" i="9"/>
  <c r="K9" i="9"/>
  <c r="J9" i="9"/>
  <c r="F9" i="9"/>
  <c r="K104" i="9"/>
  <c r="J104" i="9"/>
  <c r="F104" i="9"/>
  <c r="K103" i="9"/>
  <c r="J103" i="9"/>
  <c r="F103" i="9"/>
  <c r="K41" i="9"/>
  <c r="J41" i="9"/>
  <c r="F41" i="9"/>
  <c r="K8" i="9"/>
  <c r="J8" i="9"/>
  <c r="F8" i="9"/>
  <c r="K59" i="9"/>
  <c r="J59" i="9"/>
  <c r="F59" i="9"/>
  <c r="K58" i="9"/>
  <c r="J58" i="9"/>
  <c r="F58" i="9"/>
  <c r="K102" i="9"/>
  <c r="J102" i="9"/>
  <c r="F102" i="9"/>
  <c r="K101" i="9"/>
  <c r="J101" i="9"/>
  <c r="F101" i="9"/>
  <c r="K100" i="9"/>
  <c r="J100" i="9"/>
  <c r="F100" i="9"/>
  <c r="K40" i="9"/>
  <c r="J40" i="9"/>
  <c r="F40" i="9"/>
  <c r="K99" i="9"/>
  <c r="J99" i="9"/>
  <c r="F99" i="9"/>
  <c r="K98" i="9"/>
  <c r="J98" i="9"/>
  <c r="F98" i="9"/>
  <c r="K97" i="9"/>
  <c r="J97" i="9"/>
  <c r="F97" i="9"/>
  <c r="K96" i="9"/>
  <c r="J96" i="9"/>
  <c r="F96" i="9"/>
  <c r="K95" i="9"/>
  <c r="J95" i="9"/>
  <c r="F95" i="9"/>
  <c r="K196" i="9"/>
  <c r="J196" i="9"/>
  <c r="F196" i="9"/>
  <c r="K195" i="9"/>
  <c r="J195" i="9"/>
  <c r="F195" i="9"/>
  <c r="K57" i="9"/>
  <c r="J57" i="9"/>
  <c r="F57" i="9"/>
  <c r="K39" i="9"/>
  <c r="J39" i="9"/>
  <c r="F39" i="9"/>
  <c r="K94" i="9"/>
  <c r="J94" i="9"/>
  <c r="F94" i="9"/>
  <c r="K93" i="9"/>
  <c r="J93" i="9"/>
  <c r="F93" i="9"/>
  <c r="K56" i="9"/>
  <c r="J56" i="9"/>
  <c r="F56" i="9"/>
  <c r="K7" i="9"/>
  <c r="J7" i="9"/>
  <c r="F7" i="9"/>
  <c r="K6" i="9"/>
  <c r="J6" i="9"/>
  <c r="F6" i="9"/>
  <c r="K92" i="9"/>
  <c r="J92" i="9"/>
  <c r="F92" i="9"/>
  <c r="K38" i="9"/>
  <c r="J38" i="9"/>
  <c r="F38" i="9"/>
  <c r="K37" i="9"/>
  <c r="J37" i="9"/>
  <c r="F37" i="9"/>
  <c r="K91" i="9"/>
  <c r="J91" i="9"/>
  <c r="F91" i="9"/>
  <c r="K90" i="9"/>
  <c r="J90" i="9"/>
  <c r="F90" i="9"/>
  <c r="K89" i="9"/>
  <c r="J89" i="9"/>
  <c r="F89" i="9"/>
  <c r="K36" i="9"/>
  <c r="J36" i="9"/>
  <c r="F36" i="9"/>
  <c r="K55" i="9"/>
  <c r="J55" i="9"/>
  <c r="F55" i="9"/>
  <c r="K161" i="8"/>
  <c r="K160" i="8"/>
  <c r="K159" i="8"/>
  <c r="K158" i="8"/>
  <c r="K90" i="8"/>
  <c r="K89" i="8"/>
  <c r="K56" i="8"/>
  <c r="K36" i="8"/>
  <c r="K35" i="8"/>
  <c r="K34" i="8"/>
  <c r="J161" i="8"/>
  <c r="J160" i="8"/>
  <c r="J159" i="8"/>
  <c r="J158" i="8"/>
  <c r="J90" i="8"/>
  <c r="J89" i="8"/>
  <c r="J56" i="8"/>
  <c r="J36" i="8"/>
  <c r="J35" i="8"/>
  <c r="J34" i="8"/>
  <c r="J33" i="8"/>
  <c r="K33" i="8"/>
  <c r="F161" i="8"/>
  <c r="F160" i="8"/>
  <c r="F159" i="8"/>
  <c r="F158" i="8"/>
  <c r="F90" i="8"/>
  <c r="F89" i="8"/>
  <c r="F56" i="8"/>
  <c r="F36" i="8"/>
  <c r="F35" i="8"/>
  <c r="F34" i="8"/>
  <c r="F33" i="8"/>
  <c r="L33" i="8" l="1"/>
  <c r="L34" i="8"/>
  <c r="F159" i="9"/>
  <c r="F186" i="9" s="1"/>
  <c r="K159" i="9"/>
  <c r="K186" i="9" s="1"/>
  <c r="L139" i="9"/>
  <c r="L71" i="9"/>
  <c r="L22" i="9"/>
  <c r="L75" i="9"/>
  <c r="L27" i="9"/>
  <c r="L141" i="9"/>
  <c r="L53" i="9"/>
  <c r="L148" i="9"/>
  <c r="L151" i="9"/>
  <c r="L31" i="9"/>
  <c r="L85" i="9"/>
  <c r="L35" i="9"/>
  <c r="L154" i="9"/>
  <c r="L89" i="8"/>
  <c r="L160" i="8"/>
  <c r="L36" i="9"/>
  <c r="L37" i="9"/>
  <c r="L7" i="9"/>
  <c r="L39" i="9"/>
  <c r="L95" i="9"/>
  <c r="L99" i="9"/>
  <c r="L102" i="9"/>
  <c r="L41" i="9"/>
  <c r="L105" i="9"/>
  <c r="L12" i="9"/>
  <c r="L61" i="9"/>
  <c r="L43" i="9"/>
  <c r="L63" i="9"/>
  <c r="L117" i="9"/>
  <c r="L121" i="9"/>
  <c r="L124" i="9"/>
  <c r="L128" i="9"/>
  <c r="L130" i="9"/>
  <c r="L138" i="9"/>
  <c r="L70" i="9"/>
  <c r="L74" i="9"/>
  <c r="L50" i="9"/>
  <c r="L26" i="9"/>
  <c r="L140" i="9"/>
  <c r="L78" i="9"/>
  <c r="L80" i="9"/>
  <c r="L147" i="9"/>
  <c r="L83" i="9"/>
  <c r="L29" i="9"/>
  <c r="L158" i="9"/>
  <c r="L153" i="9"/>
  <c r="L35" i="8"/>
  <c r="L90" i="8"/>
  <c r="L161" i="8"/>
  <c r="L36" i="8"/>
  <c r="L158" i="8"/>
  <c r="L56" i="8"/>
  <c r="L159" i="8"/>
  <c r="L34" i="9"/>
  <c r="L87" i="9"/>
  <c r="L157" i="9"/>
  <c r="L28" i="9"/>
  <c r="L79" i="9"/>
  <c r="L19" i="9"/>
  <c r="L134" i="9"/>
  <c r="L133" i="9"/>
  <c r="L115" i="9"/>
  <c r="L14" i="9"/>
  <c r="L8" i="9"/>
  <c r="L62" i="9"/>
  <c r="L113" i="9"/>
  <c r="L45" i="9"/>
  <c r="L116" i="9"/>
  <c r="L47" i="9"/>
  <c r="L199" i="9"/>
  <c r="L18" i="9"/>
  <c r="L49" i="9"/>
  <c r="L55" i="9"/>
  <c r="L91" i="9"/>
  <c r="L6" i="9"/>
  <c r="L94" i="9"/>
  <c r="L196" i="9"/>
  <c r="L98" i="9"/>
  <c r="L101" i="9"/>
  <c r="L9" i="9"/>
  <c r="L11" i="9"/>
  <c r="L13" i="9"/>
  <c r="L109" i="9"/>
  <c r="L197" i="9"/>
  <c r="L127" i="9"/>
  <c r="L64" i="9"/>
  <c r="L120" i="9"/>
  <c r="L90" i="9"/>
  <c r="L66" i="9"/>
  <c r="L67" i="9"/>
  <c r="L136" i="9"/>
  <c r="L137" i="9"/>
  <c r="L21" i="9"/>
  <c r="L73" i="9"/>
  <c r="L24" i="9"/>
  <c r="L25" i="9"/>
  <c r="L77" i="9"/>
  <c r="L143" i="9"/>
  <c r="L52" i="9"/>
  <c r="L146" i="9"/>
  <c r="L82" i="9"/>
  <c r="L150" i="9"/>
  <c r="L30" i="9"/>
  <c r="L88" i="9"/>
  <c r="L33" i="9"/>
  <c r="L86" i="9"/>
  <c r="L156" i="9"/>
  <c r="L92" i="9"/>
  <c r="L93" i="9"/>
  <c r="L89" i="9"/>
  <c r="L38" i="9"/>
  <c r="L56" i="9"/>
  <c r="L65" i="9"/>
  <c r="L48" i="9"/>
  <c r="L69" i="9"/>
  <c r="L20" i="9"/>
  <c r="L72" i="9"/>
  <c r="L23" i="9"/>
  <c r="L76" i="9"/>
  <c r="L51" i="9"/>
  <c r="L142" i="9"/>
  <c r="L144" i="9"/>
  <c r="L145" i="9"/>
  <c r="L81" i="9"/>
  <c r="L149" i="9"/>
  <c r="L152" i="9"/>
  <c r="L84" i="9"/>
  <c r="L32" i="9"/>
  <c r="L54" i="9"/>
  <c r="L155" i="9"/>
  <c r="L119" i="9"/>
  <c r="L123" i="9"/>
  <c r="L126" i="9"/>
  <c r="L46" i="9"/>
  <c r="L132" i="9"/>
  <c r="L118" i="9"/>
  <c r="L122" i="9"/>
  <c r="L125" i="9"/>
  <c r="L129" i="9"/>
  <c r="L131" i="9"/>
  <c r="L195" i="9"/>
  <c r="L97" i="9"/>
  <c r="L100" i="9"/>
  <c r="L59" i="9"/>
  <c r="L104" i="9"/>
  <c r="L10" i="9"/>
  <c r="L106" i="9"/>
  <c r="L108" i="9"/>
  <c r="L111" i="9"/>
  <c r="L44" i="9"/>
  <c r="L15" i="9"/>
  <c r="L17" i="9"/>
  <c r="L57" i="9"/>
  <c r="L96" i="9"/>
  <c r="L40" i="9"/>
  <c r="L58" i="9"/>
  <c r="L103" i="9"/>
  <c r="L42" i="9"/>
  <c r="L60" i="9"/>
  <c r="L107" i="9"/>
  <c r="L110" i="9"/>
  <c r="L112" i="9"/>
  <c r="L114" i="9"/>
  <c r="L16" i="9"/>
  <c r="L159" i="9" l="1"/>
  <c r="L186" i="9" s="1"/>
  <c r="K88" i="8" l="1"/>
  <c r="J88" i="8"/>
  <c r="F88" i="8"/>
  <c r="K157" i="8"/>
  <c r="J157" i="8"/>
  <c r="F157" i="8"/>
  <c r="K92" i="8"/>
  <c r="J92" i="8"/>
  <c r="F92" i="8"/>
  <c r="K87" i="8"/>
  <c r="J87" i="8"/>
  <c r="F87" i="8"/>
  <c r="K32" i="8"/>
  <c r="J32" i="8"/>
  <c r="F32" i="8"/>
  <c r="K162" i="8"/>
  <c r="J162" i="8"/>
  <c r="F162" i="8"/>
  <c r="K31" i="8"/>
  <c r="J31" i="8"/>
  <c r="F31" i="8"/>
  <c r="K156" i="8"/>
  <c r="J156" i="8"/>
  <c r="F156" i="8"/>
  <c r="K155" i="8"/>
  <c r="J155" i="8"/>
  <c r="F155" i="8"/>
  <c r="K30" i="8"/>
  <c r="J30" i="8"/>
  <c r="F30" i="8"/>
  <c r="K154" i="8"/>
  <c r="J154" i="8"/>
  <c r="F154" i="8"/>
  <c r="K153" i="8"/>
  <c r="J153" i="8"/>
  <c r="F153" i="8"/>
  <c r="K152" i="8"/>
  <c r="J152" i="8"/>
  <c r="F152" i="8"/>
  <c r="K86" i="8"/>
  <c r="J86" i="8"/>
  <c r="F86" i="8"/>
  <c r="K85" i="8"/>
  <c r="J85" i="8"/>
  <c r="F85" i="8"/>
  <c r="K84" i="8"/>
  <c r="J84" i="8"/>
  <c r="F84" i="8"/>
  <c r="K55" i="8"/>
  <c r="J55" i="8"/>
  <c r="F55" i="8"/>
  <c r="K151" i="8"/>
  <c r="J151" i="8"/>
  <c r="F151" i="8"/>
  <c r="K150" i="8"/>
  <c r="J150" i="8"/>
  <c r="F150" i="8"/>
  <c r="K149" i="8"/>
  <c r="J149" i="8"/>
  <c r="F149" i="8"/>
  <c r="K29" i="8"/>
  <c r="J29" i="8"/>
  <c r="F29" i="8"/>
  <c r="K83" i="8"/>
  <c r="J83" i="8"/>
  <c r="F83" i="8"/>
  <c r="K54" i="8"/>
  <c r="J54" i="8"/>
  <c r="F54" i="8"/>
  <c r="K148" i="8"/>
  <c r="J148" i="8"/>
  <c r="F148" i="8"/>
  <c r="K82" i="8"/>
  <c r="J82" i="8"/>
  <c r="F82" i="8"/>
  <c r="K81" i="8"/>
  <c r="J81" i="8"/>
  <c r="F81" i="8"/>
  <c r="K147" i="8"/>
  <c r="J147" i="8"/>
  <c r="F147" i="8"/>
  <c r="K146" i="8"/>
  <c r="J146" i="8"/>
  <c r="F146" i="8"/>
  <c r="K145" i="8"/>
  <c r="J145" i="8"/>
  <c r="F145" i="8"/>
  <c r="K144" i="8"/>
  <c r="J144" i="8"/>
  <c r="F144" i="8"/>
  <c r="K80" i="8"/>
  <c r="J80" i="8"/>
  <c r="F80" i="8"/>
  <c r="K53" i="8"/>
  <c r="J53" i="8"/>
  <c r="F53" i="8"/>
  <c r="K28" i="8"/>
  <c r="J28" i="8"/>
  <c r="F28" i="8"/>
  <c r="K27" i="8"/>
  <c r="J27" i="8"/>
  <c r="F27" i="8"/>
  <c r="K26" i="8"/>
  <c r="J26" i="8"/>
  <c r="F26" i="8"/>
  <c r="K79" i="8"/>
  <c r="J79" i="8"/>
  <c r="F79" i="8"/>
  <c r="K78" i="8"/>
  <c r="J78" i="8"/>
  <c r="F78" i="8"/>
  <c r="K52" i="8"/>
  <c r="J52" i="8"/>
  <c r="F52" i="8"/>
  <c r="K25" i="8"/>
  <c r="J25" i="8"/>
  <c r="F25" i="8"/>
  <c r="K24" i="8"/>
  <c r="J24" i="8"/>
  <c r="F24" i="8"/>
  <c r="K23" i="8"/>
  <c r="J23" i="8"/>
  <c r="F23" i="8"/>
  <c r="K77" i="8"/>
  <c r="J77" i="8"/>
  <c r="F77" i="8"/>
  <c r="K76" i="8"/>
  <c r="J76" i="8"/>
  <c r="F76" i="8"/>
  <c r="K75" i="8"/>
  <c r="J75" i="8"/>
  <c r="F75" i="8"/>
  <c r="K74" i="8"/>
  <c r="J74" i="8"/>
  <c r="F74" i="8"/>
  <c r="K73" i="8"/>
  <c r="J73" i="8"/>
  <c r="F73" i="8"/>
  <c r="K22" i="8"/>
  <c r="J22" i="8"/>
  <c r="F22" i="8"/>
  <c r="K21" i="8"/>
  <c r="J21" i="8"/>
  <c r="F21" i="8"/>
  <c r="K143" i="8"/>
  <c r="J143" i="8"/>
  <c r="F143" i="8"/>
  <c r="K142" i="8"/>
  <c r="J142" i="8"/>
  <c r="F142" i="8"/>
  <c r="K141" i="8"/>
  <c r="J141" i="8"/>
  <c r="F141" i="8"/>
  <c r="K72" i="8"/>
  <c r="J72" i="8"/>
  <c r="F72" i="8"/>
  <c r="K71" i="8"/>
  <c r="L71" i="8" s="1"/>
  <c r="J71" i="8"/>
  <c r="K51" i="8"/>
  <c r="J51" i="8"/>
  <c r="F51" i="8"/>
  <c r="K140" i="8"/>
  <c r="J140" i="8"/>
  <c r="F140" i="8"/>
  <c r="K50" i="8"/>
  <c r="J50" i="8"/>
  <c r="F50" i="8"/>
  <c r="K20" i="8"/>
  <c r="J20" i="8"/>
  <c r="F20" i="8"/>
  <c r="K19" i="8"/>
  <c r="J19" i="8"/>
  <c r="F19" i="8"/>
  <c r="K70" i="8"/>
  <c r="J70" i="8"/>
  <c r="F70" i="8"/>
  <c r="K139" i="8"/>
  <c r="J139" i="8"/>
  <c r="F139" i="8"/>
  <c r="L139" i="8" s="1"/>
  <c r="K138" i="8"/>
  <c r="J138" i="8"/>
  <c r="F138" i="8"/>
  <c r="K49" i="8"/>
  <c r="J49" i="8"/>
  <c r="F49" i="8"/>
  <c r="K203" i="8"/>
  <c r="J203" i="8"/>
  <c r="F203" i="8"/>
  <c r="K69" i="8"/>
  <c r="J69" i="8"/>
  <c r="F69" i="8"/>
  <c r="K68" i="8"/>
  <c r="J68" i="8"/>
  <c r="F68" i="8"/>
  <c r="K137" i="8"/>
  <c r="J137" i="8"/>
  <c r="F137" i="8"/>
  <c r="K48" i="8"/>
  <c r="J48" i="8"/>
  <c r="F48" i="8"/>
  <c r="K136" i="8"/>
  <c r="J136" i="8"/>
  <c r="F136" i="8"/>
  <c r="K135" i="8"/>
  <c r="J135" i="8"/>
  <c r="F135" i="8"/>
  <c r="K134" i="8"/>
  <c r="J134" i="8"/>
  <c r="F134" i="8"/>
  <c r="K67" i="8"/>
  <c r="J67" i="8"/>
  <c r="F67" i="8"/>
  <c r="K47" i="8"/>
  <c r="J47" i="8"/>
  <c r="F47" i="8"/>
  <c r="K133" i="8"/>
  <c r="J133" i="8"/>
  <c r="F133" i="8"/>
  <c r="K132" i="8"/>
  <c r="J132" i="8"/>
  <c r="F132" i="8"/>
  <c r="K131" i="8"/>
  <c r="J131" i="8"/>
  <c r="F131" i="8"/>
  <c r="K130" i="8"/>
  <c r="J130" i="8"/>
  <c r="F130" i="8"/>
  <c r="K129" i="8"/>
  <c r="J129" i="8"/>
  <c r="F129" i="8"/>
  <c r="K128" i="8"/>
  <c r="J128" i="8"/>
  <c r="F128" i="8"/>
  <c r="K66" i="8"/>
  <c r="J66" i="8"/>
  <c r="F66" i="8"/>
  <c r="K127" i="8"/>
  <c r="J127" i="8"/>
  <c r="F127" i="8"/>
  <c r="K126" i="8"/>
  <c r="J126" i="8"/>
  <c r="F126" i="8"/>
  <c r="K125" i="8"/>
  <c r="J125" i="8"/>
  <c r="F125" i="8"/>
  <c r="K124" i="8"/>
  <c r="J124" i="8"/>
  <c r="F124" i="8"/>
  <c r="K123" i="8"/>
  <c r="J123" i="8"/>
  <c r="F123" i="8"/>
  <c r="K122" i="8"/>
  <c r="J122" i="8"/>
  <c r="F122" i="8"/>
  <c r="K121" i="8"/>
  <c r="J121" i="8"/>
  <c r="F121" i="8"/>
  <c r="K120" i="8"/>
  <c r="J120" i="8"/>
  <c r="F120" i="8"/>
  <c r="K18" i="8"/>
  <c r="J18" i="8"/>
  <c r="F18" i="8"/>
  <c r="K17" i="8"/>
  <c r="J17" i="8"/>
  <c r="F17" i="8"/>
  <c r="K119" i="8"/>
  <c r="J119" i="8"/>
  <c r="F119" i="8"/>
  <c r="K46" i="8"/>
  <c r="J46" i="8"/>
  <c r="F46" i="8"/>
  <c r="K16" i="8"/>
  <c r="J16" i="8"/>
  <c r="F16" i="8"/>
  <c r="K118" i="8"/>
  <c r="J118" i="8"/>
  <c r="F118" i="8"/>
  <c r="K65" i="8"/>
  <c r="J65" i="8"/>
  <c r="F65" i="8"/>
  <c r="K117" i="8"/>
  <c r="J117" i="8"/>
  <c r="F117" i="8"/>
  <c r="K45" i="8"/>
  <c r="J45" i="8"/>
  <c r="F45" i="8"/>
  <c r="K116" i="8"/>
  <c r="J116" i="8"/>
  <c r="F116" i="8"/>
  <c r="K15" i="8"/>
  <c r="J15" i="8"/>
  <c r="F15" i="8"/>
  <c r="K64" i="8"/>
  <c r="J64" i="8"/>
  <c r="F64" i="8"/>
  <c r="K115" i="8"/>
  <c r="J115" i="8"/>
  <c r="F115" i="8"/>
  <c r="K114" i="8"/>
  <c r="J114" i="8"/>
  <c r="F114" i="8"/>
  <c r="K44" i="8"/>
  <c r="J44" i="8"/>
  <c r="F44" i="8"/>
  <c r="K113" i="8"/>
  <c r="J113" i="8"/>
  <c r="F113" i="8"/>
  <c r="K112" i="8"/>
  <c r="J112" i="8"/>
  <c r="F112" i="8"/>
  <c r="K111" i="8"/>
  <c r="J111" i="8"/>
  <c r="F111" i="8"/>
  <c r="K63" i="8"/>
  <c r="J63" i="8"/>
  <c r="F63" i="8"/>
  <c r="K14" i="8"/>
  <c r="J14" i="8"/>
  <c r="F14" i="8"/>
  <c r="K110" i="8"/>
  <c r="J110" i="8"/>
  <c r="F110" i="8"/>
  <c r="K62" i="8"/>
  <c r="J62" i="8"/>
  <c r="F62" i="8"/>
  <c r="K13" i="8"/>
  <c r="J13" i="8"/>
  <c r="F13" i="8"/>
  <c r="K12" i="8"/>
  <c r="J12" i="8"/>
  <c r="F12" i="8"/>
  <c r="K11" i="8"/>
  <c r="J11" i="8"/>
  <c r="F11" i="8"/>
  <c r="K43" i="8"/>
  <c r="J43" i="8"/>
  <c r="F43" i="8"/>
  <c r="K109" i="8"/>
  <c r="J109" i="8"/>
  <c r="F109" i="8"/>
  <c r="K10" i="8"/>
  <c r="J10" i="8"/>
  <c r="F10" i="8"/>
  <c r="K108" i="8"/>
  <c r="J108" i="8"/>
  <c r="F108" i="8"/>
  <c r="K107" i="8"/>
  <c r="J107" i="8"/>
  <c r="F107" i="8"/>
  <c r="K42" i="8"/>
  <c r="J42" i="8"/>
  <c r="F42" i="8"/>
  <c r="K9" i="8"/>
  <c r="J9" i="8"/>
  <c r="F9" i="8"/>
  <c r="K61" i="8"/>
  <c r="J61" i="8"/>
  <c r="F61" i="8"/>
  <c r="K60" i="8"/>
  <c r="J60" i="8"/>
  <c r="F60" i="8"/>
  <c r="K106" i="8"/>
  <c r="J106" i="8"/>
  <c r="F106" i="8"/>
  <c r="K105" i="8"/>
  <c r="J105" i="8"/>
  <c r="F105" i="8"/>
  <c r="K104" i="8"/>
  <c r="J104" i="8"/>
  <c r="F104" i="8"/>
  <c r="K201" i="8"/>
  <c r="J201" i="8"/>
  <c r="F201" i="8"/>
  <c r="K41" i="8"/>
  <c r="J41" i="8"/>
  <c r="F41" i="8"/>
  <c r="K103" i="8"/>
  <c r="J103" i="8"/>
  <c r="F103" i="8"/>
  <c r="K102" i="8"/>
  <c r="J102" i="8"/>
  <c r="F102" i="8"/>
  <c r="K101" i="8"/>
  <c r="J101" i="8"/>
  <c r="F101" i="8"/>
  <c r="K100" i="8"/>
  <c r="J100" i="8"/>
  <c r="F100" i="8"/>
  <c r="K202" i="8"/>
  <c r="J202" i="8"/>
  <c r="F202" i="8"/>
  <c r="K99" i="8"/>
  <c r="J99" i="8"/>
  <c r="F99" i="8"/>
  <c r="K91" i="8"/>
  <c r="J91" i="8"/>
  <c r="F91" i="8"/>
  <c r="K8" i="8"/>
  <c r="J8" i="8"/>
  <c r="F8" i="8"/>
  <c r="K59" i="8"/>
  <c r="J59" i="8"/>
  <c r="F59" i="8"/>
  <c r="K40" i="8"/>
  <c r="J40" i="8"/>
  <c r="F40" i="8"/>
  <c r="K98" i="8"/>
  <c r="J98" i="8"/>
  <c r="F98" i="8"/>
  <c r="K97" i="8"/>
  <c r="J97" i="8"/>
  <c r="F97" i="8"/>
  <c r="K58" i="8"/>
  <c r="J58" i="8"/>
  <c r="F58" i="8"/>
  <c r="K7" i="8"/>
  <c r="J7" i="8"/>
  <c r="F7" i="8"/>
  <c r="K6" i="8"/>
  <c r="J6" i="8"/>
  <c r="F6" i="8"/>
  <c r="K96" i="8"/>
  <c r="J96" i="8"/>
  <c r="F96" i="8"/>
  <c r="K39" i="8"/>
  <c r="J39" i="8"/>
  <c r="F39" i="8"/>
  <c r="K38" i="8"/>
  <c r="J38" i="8"/>
  <c r="F38" i="8"/>
  <c r="K95" i="8"/>
  <c r="J95" i="8"/>
  <c r="F95" i="8"/>
  <c r="K94" i="8"/>
  <c r="J94" i="8"/>
  <c r="F94" i="8"/>
  <c r="K93" i="8"/>
  <c r="J93" i="8"/>
  <c r="F93" i="8"/>
  <c r="K37" i="8"/>
  <c r="J37" i="8"/>
  <c r="F37" i="8"/>
  <c r="K57" i="8"/>
  <c r="J57" i="8"/>
  <c r="F57" i="8"/>
  <c r="F163" i="8" l="1"/>
  <c r="F192" i="8" s="1"/>
  <c r="L20" i="8"/>
  <c r="L72" i="8"/>
  <c r="L21" i="8"/>
  <c r="L75" i="8"/>
  <c r="L24" i="8"/>
  <c r="L79" i="8"/>
  <c r="L53" i="8"/>
  <c r="L148" i="8"/>
  <c r="L149" i="8"/>
  <c r="L153" i="8"/>
  <c r="L156" i="8"/>
  <c r="L87" i="8"/>
  <c r="K163" i="8"/>
  <c r="K192" i="8" s="1"/>
  <c r="L82" i="8"/>
  <c r="L29" i="8"/>
  <c r="L152" i="8"/>
  <c r="L155" i="8"/>
  <c r="L32" i="8"/>
  <c r="L84" i="8"/>
  <c r="L55" i="8"/>
  <c r="L146" i="8"/>
  <c r="L94" i="8"/>
  <c r="L96" i="8"/>
  <c r="L97" i="8"/>
  <c r="L8" i="8"/>
  <c r="L100" i="8"/>
  <c r="L41" i="8"/>
  <c r="L106" i="8"/>
  <c r="L42" i="8"/>
  <c r="L109" i="8"/>
  <c r="L13" i="8"/>
  <c r="L63" i="8"/>
  <c r="L44" i="8"/>
  <c r="L15" i="8"/>
  <c r="L65" i="8"/>
  <c r="L119" i="8"/>
  <c r="L121" i="8"/>
  <c r="L125" i="8"/>
  <c r="L128" i="8"/>
  <c r="L132" i="8"/>
  <c r="L134" i="8"/>
  <c r="L137" i="8"/>
  <c r="L49" i="8"/>
  <c r="L19" i="8"/>
  <c r="L51" i="8"/>
  <c r="L143" i="8"/>
  <c r="L74" i="8"/>
  <c r="L23" i="8"/>
  <c r="L78" i="8"/>
  <c r="L28" i="8"/>
  <c r="L145" i="8"/>
  <c r="L88" i="8"/>
  <c r="L93" i="8"/>
  <c r="L39" i="8"/>
  <c r="L58" i="8"/>
  <c r="L59" i="8"/>
  <c r="L202" i="8"/>
  <c r="L103" i="8"/>
  <c r="L105" i="8"/>
  <c r="L9" i="8"/>
  <c r="L10" i="8"/>
  <c r="L12" i="8"/>
  <c r="L14" i="8"/>
  <c r="L113" i="8"/>
  <c r="L64" i="8"/>
  <c r="L117" i="8"/>
  <c r="L46" i="8"/>
  <c r="L120" i="8"/>
  <c r="L124" i="8"/>
  <c r="L66" i="8"/>
  <c r="L131" i="8"/>
  <c r="L67" i="8"/>
  <c r="L48" i="8"/>
  <c r="L203" i="8"/>
  <c r="L37" i="8"/>
  <c r="L38" i="8"/>
  <c r="L7" i="8"/>
  <c r="L40" i="8"/>
  <c r="L99" i="8"/>
  <c r="L102" i="8"/>
  <c r="L104" i="8"/>
  <c r="L61" i="8"/>
  <c r="L108" i="8"/>
  <c r="L11" i="8"/>
  <c r="L110" i="8"/>
  <c r="L112" i="8"/>
  <c r="L115" i="8"/>
  <c r="L45" i="8"/>
  <c r="L16" i="8"/>
  <c r="L18" i="8"/>
  <c r="L123" i="8"/>
  <c r="L127" i="8"/>
  <c r="L130" i="8"/>
  <c r="L47" i="8"/>
  <c r="L136" i="8"/>
  <c r="L69" i="8"/>
  <c r="L70" i="8"/>
  <c r="L140" i="8"/>
  <c r="L57" i="8"/>
  <c r="L95" i="8"/>
  <c r="L6" i="8"/>
  <c r="L98" i="8"/>
  <c r="L91" i="8"/>
  <c r="L101" i="8"/>
  <c r="L201" i="8"/>
  <c r="L60" i="8"/>
  <c r="L107" i="8"/>
  <c r="L43" i="8"/>
  <c r="L62" i="8"/>
  <c r="L111" i="8"/>
  <c r="L114" i="8"/>
  <c r="L116" i="8"/>
  <c r="L118" i="8"/>
  <c r="L17" i="8"/>
  <c r="L122" i="8"/>
  <c r="L126" i="8"/>
  <c r="L129" i="8"/>
  <c r="L133" i="8"/>
  <c r="L135" i="8"/>
  <c r="L68" i="8"/>
  <c r="L138" i="8"/>
  <c r="L50" i="8"/>
  <c r="L142" i="8"/>
  <c r="L73" i="8"/>
  <c r="L77" i="8"/>
  <c r="L52" i="8"/>
  <c r="L27" i="8"/>
  <c r="L144" i="8"/>
  <c r="L81" i="8"/>
  <c r="L83" i="8"/>
  <c r="L151" i="8"/>
  <c r="L86" i="8"/>
  <c r="L30" i="8"/>
  <c r="L162" i="8"/>
  <c r="L157" i="8"/>
  <c r="L141" i="8"/>
  <c r="L22" i="8"/>
  <c r="L76" i="8"/>
  <c r="L25" i="8"/>
  <c r="L26" i="8"/>
  <c r="L80" i="8"/>
  <c r="L147" i="8"/>
  <c r="L54" i="8"/>
  <c r="L150" i="8"/>
  <c r="L85" i="8"/>
  <c r="L154" i="8"/>
  <c r="L31" i="8"/>
  <c r="L92" i="8"/>
  <c r="L163" i="8" l="1"/>
  <c r="L192" i="8" s="1"/>
  <c r="J154" i="7"/>
  <c r="K154" i="7"/>
  <c r="F154" i="7"/>
  <c r="L154" i="7" s="1"/>
  <c r="J153" i="7"/>
  <c r="K153" i="7"/>
  <c r="K83" i="7" l="1"/>
  <c r="J83" i="7"/>
  <c r="J31" i="7" l="1"/>
  <c r="K31" i="7"/>
  <c r="J87" i="7" l="1"/>
  <c r="K87" i="7"/>
  <c r="F87" i="7"/>
  <c r="L87" i="7" l="1"/>
  <c r="K149" i="7" l="1"/>
  <c r="J149" i="7"/>
  <c r="K65" i="7" l="1"/>
  <c r="K82" i="7" l="1"/>
  <c r="J82" i="7"/>
  <c r="K151" i="7" l="1"/>
  <c r="J151" i="7"/>
  <c r="K88" i="7" l="1"/>
  <c r="J88" i="7"/>
  <c r="F88" i="7"/>
  <c r="L88" i="7" l="1"/>
  <c r="K32" i="7"/>
  <c r="J32" i="7"/>
  <c r="J150" i="7" l="1"/>
  <c r="K150" i="7"/>
  <c r="F63" i="7" l="1"/>
  <c r="K33" i="7" l="1"/>
  <c r="J33" i="7"/>
  <c r="K152" i="7" l="1"/>
  <c r="J152" i="7"/>
  <c r="F83" i="7" l="1"/>
  <c r="L83" i="7" s="1"/>
  <c r="F153" i="7"/>
  <c r="L153" i="7" s="1"/>
  <c r="F158" i="7"/>
  <c r="L158" i="7" s="1"/>
  <c r="F82" i="7"/>
  <c r="L82" i="7" s="1"/>
  <c r="F33" i="7"/>
  <c r="L33" i="7" s="1"/>
  <c r="F32" i="7"/>
  <c r="L32" i="7" s="1"/>
  <c r="F152" i="7"/>
  <c r="L152" i="7" s="1"/>
  <c r="F151" i="7"/>
  <c r="L151" i="7" s="1"/>
  <c r="F31" i="7"/>
  <c r="L31" i="7" s="1"/>
  <c r="F149" i="7"/>
  <c r="L149" i="7" s="1"/>
  <c r="F150" i="7"/>
  <c r="L150" i="7" s="1"/>
  <c r="F84" i="7"/>
  <c r="J84" i="7"/>
  <c r="K84" i="7"/>
  <c r="L84" i="7" l="1"/>
  <c r="L13" i="19"/>
  <c r="K13" i="19"/>
  <c r="G13" i="19"/>
  <c r="M13" i="19" s="1"/>
  <c r="L12" i="19"/>
  <c r="K12" i="19"/>
  <c r="G12" i="19"/>
  <c r="L11" i="19"/>
  <c r="K11" i="19"/>
  <c r="G11" i="19"/>
  <c r="L10" i="19"/>
  <c r="K10" i="19"/>
  <c r="G10" i="19"/>
  <c r="L9" i="19"/>
  <c r="K9" i="19"/>
  <c r="G9" i="19"/>
  <c r="L8" i="19"/>
  <c r="K8" i="19"/>
  <c r="G8" i="19"/>
  <c r="L7" i="19"/>
  <c r="K7" i="19"/>
  <c r="G7" i="19"/>
  <c r="L6" i="19"/>
  <c r="K6" i="19"/>
  <c r="G6" i="19"/>
  <c r="L5" i="19"/>
  <c r="K5" i="19"/>
  <c r="G5" i="19"/>
  <c r="M12" i="19" l="1"/>
  <c r="M11" i="19"/>
  <c r="M10" i="19"/>
  <c r="M9" i="19"/>
  <c r="M8" i="19"/>
  <c r="M7" i="19"/>
  <c r="M6" i="19"/>
  <c r="M5" i="19"/>
  <c r="J81" i="7" l="1"/>
  <c r="K81" i="7"/>
  <c r="K148" i="7"/>
  <c r="J148" i="7"/>
  <c r="F148" i="7"/>
  <c r="F81" i="7"/>
  <c r="L148" i="7" l="1"/>
  <c r="L81" i="7"/>
  <c r="F56" i="7"/>
  <c r="J56" i="7"/>
  <c r="K56" i="7"/>
  <c r="F34" i="7"/>
  <c r="J34" i="7"/>
  <c r="K34" i="7"/>
  <c r="F89" i="7"/>
  <c r="J89" i="7"/>
  <c r="K89" i="7"/>
  <c r="F90" i="7"/>
  <c r="J90" i="7"/>
  <c r="K90" i="7"/>
  <c r="F91" i="7"/>
  <c r="J91" i="7"/>
  <c r="K91" i="7"/>
  <c r="F35" i="7"/>
  <c r="J35" i="7"/>
  <c r="K35" i="7"/>
  <c r="F36" i="7"/>
  <c r="J36" i="7"/>
  <c r="K36" i="7"/>
  <c r="F92" i="7"/>
  <c r="J92" i="7"/>
  <c r="K92" i="7"/>
  <c r="F7" i="7"/>
  <c r="J7" i="7"/>
  <c r="K7" i="7"/>
  <c r="F8" i="7"/>
  <c r="J8" i="7"/>
  <c r="K8" i="7"/>
  <c r="F57" i="7"/>
  <c r="J57" i="7"/>
  <c r="K57" i="7"/>
  <c r="F93" i="7"/>
  <c r="J93" i="7"/>
  <c r="K93" i="7"/>
  <c r="F94" i="7"/>
  <c r="J94" i="7"/>
  <c r="K94" i="7"/>
  <c r="F37" i="7"/>
  <c r="J37" i="7"/>
  <c r="K37" i="7"/>
  <c r="F58" i="7"/>
  <c r="J58" i="7"/>
  <c r="K58" i="7"/>
  <c r="F9" i="7"/>
  <c r="J9" i="7"/>
  <c r="K9" i="7"/>
  <c r="F95" i="7"/>
  <c r="J95" i="7"/>
  <c r="K95" i="7"/>
  <c r="F54" i="7"/>
  <c r="J54" i="7"/>
  <c r="K54" i="7"/>
  <c r="F96" i="7"/>
  <c r="J96" i="7"/>
  <c r="K96" i="7"/>
  <c r="F97" i="7"/>
  <c r="J97" i="7"/>
  <c r="K97" i="7"/>
  <c r="F98" i="7"/>
  <c r="J98" i="7"/>
  <c r="K98" i="7"/>
  <c r="F99" i="7"/>
  <c r="J99" i="7"/>
  <c r="K99" i="7"/>
  <c r="F38" i="7"/>
  <c r="J38" i="7"/>
  <c r="K38" i="7"/>
  <c r="F10" i="7"/>
  <c r="J10" i="7"/>
  <c r="K10" i="7"/>
  <c r="F100" i="7"/>
  <c r="J100" i="7"/>
  <c r="K100" i="7"/>
  <c r="F101" i="7"/>
  <c r="J101" i="7"/>
  <c r="K101" i="7"/>
  <c r="F102" i="7"/>
  <c r="J102" i="7"/>
  <c r="K102" i="7"/>
  <c r="F59" i="7"/>
  <c r="J59" i="7"/>
  <c r="K59" i="7"/>
  <c r="F60" i="7"/>
  <c r="J60" i="7"/>
  <c r="K60" i="7"/>
  <c r="F11" i="7"/>
  <c r="J11" i="7"/>
  <c r="K11" i="7"/>
  <c r="F39" i="7"/>
  <c r="J39" i="7"/>
  <c r="K39" i="7"/>
  <c r="F103" i="7"/>
  <c r="J103" i="7"/>
  <c r="K103" i="7"/>
  <c r="F104" i="7"/>
  <c r="J104" i="7"/>
  <c r="K104" i="7"/>
  <c r="F12" i="7"/>
  <c r="J12" i="7"/>
  <c r="K12" i="7"/>
  <c r="F105" i="7"/>
  <c r="J105" i="7"/>
  <c r="K105" i="7"/>
  <c r="F40" i="7"/>
  <c r="J40" i="7"/>
  <c r="K40" i="7"/>
  <c r="F13" i="7"/>
  <c r="J13" i="7"/>
  <c r="K13" i="7"/>
  <c r="F14" i="7"/>
  <c r="J14" i="7"/>
  <c r="K14" i="7"/>
  <c r="F15" i="7"/>
  <c r="J15" i="7"/>
  <c r="K15" i="7"/>
  <c r="F61" i="7"/>
  <c r="J61" i="7"/>
  <c r="K61" i="7"/>
  <c r="F106" i="7"/>
  <c r="J106" i="7"/>
  <c r="K106" i="7"/>
  <c r="F159" i="7"/>
  <c r="J159" i="7"/>
  <c r="K159" i="7"/>
  <c r="F16" i="7"/>
  <c r="J16" i="7"/>
  <c r="K16" i="7"/>
  <c r="F62" i="7"/>
  <c r="J62" i="7"/>
  <c r="K62" i="7"/>
  <c r="F107" i="7"/>
  <c r="J107" i="7"/>
  <c r="K107" i="7"/>
  <c r="F108" i="7"/>
  <c r="J108" i="7"/>
  <c r="K108" i="7"/>
  <c r="F109" i="7"/>
  <c r="J109" i="7"/>
  <c r="K109" i="7"/>
  <c r="F41" i="7"/>
  <c r="J41" i="7"/>
  <c r="K41" i="7"/>
  <c r="F110" i="7"/>
  <c r="J110" i="7"/>
  <c r="K110" i="7"/>
  <c r="F111" i="7"/>
  <c r="J111" i="7"/>
  <c r="K111" i="7"/>
  <c r="J63" i="7"/>
  <c r="K63" i="7"/>
  <c r="F160" i="7"/>
  <c r="J160" i="7"/>
  <c r="K160" i="7"/>
  <c r="F17" i="7"/>
  <c r="J17" i="7"/>
  <c r="K17" i="7"/>
  <c r="F112" i="7"/>
  <c r="J112" i="7"/>
  <c r="K112" i="7"/>
  <c r="F42" i="7"/>
  <c r="J42" i="7"/>
  <c r="K42" i="7"/>
  <c r="F113" i="7"/>
  <c r="J113" i="7"/>
  <c r="K113" i="7"/>
  <c r="F64" i="7"/>
  <c r="J64" i="7"/>
  <c r="K64" i="7"/>
  <c r="F114" i="7"/>
  <c r="J114" i="7"/>
  <c r="K114" i="7"/>
  <c r="F18" i="7"/>
  <c r="J18" i="7"/>
  <c r="K18" i="7"/>
  <c r="F43" i="7"/>
  <c r="J43" i="7"/>
  <c r="K43" i="7"/>
  <c r="F115" i="7"/>
  <c r="J115" i="7"/>
  <c r="K115" i="7"/>
  <c r="F19" i="7"/>
  <c r="J19" i="7"/>
  <c r="K19" i="7"/>
  <c r="F20" i="7"/>
  <c r="J20" i="7"/>
  <c r="K20" i="7"/>
  <c r="F116" i="7"/>
  <c r="J116" i="7"/>
  <c r="K116" i="7"/>
  <c r="F117" i="7"/>
  <c r="J117" i="7"/>
  <c r="K117" i="7"/>
  <c r="F118" i="7"/>
  <c r="J118" i="7"/>
  <c r="K118" i="7"/>
  <c r="F119" i="7"/>
  <c r="J119" i="7"/>
  <c r="K119" i="7"/>
  <c r="F120" i="7"/>
  <c r="J120" i="7"/>
  <c r="K120" i="7"/>
  <c r="F121" i="7"/>
  <c r="J121" i="7"/>
  <c r="K121" i="7"/>
  <c r="F122" i="7"/>
  <c r="J122" i="7"/>
  <c r="K122" i="7"/>
  <c r="F123" i="7"/>
  <c r="J123" i="7"/>
  <c r="K123" i="7"/>
  <c r="F55" i="7"/>
  <c r="J55" i="7"/>
  <c r="K55" i="7"/>
  <c r="F124" i="7"/>
  <c r="J124" i="7"/>
  <c r="K124" i="7"/>
  <c r="F125" i="7"/>
  <c r="J125" i="7"/>
  <c r="K125" i="7"/>
  <c r="F126" i="7"/>
  <c r="J126" i="7"/>
  <c r="K126" i="7"/>
  <c r="F127" i="7"/>
  <c r="J127" i="7"/>
  <c r="K127" i="7"/>
  <c r="F128" i="7"/>
  <c r="J128" i="7"/>
  <c r="K128" i="7"/>
  <c r="F129" i="7"/>
  <c r="J129" i="7"/>
  <c r="K129" i="7"/>
  <c r="F44" i="7"/>
  <c r="J44" i="7"/>
  <c r="K44" i="7"/>
  <c r="F65" i="7"/>
  <c r="J65" i="7"/>
  <c r="F130" i="7"/>
  <c r="J130" i="7"/>
  <c r="K130" i="7"/>
  <c r="F131" i="7"/>
  <c r="J131" i="7"/>
  <c r="K131" i="7"/>
  <c r="F132" i="7"/>
  <c r="J132" i="7"/>
  <c r="K132" i="7"/>
  <c r="F45" i="7"/>
  <c r="J45" i="7"/>
  <c r="K45" i="7"/>
  <c r="F133" i="7"/>
  <c r="J133" i="7"/>
  <c r="K133" i="7"/>
  <c r="F66" i="7"/>
  <c r="J66" i="7"/>
  <c r="K66" i="7"/>
  <c r="F67" i="7"/>
  <c r="J67" i="7"/>
  <c r="K67" i="7"/>
  <c r="F46" i="7"/>
  <c r="J46" i="7"/>
  <c r="K46" i="7"/>
  <c r="F47" i="7"/>
  <c r="J47" i="7"/>
  <c r="K47" i="7"/>
  <c r="F134" i="7"/>
  <c r="J134" i="7"/>
  <c r="K134" i="7"/>
  <c r="F135" i="7"/>
  <c r="L135" i="7" s="1"/>
  <c r="J135" i="7"/>
  <c r="K135" i="7"/>
  <c r="F68" i="7"/>
  <c r="J68" i="7"/>
  <c r="K68" i="7"/>
  <c r="F21" i="7"/>
  <c r="J21" i="7"/>
  <c r="K21" i="7"/>
  <c r="F22" i="7"/>
  <c r="J22" i="7"/>
  <c r="K22" i="7"/>
  <c r="F48" i="7"/>
  <c r="J48" i="7"/>
  <c r="K48" i="7"/>
  <c r="F136" i="7"/>
  <c r="J136" i="7"/>
  <c r="K136" i="7"/>
  <c r="F49" i="7"/>
  <c r="J49" i="7"/>
  <c r="K49" i="7"/>
  <c r="J86" i="7"/>
  <c r="K86" i="7"/>
  <c r="L86" i="7" s="1"/>
  <c r="F69" i="7"/>
  <c r="J69" i="7"/>
  <c r="K69" i="7"/>
  <c r="F137" i="7"/>
  <c r="J137" i="7"/>
  <c r="K137" i="7"/>
  <c r="F138" i="7"/>
  <c r="J138" i="7"/>
  <c r="K138" i="7"/>
  <c r="F139" i="7"/>
  <c r="J139" i="7"/>
  <c r="K139" i="7"/>
  <c r="F6" i="7"/>
  <c r="J6" i="7"/>
  <c r="K6" i="7"/>
  <c r="F23" i="7"/>
  <c r="J23" i="7"/>
  <c r="K23" i="7"/>
  <c r="F70" i="7"/>
  <c r="J70" i="7"/>
  <c r="K70" i="7"/>
  <c r="F71" i="7"/>
  <c r="J71" i="7"/>
  <c r="K71" i="7"/>
  <c r="F72" i="7"/>
  <c r="J72" i="7"/>
  <c r="K72" i="7"/>
  <c r="F73" i="7"/>
  <c r="J73" i="7"/>
  <c r="K73" i="7"/>
  <c r="F74" i="7"/>
  <c r="J74" i="7"/>
  <c r="K74" i="7"/>
  <c r="F24" i="7"/>
  <c r="J24" i="7"/>
  <c r="K24" i="7"/>
  <c r="F25" i="7"/>
  <c r="J25" i="7"/>
  <c r="K25" i="7"/>
  <c r="F26" i="7"/>
  <c r="J26" i="7"/>
  <c r="K26" i="7"/>
  <c r="F50" i="7"/>
  <c r="J50" i="7"/>
  <c r="K50" i="7"/>
  <c r="F85" i="7"/>
  <c r="J85" i="7"/>
  <c r="K85" i="7"/>
  <c r="F27" i="7"/>
  <c r="J27" i="7"/>
  <c r="K27" i="7"/>
  <c r="F28" i="7"/>
  <c r="J28" i="7"/>
  <c r="K28" i="7"/>
  <c r="F29" i="7"/>
  <c r="J29" i="7"/>
  <c r="K29" i="7"/>
  <c r="F51" i="7"/>
  <c r="J51" i="7"/>
  <c r="K51" i="7"/>
  <c r="F75" i="7"/>
  <c r="J75" i="7"/>
  <c r="K75" i="7"/>
  <c r="F140" i="7"/>
  <c r="J140" i="7"/>
  <c r="K140" i="7"/>
  <c r="F141" i="7"/>
  <c r="J141" i="7"/>
  <c r="K141" i="7"/>
  <c r="F142" i="7"/>
  <c r="J142" i="7"/>
  <c r="K142" i="7"/>
  <c r="F143" i="7"/>
  <c r="J143" i="7"/>
  <c r="K143" i="7"/>
  <c r="F76" i="7"/>
  <c r="J76" i="7"/>
  <c r="K76" i="7"/>
  <c r="F77" i="7"/>
  <c r="J77" i="7"/>
  <c r="K77" i="7"/>
  <c r="F144" i="7"/>
  <c r="J144" i="7"/>
  <c r="K144" i="7"/>
  <c r="F52" i="7"/>
  <c r="J52" i="7"/>
  <c r="K52" i="7"/>
  <c r="F78" i="7"/>
  <c r="J78" i="7"/>
  <c r="K78" i="7"/>
  <c r="F30" i="7"/>
  <c r="J30" i="7"/>
  <c r="K30" i="7"/>
  <c r="F145" i="7"/>
  <c r="J145" i="7"/>
  <c r="K145" i="7"/>
  <c r="F146" i="7"/>
  <c r="J146" i="7"/>
  <c r="K146" i="7"/>
  <c r="F147" i="7"/>
  <c r="J147" i="7"/>
  <c r="K147" i="7"/>
  <c r="F53" i="7"/>
  <c r="J53" i="7"/>
  <c r="K53" i="7"/>
  <c r="F79" i="7"/>
  <c r="J79" i="7"/>
  <c r="K79" i="7"/>
  <c r="F80" i="7"/>
  <c r="J80" i="7"/>
  <c r="K80" i="7"/>
  <c r="L80" i="7" l="1"/>
  <c r="L146" i="7"/>
  <c r="L52" i="7"/>
  <c r="L143" i="7"/>
  <c r="L75" i="7"/>
  <c r="L27" i="7"/>
  <c r="L26" i="7"/>
  <c r="L73" i="7"/>
  <c r="L23" i="7"/>
  <c r="L137" i="7"/>
  <c r="L49" i="7"/>
  <c r="L21" i="7"/>
  <c r="L66" i="7"/>
  <c r="L131" i="7"/>
  <c r="L129" i="7"/>
  <c r="L125" i="7"/>
  <c r="L122" i="7"/>
  <c r="L43" i="7"/>
  <c r="L113" i="7"/>
  <c r="L160" i="7"/>
  <c r="L41" i="7"/>
  <c r="L62" i="7"/>
  <c r="L61" i="7"/>
  <c r="L12" i="7"/>
  <c r="L39" i="7"/>
  <c r="L59" i="7"/>
  <c r="L10" i="7"/>
  <c r="L98" i="7"/>
  <c r="L54" i="7"/>
  <c r="L58" i="7"/>
  <c r="L57" i="7"/>
  <c r="L36" i="7"/>
  <c r="L89" i="7"/>
  <c r="L147" i="7"/>
  <c r="L140" i="7"/>
  <c r="L70" i="7"/>
  <c r="L123" i="7"/>
  <c r="L119" i="7"/>
  <c r="L64" i="7"/>
  <c r="L17" i="7"/>
  <c r="L110" i="7"/>
  <c r="L106" i="7"/>
  <c r="L60" i="7"/>
  <c r="L96" i="7"/>
  <c r="L9" i="7"/>
  <c r="L93" i="7"/>
  <c r="L92" i="7"/>
  <c r="L90" i="7"/>
  <c r="L78" i="7"/>
  <c r="L50" i="7"/>
  <c r="L138" i="7"/>
  <c r="L22" i="7"/>
  <c r="L132" i="7"/>
  <c r="L44" i="7"/>
  <c r="L126" i="7"/>
  <c r="L115" i="7"/>
  <c r="L71" i="7"/>
  <c r="L56" i="7"/>
  <c r="L51" i="7"/>
  <c r="L130" i="7"/>
  <c r="L16" i="7"/>
  <c r="L38" i="7"/>
  <c r="L34" i="7"/>
  <c r="L53" i="7"/>
  <c r="L30" i="7"/>
  <c r="L79" i="7"/>
  <c r="L145" i="7"/>
  <c r="L77" i="7"/>
  <c r="L144" i="7"/>
  <c r="L76" i="7"/>
  <c r="L142" i="7"/>
  <c r="L141" i="7"/>
  <c r="L29" i="7"/>
  <c r="L28" i="7"/>
  <c r="L85" i="7"/>
  <c r="L25" i="7"/>
  <c r="L24" i="7"/>
  <c r="L74" i="7"/>
  <c r="L72" i="7"/>
  <c r="L6" i="7"/>
  <c r="L139" i="7"/>
  <c r="L69" i="7"/>
  <c r="L136" i="7"/>
  <c r="L48" i="7"/>
  <c r="L68" i="7"/>
  <c r="L134" i="7"/>
  <c r="L47" i="7"/>
  <c r="L46" i="7"/>
  <c r="L67" i="7"/>
  <c r="L133" i="7"/>
  <c r="L45" i="7"/>
  <c r="L65" i="7"/>
  <c r="L128" i="7"/>
  <c r="L127" i="7"/>
  <c r="L124" i="7"/>
  <c r="L55" i="7"/>
  <c r="L121" i="7"/>
  <c r="L120" i="7"/>
  <c r="L118" i="7"/>
  <c r="L117" i="7"/>
  <c r="L116" i="7"/>
  <c r="L20" i="7"/>
  <c r="L19" i="7"/>
  <c r="L18" i="7"/>
  <c r="L114" i="7"/>
  <c r="L42" i="7"/>
  <c r="L112" i="7"/>
  <c r="L63" i="7"/>
  <c r="L111" i="7"/>
  <c r="L109" i="7"/>
  <c r="L108" i="7"/>
  <c r="L107" i="7"/>
  <c r="L159" i="7"/>
  <c r="L15" i="7"/>
  <c r="L14" i="7"/>
  <c r="L13" i="7"/>
  <c r="L40" i="7"/>
  <c r="L105" i="7"/>
  <c r="L104" i="7"/>
  <c r="L103" i="7"/>
  <c r="L11" i="7"/>
  <c r="L102" i="7"/>
  <c r="L101" i="7"/>
  <c r="L100" i="7"/>
  <c r="L99" i="7"/>
  <c r="L97" i="7"/>
  <c r="L95" i="7"/>
  <c r="L37" i="7"/>
  <c r="L94" i="7"/>
  <c r="L8" i="7"/>
  <c r="L7" i="7"/>
  <c r="L35" i="7"/>
  <c r="L91" i="7"/>
  <c r="K184" i="7" l="1"/>
  <c r="F184" i="7"/>
  <c r="L184" i="7" l="1"/>
</calcChain>
</file>

<file path=xl/sharedStrings.xml><?xml version="1.0" encoding="utf-8"?>
<sst xmlns="http://schemas.openxmlformats.org/spreadsheetml/2006/main" count="2724" uniqueCount="300">
  <si>
    <t>NAME</t>
  </si>
  <si>
    <t>TOTAL  LOAN</t>
  </si>
  <si>
    <t>S/N</t>
  </si>
  <si>
    <t>Principal</t>
  </si>
  <si>
    <t>Interest</t>
  </si>
  <si>
    <t>No of instal paid</t>
  </si>
  <si>
    <t>No of instal outst</t>
  </si>
  <si>
    <t>Total Loan Paid</t>
  </si>
  <si>
    <t>Outstanding Balance</t>
  </si>
  <si>
    <t>REMARKS LPC in /Out</t>
  </si>
  <si>
    <t xml:space="preserve">MONTHLY Deduction </t>
  </si>
  <si>
    <t>No of Inst</t>
  </si>
  <si>
    <t>MINISTRY OF AGRICULTURE NATURAL RESOURCES AND RURAL DEVELOPMENT SECT., IBADAN</t>
  </si>
  <si>
    <t>ADEBAYO NAFISAT</t>
  </si>
  <si>
    <t>AZEEZ LAYIDE SADIA</t>
  </si>
  <si>
    <t>OJO PHILIP</t>
  </si>
  <si>
    <t>AKANBI IBIKUNLE MARK</t>
  </si>
  <si>
    <t>FARAYOLA SUNDAY ISHOLA</t>
  </si>
  <si>
    <t>OJO FOLORUNSHO SUNDAY</t>
  </si>
  <si>
    <t>RUFAI TITILAYO</t>
  </si>
  <si>
    <t>AKANO MATTHEW OLUFEMI</t>
  </si>
  <si>
    <t>BOLADALE OYERONKE OJE</t>
  </si>
  <si>
    <t>ADELAKUN RAFIU ADENIYI</t>
  </si>
  <si>
    <t>OGUNRINDE OLAYINKA EYITAYO</t>
  </si>
  <si>
    <t>TIAMIYU ABDULATEEF ALANI</t>
  </si>
  <si>
    <t>OMOTOLA KAYODE SAMUEL</t>
  </si>
  <si>
    <t>ADEBAYO KASALI</t>
  </si>
  <si>
    <t>AKINPADE AYODELE SAMSON</t>
  </si>
  <si>
    <t>IN: NEW</t>
  </si>
  <si>
    <t>ADEBIYI OLUWATOYIN</t>
  </si>
  <si>
    <t>OLADEJI OYEBOWALE</t>
  </si>
  <si>
    <t>OLADEJI GRACE ADERONKE</t>
  </si>
  <si>
    <t>JOSEPH TOYIN AKINTUNDE</t>
  </si>
  <si>
    <t>ADEGOKE PETER OLUWOLE</t>
  </si>
  <si>
    <t>ODEDIRAN OLURANTI PHILIP</t>
  </si>
  <si>
    <t>AMUDA TAJUDEEN ADEMOLA</t>
  </si>
  <si>
    <t>ADESINA FADEKE GBEMISOLA</t>
  </si>
  <si>
    <t>OJO ROTIMI</t>
  </si>
  <si>
    <t>TOTAL</t>
  </si>
  <si>
    <t>MOTOR VEHICLE LOAN PAYMENT FOR THE MONTH OF JANUARY, 2018</t>
  </si>
  <si>
    <t>OLOWOYEYE MODUPE TAIWO</t>
  </si>
  <si>
    <t>OPALEYE JOSEPH KAYODE</t>
  </si>
  <si>
    <t>LPC IN</t>
  </si>
  <si>
    <t>MOTOR VEHICLE LOAN PAYMENT FOR THE MONTH OF FEBRUARY, 2018</t>
  </si>
  <si>
    <t>AKIBU SEMIU ABIMBOLA</t>
  </si>
  <si>
    <t>ADEBIMPE ABBAS OMOTAYO</t>
  </si>
  <si>
    <t>OYEDIRAN ADEOLA OLUBISI</t>
  </si>
  <si>
    <t>AJISAFE ALIRAT ADEPEJU</t>
  </si>
  <si>
    <t>ADESINA MONSURU BABATUNDE</t>
  </si>
  <si>
    <t>AKINDELE BOSEDE</t>
  </si>
  <si>
    <t>OGUNRINDE ELIZABETH OLURONKE</t>
  </si>
  <si>
    <t>OLADEJO RASHIDAT BIMPE</t>
  </si>
  <si>
    <t>OYAWALE FOLASHADE</t>
  </si>
  <si>
    <t>OYELOWO ADEOTI OLUWAKEMI</t>
  </si>
  <si>
    <t>STOP</t>
  </si>
  <si>
    <t>MOTOR VEHICLE LOAN PAYMENT FOR THE MONTH OF MARCH, 2018</t>
  </si>
  <si>
    <t>MOTOR VEHICLE LOAN PAYMENT FOR THE MONTH OF APRIL, 2018</t>
  </si>
  <si>
    <t>OLABODE ADEBAYO OLABISI</t>
  </si>
  <si>
    <t>AGBOLUAJE KAYODE</t>
  </si>
  <si>
    <t>ABDULAI BABATUNDE USMAN</t>
  </si>
  <si>
    <t>FADARE KEHINDE GABRIEL</t>
  </si>
  <si>
    <t>BADMUS GBOLAGADE BASIRU</t>
  </si>
  <si>
    <t>AZEEZ OYINLOLA OLANIKE</t>
  </si>
  <si>
    <t>SIYANBOLA FELICIA ADENIKE</t>
  </si>
  <si>
    <t>FAPOHUNDA SHINA OLUFEMI</t>
  </si>
  <si>
    <t>OYEKALE ISMAHEEL</t>
  </si>
  <si>
    <t>OYETAYO SAMUEL ADEWUYI</t>
  </si>
  <si>
    <t>AKINBOBOLA ATINUKE ABIMBOLA</t>
  </si>
  <si>
    <t>KOLAPO JOHN OLUKUNLE</t>
  </si>
  <si>
    <t>AYOOLA BOSEDE ELIZABETH</t>
  </si>
  <si>
    <t>OLAWUMI DAUDA IDOWU</t>
  </si>
  <si>
    <t>MOTOR VEHICLE LOAN PAYMENT FOR THE MONTH OF MAY, 2018</t>
  </si>
  <si>
    <t>MOTOR VEHICLE LOAN PAYMENT FOR THE MONTH OF JUNE, 2018</t>
  </si>
  <si>
    <t>ADEBAYO AHMED ADEKUNLE</t>
  </si>
  <si>
    <t>ABORISADE RACHEAL AINA</t>
  </si>
  <si>
    <t>ADEBIMPE RASHEED GBENGA</t>
  </si>
  <si>
    <t>ADEBO OLUSEUN ADEBUSOLA</t>
  </si>
  <si>
    <t>ADEDEJI ADENIRAN KAZEEM</t>
  </si>
  <si>
    <t>ADEGBOYE BABATUNDE</t>
  </si>
  <si>
    <t>ADELEKE ABISADE</t>
  </si>
  <si>
    <t>ADELEKE OLUSOLA CLEMENT</t>
  </si>
  <si>
    <t>ADELEKE SAHEED</t>
  </si>
  <si>
    <t>ADEMOLA ABIGEAL FOLASADE</t>
  </si>
  <si>
    <t>ADEOYE SAMSON</t>
  </si>
  <si>
    <t>ADEPOJU SUNDAY ADEGBENRO</t>
  </si>
  <si>
    <t>ADEWUYI OLAIDE ABOSEDE</t>
  </si>
  <si>
    <t>ADEYEMO IDRIS</t>
  </si>
  <si>
    <t>ADIGUN TIRIMISIYU</t>
  </si>
  <si>
    <t>AFOLABI ATOYEBI</t>
  </si>
  <si>
    <t>AFOLABI SOLOMON</t>
  </si>
  <si>
    <t>AJAO ISIAKA</t>
  </si>
  <si>
    <t>AKANBI NAJEEM</t>
  </si>
  <si>
    <t>AKANO JANET OLAYEMI</t>
  </si>
  <si>
    <t>AKINBOBOLA ABIMBOLA ATINUKE</t>
  </si>
  <si>
    <t>AKINDE ABIMBOLA SAKIRAT</t>
  </si>
  <si>
    <t>ANIFATA ISIAKA</t>
  </si>
  <si>
    <t>AREMU BOLAJI JOHNSON</t>
  </si>
  <si>
    <t>AYANLOWO MOSES</t>
  </si>
  <si>
    <t>AYODELE JEMILAT PELUMI</t>
  </si>
  <si>
    <t>AYOOLA MUFUTAU</t>
  </si>
  <si>
    <t>AYOOLA OJO</t>
  </si>
  <si>
    <t>BABATUNDE FUNMILOLA</t>
  </si>
  <si>
    <t>BAMIDELE ADISA GBENGA</t>
  </si>
  <si>
    <t>BOLARINWA A.A.</t>
  </si>
  <si>
    <t>BUSARI LANRE</t>
  </si>
  <si>
    <t>ADEDEJI VICTORIA BUKOLA</t>
  </si>
  <si>
    <t>LAWAL OLABODE ABIODUN</t>
  </si>
  <si>
    <t>EGUNJOBI TAIWO SAMUEL</t>
  </si>
  <si>
    <t>EZEKIEL OLUSEGUN ABIODUN</t>
  </si>
  <si>
    <t>FAJOBI KASALI</t>
  </si>
  <si>
    <t>FANIYI OLUSEGUN ADELEKE</t>
  </si>
  <si>
    <t>FASANYA OLUSEGUN SUMBO</t>
  </si>
  <si>
    <t>GABRIEL OLANIRAN</t>
  </si>
  <si>
    <t>IDOWU ADEOLU</t>
  </si>
  <si>
    <t>IDOWU OLUWOLE BABATUNDE</t>
  </si>
  <si>
    <t>ILORI FUNMILOLA IYABO</t>
  </si>
  <si>
    <t>ISMAILA ADIGUN</t>
  </si>
  <si>
    <t>LAWAL DAMILARE</t>
  </si>
  <si>
    <t>MUSTAPHA OLALEKAN JIMOH</t>
  </si>
  <si>
    <t>OGUNDEPO ABIDEEN</t>
  </si>
  <si>
    <t>OJELEYE IDOWU MOJEED</t>
  </si>
  <si>
    <t>OJUTALAYO MARY</t>
  </si>
  <si>
    <t>OKUNADE ADEMOLA EBENEZER</t>
  </si>
  <si>
    <t>OKUNLOLA GANIYU OLAYIWOLA</t>
  </si>
  <si>
    <t xml:space="preserve">OLADEJI OLUSEYE </t>
  </si>
  <si>
    <t>OLADIPO AKINOLA</t>
  </si>
  <si>
    <t>OLANIYAN TAIWO</t>
  </si>
  <si>
    <t>OLATEJU OLAITAN</t>
  </si>
  <si>
    <t>OLATUNBOSUN O.V.</t>
  </si>
  <si>
    <t>OYASOGO WEMIMO</t>
  </si>
  <si>
    <t>OYETUNDE MOSES</t>
  </si>
  <si>
    <t>OYETUNJI ADEOYE OLUKUNLE</t>
  </si>
  <si>
    <t>POPOOLA OYINKANSOLA IYABO</t>
  </si>
  <si>
    <t>RAMONI SARAFADEEN</t>
  </si>
  <si>
    <t>RASHEED RUKAYAT</t>
  </si>
  <si>
    <t>SAMUEL OYEYEMISI ABIGEAL</t>
  </si>
  <si>
    <t>SHITTU MARGRET OLUBISI</t>
  </si>
  <si>
    <t>SHITTU TESLIM</t>
  </si>
  <si>
    <t>SUNDAY AKANMU</t>
  </si>
  <si>
    <t>TOM EMMANUEL JONES</t>
  </si>
  <si>
    <t>YUSUF MUIDEEN</t>
  </si>
  <si>
    <t>OLADEJO BABATUNDE</t>
  </si>
  <si>
    <t>ADEYEMI FATAI</t>
  </si>
  <si>
    <t>WAIDI ADEREMI BELLO</t>
  </si>
  <si>
    <t>MUSTAPHA LAMIDI ADEBAYO</t>
  </si>
  <si>
    <t>OLADEJO BILIKIS ADUKE</t>
  </si>
  <si>
    <t>ADEPOJU MOYINOLUWA</t>
  </si>
  <si>
    <t>RABIU JIMOH ADEDOKUN</t>
  </si>
  <si>
    <t>SANUSI ABODUNRIN ADESOLA</t>
  </si>
  <si>
    <t>ODEWUNMI DAVID OLUFEMI</t>
  </si>
  <si>
    <t>ABANIKANDA TAOFEEK</t>
  </si>
  <si>
    <t>AKINOLA BABAJIDE</t>
  </si>
  <si>
    <t>SANGOJIMI OLUYEMI</t>
  </si>
  <si>
    <t>ADEJOKUN SIMIAT MOROUNMUBO</t>
  </si>
  <si>
    <t>LADAPO ABIMBOLA ABIODUN</t>
  </si>
  <si>
    <t>ODEDELE SIMEON YINKA</t>
  </si>
  <si>
    <t>ABIODUN TEJUMOLA ANIKE</t>
  </si>
  <si>
    <t>ADEAGBO MATTHEW ALADE</t>
  </si>
  <si>
    <t>ADEGBILE ADEWALE TAOHEED</t>
  </si>
  <si>
    <t>ADENIRAN MONSURAT ADEBOMI</t>
  </si>
  <si>
    <t>ADISA EMMANUEL ADEMOLA</t>
  </si>
  <si>
    <t>AFOLABI TAOFEEK GBOYEGA</t>
  </si>
  <si>
    <t>AJIBADE KUBURAT</t>
  </si>
  <si>
    <t>AKINADE WAHABI OLADOYE</t>
  </si>
  <si>
    <t>AKINFENWA GBENGA AKINPELU</t>
  </si>
  <si>
    <t>AKINTAYO OLUBANKE ABIMBOLA</t>
  </si>
  <si>
    <t>AKINTOBI JOHNSON BOLUWAJI</t>
  </si>
  <si>
    <t xml:space="preserve">AKINWALE WASIU </t>
  </si>
  <si>
    <t>ASANI LUKUMAN AKANBI</t>
  </si>
  <si>
    <t>BABATUNDE ADEBIYI</t>
  </si>
  <si>
    <t>FABUNMI OLUMUYIWA JOHN</t>
  </si>
  <si>
    <t>FEHINTOLA SAMSON OLAWALE</t>
  </si>
  <si>
    <t>GBADAMOSI AKINTUNDE SAMSON</t>
  </si>
  <si>
    <t>GBADAMOSI JUMOKE ELIZABETH</t>
  </si>
  <si>
    <t>LAWAL ABDURRAZZAQ OLAKUNLE</t>
  </si>
  <si>
    <t>LAWAL OLUWAKEMI VICTORIA</t>
  </si>
  <si>
    <t>OGUNDELE OLUSEGUN</t>
  </si>
  <si>
    <t>MAKINDE SEGUN GBOLAGBADE</t>
  </si>
  <si>
    <t>ODEDELE OLUWOLE SOLOMON</t>
  </si>
  <si>
    <t>OGUNDIRAN OLUSOLA EMMANUEL</t>
  </si>
  <si>
    <t>OJO FELICIA OLUWAYEMISI</t>
  </si>
  <si>
    <t>OLABODE KEHINDE BASHIRU</t>
  </si>
  <si>
    <t>OLADEJI SUNDAY ADEGOKE</t>
  </si>
  <si>
    <t>OLOPADE NATHANIEL OLUWOLE</t>
  </si>
  <si>
    <t>OYADOKUN JOHNSON AKINNIYI</t>
  </si>
  <si>
    <t>OYERINDE SERIFAT BOLATITO</t>
  </si>
  <si>
    <t>SALAMI LASISI</t>
  </si>
  <si>
    <t>SALAU JELILI OLANIYI</t>
  </si>
  <si>
    <t>WINJOBI FOLORUNSO</t>
  </si>
  <si>
    <t>ABIMBOLA ADERONKE OLUWASEUN.</t>
  </si>
  <si>
    <t>ADEGBOLA HAMED AJIBOLA</t>
  </si>
  <si>
    <t>ADEKOLA FRANCIS OLUWOLE</t>
  </si>
  <si>
    <t>ADEKUNLE ROLAND AKINWALE</t>
  </si>
  <si>
    <t>AKINTAYO JOSEPH OLUTUNJI</t>
  </si>
  <si>
    <t>FOLORUNSO CECILIA OLUSAYO</t>
  </si>
  <si>
    <t>ADEGUNWA PETER ADEGBITE</t>
  </si>
  <si>
    <t>OGUNBOWALE MONSURAT ABIOLA</t>
  </si>
  <si>
    <t>OKUNOLA AYODEJI ADEMOLA</t>
  </si>
  <si>
    <t xml:space="preserve">OLADAPO OLASUNMBO OLUGBEMIGA </t>
  </si>
  <si>
    <t>OSUOLALE KAYODE AJIBADE</t>
  </si>
  <si>
    <t>OLAYIWOLA AKEEM OLUWOLE</t>
  </si>
  <si>
    <t>RAHEEM MURITALA AJAO</t>
  </si>
  <si>
    <t>RAHEEM RAFIU AYANBUKOLA</t>
  </si>
  <si>
    <t>RAFIU KAZEEM BOLAJI</t>
  </si>
  <si>
    <t>SALAMI AKEEM OLUSESAN</t>
  </si>
  <si>
    <t>TAIWO TITILOLA OLUFISAYO</t>
  </si>
  <si>
    <t>BALOGUN KEHINDE KAZEEM</t>
  </si>
  <si>
    <t>SULAINMAN NURUDEEN ABIOLA</t>
  </si>
  <si>
    <t>OLALEYE KEHINDE OLUSOLA</t>
  </si>
  <si>
    <t>AKINWALE DASOLA MARY</t>
  </si>
  <si>
    <t>OKUNLADE FOLASADE IYABO</t>
  </si>
  <si>
    <t>OLAYIWOLA DAUDA ADEMOLA</t>
  </si>
  <si>
    <t>ANIMASAHUN MOJIRAYO ARIKE</t>
  </si>
  <si>
    <t>AKINTAYO JOSHUA KOREDE</t>
  </si>
  <si>
    <t xml:space="preserve">OGUNMOLA KAFAYAT ABISOLA </t>
  </si>
  <si>
    <t>AWOYEMI WAHEED ISHOLA</t>
  </si>
  <si>
    <t>OLADELE SESAN EMMANUEL</t>
  </si>
  <si>
    <t>COCOA DEVELOPMENT UNIT</t>
  </si>
  <si>
    <t>ABOUT TO RETIRE</t>
  </si>
  <si>
    <t>ADEPEGBA  ADEGBEMIGA WASIU</t>
  </si>
  <si>
    <t>MUSA RAUFU SALAMI</t>
  </si>
  <si>
    <t>UPDATE</t>
  </si>
  <si>
    <t>OYSAISU</t>
  </si>
  <si>
    <t>RAJI WASIUN OLAJIDE</t>
  </si>
  <si>
    <t>AKINLADE ADEMOLA DAUDA</t>
  </si>
  <si>
    <t>GANIYU SAKIRU TUNDE</t>
  </si>
  <si>
    <t>LPC IN AUG 2017</t>
  </si>
  <si>
    <t>NOTES</t>
  </si>
  <si>
    <t>CDU</t>
  </si>
  <si>
    <t xml:space="preserve">BELLO WAIDI ADEREMI </t>
  </si>
  <si>
    <t xml:space="preserve">AKANMU SUNDAY </t>
  </si>
  <si>
    <t>ABODUNRIN SANUSI  ADESOLA</t>
  </si>
  <si>
    <t xml:space="preserve">OJE BOLADALE OYERONKE </t>
  </si>
  <si>
    <t xml:space="preserve">OLANIRAN GABRIEL OLADOKUN </t>
  </si>
  <si>
    <t>RETIRED</t>
  </si>
  <si>
    <t>LPC OUT</t>
  </si>
  <si>
    <t xml:space="preserve">ADIGUN ISMAILA </t>
  </si>
  <si>
    <t>OYEDIRANADEOLAOLUBISI</t>
  </si>
  <si>
    <t>ADEBIMPEABBASOMOTAYO</t>
  </si>
  <si>
    <t>AJISAFEALIRATADEPEJU</t>
  </si>
  <si>
    <t>AKIBUSEMIUABIMBOLA</t>
  </si>
  <si>
    <t>ADESINAMONSURUBABATUNDE</t>
  </si>
  <si>
    <t>AKINDELEBOSEDE</t>
  </si>
  <si>
    <t>OGUNRINDEELIZABETHOLURONKE</t>
  </si>
  <si>
    <t>OYAWALEFOLASHADE</t>
  </si>
  <si>
    <t>OYELOWOADEOTIOLUWAKEMI</t>
  </si>
  <si>
    <t>FALANASUNDAYOLUWABUSAYO</t>
  </si>
  <si>
    <t>OLADEJORASHIDATBIMPE</t>
  </si>
  <si>
    <t>FINISHED</t>
  </si>
  <si>
    <t xml:space="preserve">ODEDELE SOLOMON OLUWOLE </t>
  </si>
  <si>
    <t>FALANA SUNDAY OLUWABUSAYO</t>
  </si>
  <si>
    <t>SUSPENSION</t>
  </si>
  <si>
    <t>MOTOR VEHICLE LOAN PAYMENT FOR THE MONTH OF JULY, 2018</t>
  </si>
  <si>
    <t>IBITOYE MOFOLUWAKE MORIYIKE</t>
  </si>
  <si>
    <t>OLAOYE MATHEW OLAKUNLE</t>
  </si>
  <si>
    <t>IN:NEW</t>
  </si>
  <si>
    <t>EMMANUEL OLURANTI</t>
  </si>
  <si>
    <t xml:space="preserve">ADEGOKE-KEHINDE COMFORT </t>
  </si>
  <si>
    <t>AKINTOLA KAYODE ISAIAH</t>
  </si>
  <si>
    <t>MOTOR VEHICLE LOAN PAYMENT FOR THE MONTH OF AUGUST, 2018</t>
  </si>
  <si>
    <t>MURELE TOYIN AFOLAKE</t>
  </si>
  <si>
    <t>MOTOR VEHICLE LOAN PAYMENT FOR THE MONTH OF SEPTEMBER, 2018</t>
  </si>
  <si>
    <t>IGE OLUTUNDE JOSHUA</t>
  </si>
  <si>
    <t>OMOTOSHO AKINWOLE OLUGBADE</t>
  </si>
  <si>
    <t>HAMMED FATIMO DASOLA</t>
  </si>
  <si>
    <t>OLADEJO BASHIRAT ADEOLA</t>
  </si>
  <si>
    <t>IN</t>
  </si>
  <si>
    <t>LPC IN: AUG &amp; SEPT</t>
  </si>
  <si>
    <t>MOTOR VEHICLE LOAN PAYMENT FOR THE MONTH OF OCTOBER, 2018</t>
  </si>
  <si>
    <t xml:space="preserve"> OLADAPO OLASUNMBO OLUGBEMIGA </t>
  </si>
  <si>
    <t>ADENIRAN LIADI MOBOLAJI</t>
  </si>
  <si>
    <t>OGUNLEYE EZEKIEL ADEPOJU</t>
  </si>
  <si>
    <t>ADEYEMO SUNDAY ADEJARE</t>
  </si>
  <si>
    <t>IN:NEEW</t>
  </si>
  <si>
    <t>MOTOR VEHICLE LOAN PAYMENT FOR THE MONTH OF NOVEMBER, 2018</t>
  </si>
  <si>
    <t>AKINYINKA AKINYEMI TAIWO</t>
  </si>
  <si>
    <t>OYEKANMI GRACE OLURONKE</t>
  </si>
  <si>
    <t>AKANDE OLUFUNKE FEYISAYO</t>
  </si>
  <si>
    <t>ADEODU OLURONKE DINAH</t>
  </si>
  <si>
    <t>GRAND TOTAL</t>
  </si>
  <si>
    <t>ADDENDUM STAFF</t>
  </si>
  <si>
    <t>OGUNDIPE JUSTINA OLUKEMI</t>
  </si>
  <si>
    <t>LPC IN FROM BCOS</t>
  </si>
  <si>
    <t>FOLORUNSHO CECILIA OLUSAYO</t>
  </si>
  <si>
    <t>SANNI MORUF ISAH</t>
  </si>
  <si>
    <t>AGBAJE IYABO MORILI</t>
  </si>
  <si>
    <t>ADEYEMI BUKOLA</t>
  </si>
  <si>
    <t>TIAMIYU OLAYEMI MUTIU</t>
  </si>
  <si>
    <t>OKUNADE ADEYEMI GABRIEAL</t>
  </si>
  <si>
    <t>OLOTU OLUBIMPE ODUNOLA</t>
  </si>
  <si>
    <t>ADEOYE ASIMIYU</t>
  </si>
  <si>
    <t>ADELEKE KAMALDEEN ABIODUN</t>
  </si>
  <si>
    <t>OLAYODE ELIZABETH ATINUKE</t>
  </si>
  <si>
    <t>OLAYIWOLA JIMOH KADRI</t>
  </si>
  <si>
    <t>SUNMONU FOLORUNSO SULAIMON</t>
  </si>
  <si>
    <t>OJO AYOOLA</t>
  </si>
  <si>
    <t>SUB-TOTAL</t>
  </si>
  <si>
    <t xml:space="preserve"> TOTAL</t>
  </si>
  <si>
    <t>MOTOR VEHICLE LOAN PAYMENT FOR THE MONTH OF DECEMBER, 2018</t>
  </si>
  <si>
    <t>ISSUED OFFICER NOW CLEARED : TOTAL CAR LOAN PAID: N84,997.50(N3390.99*25MONTH)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</si>
</sst>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3" formatCode="_-* #,##0.00_-;\-* #,##0.00_-;_-* &quot;-&quot;??_-;_-@_-"/>
    <numFmt numFmtId="164" formatCode="_(* #,##0.00_);_(* \(#,##0.00\);_(* &quot;-&quot;??_);_(@_)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3"/>
      <name val="Calibri"/>
      <family val="2"/>
      <scheme val="minor"/>
    </font>
    <font>
      <sz val="13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6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/>
    <xf numFmtId="0" fontId="2" fillId="0" borderId="1" xfId="0" applyFont="1" applyBorder="1"/>
    <xf numFmtId="0" fontId="0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wrapText="1"/>
    </xf>
    <xf numFmtId="164" fontId="6" fillId="0" borderId="1" xfId="1" applyFont="1" applyBorder="1" applyAlignment="1">
      <alignment wrapText="1"/>
    </xf>
    <xf numFmtId="164" fontId="4" fillId="0" borderId="1" xfId="1" applyFont="1" applyBorder="1"/>
    <xf numFmtId="4" fontId="4" fillId="0" borderId="1" xfId="0" applyNumberFormat="1" applyFont="1" applyBorder="1"/>
    <xf numFmtId="0" fontId="4" fillId="0" borderId="1" xfId="0" applyFont="1" applyBorder="1" applyAlignment="1">
      <alignment horizontal="center"/>
    </xf>
    <xf numFmtId="0" fontId="4" fillId="0" borderId="1" xfId="1" quotePrefix="1" applyNumberFormat="1" applyFont="1" applyBorder="1" applyAlignment="1">
      <alignment horizontal="right"/>
    </xf>
    <xf numFmtId="164" fontId="4" fillId="0" borderId="1" xfId="0" applyNumberFormat="1" applyFont="1" applyBorder="1"/>
    <xf numFmtId="164" fontId="6" fillId="0" borderId="1" xfId="0" applyNumberFormat="1" applyFont="1" applyBorder="1"/>
    <xf numFmtId="0" fontId="0" fillId="0" borderId="0" xfId="0" applyAlignment="1">
      <alignment horizont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7" fillId="0" borderId="0" xfId="0" applyFont="1"/>
    <xf numFmtId="0" fontId="6" fillId="0" borderId="0" xfId="0" applyFont="1"/>
    <xf numFmtId="0" fontId="11" fillId="0" borderId="0" xfId="0" applyFont="1"/>
    <xf numFmtId="0" fontId="6" fillId="0" borderId="3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2" xfId="0" applyFont="1" applyBorder="1"/>
    <xf numFmtId="0" fontId="6" fillId="0" borderId="2" xfId="0" applyFont="1" applyBorder="1" applyAlignment="1">
      <alignment wrapText="1"/>
    </xf>
    <xf numFmtId="164" fontId="6" fillId="0" borderId="2" xfId="1" applyFont="1" applyBorder="1" applyAlignment="1">
      <alignment wrapText="1"/>
    </xf>
    <xf numFmtId="0" fontId="10" fillId="0" borderId="1" xfId="0" applyFont="1" applyBorder="1" applyAlignment="1">
      <alignment horizontal="left"/>
    </xf>
    <xf numFmtId="0" fontId="9" fillId="0" borderId="1" xfId="0" applyFont="1" applyFill="1" applyBorder="1" applyAlignment="1">
      <alignment horizontal="left"/>
    </xf>
    <xf numFmtId="0" fontId="10" fillId="0" borderId="1" xfId="0" applyFont="1" applyBorder="1"/>
    <xf numFmtId="164" fontId="10" fillId="0" borderId="1" xfId="1" applyFont="1" applyBorder="1"/>
    <xf numFmtId="4" fontId="10" fillId="0" borderId="1" xfId="0" applyNumberFormat="1" applyFont="1" applyBorder="1"/>
    <xf numFmtId="0" fontId="10" fillId="0" borderId="1" xfId="0" applyFont="1" applyBorder="1" applyAlignment="1">
      <alignment horizontal="center"/>
    </xf>
    <xf numFmtId="0" fontId="10" fillId="0" borderId="1" xfId="1" quotePrefix="1" applyNumberFormat="1" applyFont="1" applyBorder="1" applyAlignment="1">
      <alignment horizontal="right"/>
    </xf>
    <xf numFmtId="164" fontId="10" fillId="0" borderId="1" xfId="0" applyNumberFormat="1" applyFont="1" applyBorder="1"/>
    <xf numFmtId="0" fontId="10" fillId="0" borderId="0" xfId="0" applyFont="1"/>
    <xf numFmtId="0" fontId="12" fillId="0" borderId="0" xfId="0" applyFont="1"/>
    <xf numFmtId="0" fontId="3" fillId="0" borderId="1" xfId="0" applyFont="1" applyBorder="1"/>
    <xf numFmtId="0" fontId="13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0" fontId="12" fillId="0" borderId="1" xfId="0" applyFont="1" applyBorder="1"/>
    <xf numFmtId="164" fontId="12" fillId="0" borderId="1" xfId="1" applyFont="1" applyBorder="1"/>
    <xf numFmtId="4" fontId="12" fillId="0" borderId="1" xfId="0" applyNumberFormat="1" applyFont="1" applyBorder="1"/>
    <xf numFmtId="164" fontId="12" fillId="0" borderId="1" xfId="0" applyNumberFormat="1" applyFont="1" applyBorder="1"/>
    <xf numFmtId="0" fontId="12" fillId="0" borderId="1" xfId="0" applyFont="1" applyFill="1" applyBorder="1"/>
    <xf numFmtId="0" fontId="12" fillId="0" borderId="1" xfId="1" quotePrefix="1" applyNumberFormat="1" applyFont="1" applyBorder="1" applyAlignment="1">
      <alignment horizontal="right"/>
    </xf>
    <xf numFmtId="0" fontId="14" fillId="0" borderId="1" xfId="0" applyFont="1" applyBorder="1" applyAlignment="1">
      <alignment horizontal="left"/>
    </xf>
    <xf numFmtId="0" fontId="15" fillId="0" borderId="1" xfId="0" applyFont="1" applyBorder="1"/>
    <xf numFmtId="0" fontId="10" fillId="0" borderId="1" xfId="0" applyFont="1" applyFill="1" applyBorder="1"/>
    <xf numFmtId="0" fontId="16" fillId="0" borderId="1" xfId="0" applyFont="1" applyBorder="1" applyAlignment="1">
      <alignment horizontal="left"/>
    </xf>
    <xf numFmtId="0" fontId="10" fillId="0" borderId="1" xfId="0" quotePrefix="1" applyFont="1" applyBorder="1" applyAlignment="1">
      <alignment horizontal="right"/>
    </xf>
    <xf numFmtId="0" fontId="9" fillId="0" borderId="1" xfId="0" applyFont="1" applyBorder="1"/>
    <xf numFmtId="43" fontId="0" fillId="0" borderId="0" xfId="0" applyNumberFormat="1"/>
    <xf numFmtId="164" fontId="6" fillId="0" borderId="0" xfId="1" applyFont="1"/>
    <xf numFmtId="0" fontId="12" fillId="0" borderId="1" xfId="0" applyFont="1" applyBorder="1" applyAlignment="1">
      <alignment horizontal="left"/>
    </xf>
    <xf numFmtId="0" fontId="2" fillId="0" borderId="0" xfId="0" applyFont="1"/>
    <xf numFmtId="0" fontId="10" fillId="0" borderId="4" xfId="0" applyFont="1" applyBorder="1" applyAlignment="1">
      <alignment horizontal="center"/>
    </xf>
    <xf numFmtId="4" fontId="10" fillId="0" borderId="4" xfId="0" applyNumberFormat="1" applyFont="1" applyBorder="1"/>
    <xf numFmtId="164" fontId="10" fillId="0" borderId="4" xfId="1" applyFont="1" applyBorder="1"/>
    <xf numFmtId="0" fontId="10" fillId="0" borderId="4" xfId="0" applyFont="1" applyFill="1" applyBorder="1"/>
    <xf numFmtId="0" fontId="10" fillId="0" borderId="4" xfId="1" quotePrefix="1" applyNumberFormat="1" applyFont="1" applyBorder="1" applyAlignment="1">
      <alignment horizontal="right"/>
    </xf>
    <xf numFmtId="164" fontId="10" fillId="0" borderId="4" xfId="0" applyNumberFormat="1" applyFont="1" applyBorder="1"/>
    <xf numFmtId="0" fontId="10" fillId="0" borderId="4" xfId="0" applyFont="1" applyBorder="1"/>
    <xf numFmtId="0" fontId="4" fillId="0" borderId="5" xfId="0" applyFont="1" applyBorder="1"/>
    <xf numFmtId="0" fontId="4" fillId="0" borderId="1" xfId="0" applyFont="1" applyBorder="1" applyAlignment="1">
      <alignment horizontal="left"/>
    </xf>
    <xf numFmtId="164" fontId="8" fillId="0" borderId="0" xfId="1" applyFont="1"/>
    <xf numFmtId="43" fontId="8" fillId="0" borderId="0" xfId="0" applyNumberFormat="1" applyFont="1"/>
    <xf numFmtId="0" fontId="9" fillId="0" borderId="1" xfId="0" applyFont="1" applyBorder="1" applyAlignment="1">
      <alignment horizontal="left"/>
    </xf>
    <xf numFmtId="0" fontId="9" fillId="0" borderId="0" xfId="0" applyFont="1"/>
    <xf numFmtId="0" fontId="9" fillId="0" borderId="1" xfId="0" applyFont="1" applyBorder="1" applyAlignment="1">
      <alignment horizontal="center"/>
    </xf>
    <xf numFmtId="4" fontId="9" fillId="0" borderId="1" xfId="0" applyNumberFormat="1" applyFont="1" applyBorder="1"/>
    <xf numFmtId="0" fontId="9" fillId="0" borderId="1" xfId="0" applyFont="1" applyFill="1" applyBorder="1"/>
    <xf numFmtId="0" fontId="9" fillId="0" borderId="1" xfId="1" quotePrefix="1" applyNumberFormat="1" applyFont="1" applyBorder="1" applyAlignment="1">
      <alignment horizontal="right"/>
    </xf>
    <xf numFmtId="0" fontId="17" fillId="0" borderId="0" xfId="0" applyFont="1"/>
    <xf numFmtId="164" fontId="9" fillId="0" borderId="1" xfId="1" applyFont="1" applyBorder="1"/>
    <xf numFmtId="0" fontId="12" fillId="0" borderId="0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164" fontId="6" fillId="0" borderId="1" xfId="1" applyFont="1" applyBorder="1"/>
    <xf numFmtId="0" fontId="15" fillId="0" borderId="0" xfId="0" applyFont="1"/>
    <xf numFmtId="0" fontId="10" fillId="0" borderId="1" xfId="0" applyFont="1" applyFill="1" applyBorder="1" applyAlignment="1">
      <alignment horizontal="center"/>
    </xf>
    <xf numFmtId="0" fontId="10" fillId="0" borderId="1" xfId="0" quotePrefix="1" applyFont="1" applyBorder="1" applyAlignment="1">
      <alignment horizontal="center"/>
    </xf>
    <xf numFmtId="43" fontId="6" fillId="0" borderId="1" xfId="0" applyNumberFormat="1" applyFont="1" applyBorder="1"/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15" fillId="0" borderId="1" xfId="0" applyFont="1" applyBorder="1" applyAlignment="1">
      <alignment horizontal="center"/>
    </xf>
    <xf numFmtId="164" fontId="4" fillId="2" borderId="1" xfId="1" applyFont="1" applyFill="1" applyBorder="1" applyAlignment="1">
      <alignment vertical="top"/>
    </xf>
    <xf numFmtId="0" fontId="19" fillId="0" borderId="1" xfId="0" applyFont="1" applyBorder="1" applyAlignment="1">
      <alignment horizontal="center"/>
    </xf>
    <xf numFmtId="0" fontId="18" fillId="0" borderId="1" xfId="0" applyFont="1" applyBorder="1" applyAlignment="1">
      <alignment wrapText="1"/>
    </xf>
    <xf numFmtId="164" fontId="4" fillId="3" borderId="1" xfId="1" applyFont="1" applyFill="1" applyBorder="1" applyAlignment="1">
      <alignment horizontal="right"/>
    </xf>
    <xf numFmtId="43" fontId="0" fillId="0" borderId="1" xfId="0" applyNumberFormat="1" applyBorder="1"/>
    <xf numFmtId="43" fontId="4" fillId="0" borderId="1" xfId="0" applyNumberFormat="1" applyFont="1" applyBorder="1"/>
    <xf numFmtId="0" fontId="10" fillId="0" borderId="0" xfId="0" applyFont="1" applyBorder="1" applyAlignment="1">
      <alignment horizontal="left"/>
    </xf>
    <xf numFmtId="0" fontId="20" fillId="0" borderId="0" xfId="0" applyFont="1"/>
    <xf numFmtId="0" fontId="21" fillId="0" borderId="0" xfId="0" applyFont="1"/>
    <xf numFmtId="164" fontId="6" fillId="2" borderId="1" xfId="1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21" fillId="0" borderId="1" xfId="0" applyFont="1" applyBorder="1"/>
    <xf numFmtId="0" fontId="20" fillId="0" borderId="1" xfId="0" applyFont="1" applyBorder="1"/>
    <xf numFmtId="0" fontId="11" fillId="0" borderId="1" xfId="0" applyFont="1" applyBorder="1"/>
    <xf numFmtId="0" fontId="10" fillId="0" borderId="5" xfId="0" applyFont="1" applyBorder="1"/>
    <xf numFmtId="0" fontId="6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5" fillId="0" borderId="1" xfId="0" applyFont="1" applyBorder="1"/>
    <xf numFmtId="4" fontId="6" fillId="0" borderId="1" xfId="0" applyNumberFormat="1" applyFont="1" applyBorder="1"/>
    <xf numFmtId="0" fontId="8" fillId="0" borderId="1" xfId="0" applyFont="1" applyBorder="1"/>
    <xf numFmtId="0" fontId="17" fillId="0" borderId="1" xfId="0" applyFont="1" applyBorder="1"/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85"/>
  <sheetViews>
    <sheetView topLeftCell="A185" workbookViewId="0">
      <selection activeCell="C50" sqref="C50"/>
    </sheetView>
  </sheetViews>
  <sheetFormatPr defaultRowHeight="15" x14ac:dyDescent="0.25"/>
  <cols>
    <col min="2" max="2" width="9.42578125" bestFit="1" customWidth="1"/>
    <col min="3" max="3" width="41.42578125" customWidth="1"/>
    <col min="4" max="4" width="23.140625" customWidth="1"/>
    <col min="5" max="5" width="21.5703125" customWidth="1"/>
    <col min="6" max="6" width="21.85546875" customWidth="1"/>
    <col min="7" max="7" width="15.28515625" customWidth="1"/>
    <col min="8" max="8" width="18.42578125" bestFit="1" customWidth="1"/>
    <col min="9" max="10" width="13.140625" bestFit="1" customWidth="1"/>
    <col min="11" max="11" width="19.85546875" bestFit="1" customWidth="1"/>
    <col min="12" max="12" width="19.42578125" customWidth="1"/>
    <col min="13" max="13" width="24.7109375" customWidth="1"/>
  </cols>
  <sheetData>
    <row r="2" spans="1:15" ht="21" x14ac:dyDescent="0.35">
      <c r="A2" s="5"/>
      <c r="B2" s="5"/>
      <c r="C2" s="94" t="s">
        <v>12</v>
      </c>
      <c r="D2" s="95"/>
      <c r="E2" s="94"/>
      <c r="F2" s="94"/>
      <c r="G2" s="5"/>
      <c r="H2" s="5"/>
      <c r="I2" s="5"/>
      <c r="J2" s="5"/>
      <c r="K2" s="5"/>
      <c r="L2" s="5"/>
      <c r="M2" s="5"/>
      <c r="N2" s="5"/>
      <c r="O2" s="5"/>
    </row>
    <row r="3" spans="1:15" ht="21" x14ac:dyDescent="0.35">
      <c r="A3" s="5"/>
      <c r="B3" s="5"/>
      <c r="C3" s="94" t="s">
        <v>39</v>
      </c>
      <c r="D3" s="95"/>
      <c r="E3" s="94"/>
      <c r="F3" s="94"/>
      <c r="G3" s="6"/>
      <c r="H3" s="5"/>
      <c r="I3" s="5"/>
      <c r="J3" s="5"/>
      <c r="K3" s="5"/>
      <c r="L3" s="5"/>
      <c r="M3" s="5"/>
      <c r="N3" s="5"/>
      <c r="O3" s="5"/>
    </row>
    <row r="4" spans="1:15" ht="18.75" x14ac:dyDescent="0.3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</row>
    <row r="5" spans="1:15" ht="56.25" x14ac:dyDescent="0.3">
      <c r="A5" s="5"/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 s="5"/>
      <c r="O5" s="5"/>
    </row>
    <row r="6" spans="1:15" s="21" customFormat="1" ht="18.75" x14ac:dyDescent="0.3">
      <c r="A6" s="37"/>
      <c r="B6" s="58">
        <v>1</v>
      </c>
      <c r="C6" s="61" t="s">
        <v>154</v>
      </c>
      <c r="D6" s="59">
        <v>500000</v>
      </c>
      <c r="E6" s="59">
        <v>31991.919999999998</v>
      </c>
      <c r="F6" s="60">
        <f t="shared" ref="F6:F37" si="0">D6+E6</f>
        <v>531991.92000000004</v>
      </c>
      <c r="G6" s="58">
        <v>24</v>
      </c>
      <c r="H6" s="60">
        <v>22166.33</v>
      </c>
      <c r="I6" s="61">
        <v>13</v>
      </c>
      <c r="J6" s="62">
        <f t="shared" ref="J6:J37" si="1">G6-I6</f>
        <v>11</v>
      </c>
      <c r="K6" s="63">
        <f>I6*H6</f>
        <v>288162.29000000004</v>
      </c>
      <c r="L6" s="63">
        <f t="shared" ref="L6:L37" si="2">F6-K6</f>
        <v>243829.63</v>
      </c>
      <c r="M6" s="64"/>
      <c r="N6" s="37"/>
      <c r="O6" s="37"/>
    </row>
    <row r="7" spans="1:15" s="21" customFormat="1" ht="18.75" x14ac:dyDescent="0.3">
      <c r="A7" s="37"/>
      <c r="B7" s="58">
        <v>2</v>
      </c>
      <c r="C7" s="31" t="s">
        <v>191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24</v>
      </c>
      <c r="J7" s="35">
        <f t="shared" si="1"/>
        <v>26</v>
      </c>
      <c r="K7" s="33">
        <f t="shared" ref="K7:K20" si="3">H7*I7</f>
        <v>271992</v>
      </c>
      <c r="L7" s="36">
        <f t="shared" si="2"/>
        <v>294658</v>
      </c>
      <c r="M7" s="31"/>
      <c r="N7" s="37"/>
      <c r="O7" s="37"/>
    </row>
    <row r="8" spans="1:15" s="21" customFormat="1" ht="18.75" x14ac:dyDescent="0.3">
      <c r="A8" s="37"/>
      <c r="B8" s="58">
        <v>3</v>
      </c>
      <c r="C8" s="31" t="s">
        <v>192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24</v>
      </c>
      <c r="J8" s="35">
        <f t="shared" si="1"/>
        <v>26</v>
      </c>
      <c r="K8" s="33">
        <f t="shared" si="3"/>
        <v>271992</v>
      </c>
      <c r="L8" s="36">
        <f t="shared" si="2"/>
        <v>294658</v>
      </c>
      <c r="M8" s="31"/>
      <c r="N8" s="37"/>
      <c r="O8" s="37"/>
    </row>
    <row r="9" spans="1:15" s="21" customFormat="1" ht="18.75" x14ac:dyDescent="0.3">
      <c r="A9" s="37"/>
      <c r="B9" s="58">
        <v>4</v>
      </c>
      <c r="C9" s="31" t="s">
        <v>219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39</v>
      </c>
      <c r="J9" s="35">
        <f t="shared" si="1"/>
        <v>11</v>
      </c>
      <c r="K9" s="36">
        <f t="shared" si="3"/>
        <v>441987</v>
      </c>
      <c r="L9" s="32">
        <f t="shared" si="2"/>
        <v>124663</v>
      </c>
      <c r="M9" s="31"/>
      <c r="N9" s="37"/>
      <c r="O9" s="37"/>
    </row>
    <row r="10" spans="1:15" s="21" customFormat="1" ht="18.75" x14ac:dyDescent="0.3">
      <c r="A10" s="37"/>
      <c r="B10" s="58">
        <v>5</v>
      </c>
      <c r="C10" s="31" t="s">
        <v>93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48</v>
      </c>
      <c r="J10" s="35">
        <f t="shared" si="1"/>
        <v>2</v>
      </c>
      <c r="K10" s="36">
        <f t="shared" si="3"/>
        <v>543984</v>
      </c>
      <c r="L10" s="32">
        <f t="shared" si="2"/>
        <v>22666</v>
      </c>
      <c r="M10" s="31"/>
      <c r="N10" s="37"/>
      <c r="O10" s="37"/>
    </row>
    <row r="11" spans="1:15" s="21" customFormat="1" ht="18.75" x14ac:dyDescent="0.3">
      <c r="A11" s="37"/>
      <c r="B11" s="58">
        <v>6</v>
      </c>
      <c r="C11" s="31" t="s">
        <v>97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2">
        <v>11333</v>
      </c>
      <c r="I11" s="31">
        <v>39</v>
      </c>
      <c r="J11" s="35">
        <f t="shared" si="1"/>
        <v>11</v>
      </c>
      <c r="K11" s="36">
        <f t="shared" si="3"/>
        <v>441987</v>
      </c>
      <c r="L11" s="32">
        <f t="shared" si="2"/>
        <v>124663</v>
      </c>
      <c r="M11" s="31"/>
      <c r="N11" s="37"/>
      <c r="O11" s="37"/>
    </row>
    <row r="12" spans="1:15" s="21" customFormat="1" ht="18.75" x14ac:dyDescent="0.3">
      <c r="A12" s="37"/>
      <c r="B12" s="58">
        <v>7</v>
      </c>
      <c r="C12" s="31" t="s">
        <v>103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2">
        <v>11333</v>
      </c>
      <c r="I12" s="31">
        <v>48</v>
      </c>
      <c r="J12" s="35">
        <f t="shared" si="1"/>
        <v>2</v>
      </c>
      <c r="K12" s="36">
        <f t="shared" si="3"/>
        <v>543984</v>
      </c>
      <c r="L12" s="32">
        <f t="shared" si="2"/>
        <v>22666</v>
      </c>
      <c r="M12" s="31"/>
      <c r="N12" s="37"/>
      <c r="O12" s="37"/>
    </row>
    <row r="13" spans="1:15" s="21" customFormat="1" ht="18.75" x14ac:dyDescent="0.3">
      <c r="A13" s="37"/>
      <c r="B13" s="58">
        <v>8</v>
      </c>
      <c r="C13" s="31" t="s">
        <v>105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2">
        <v>11333</v>
      </c>
      <c r="I13" s="31">
        <v>39</v>
      </c>
      <c r="J13" s="35">
        <f t="shared" si="1"/>
        <v>11</v>
      </c>
      <c r="K13" s="36">
        <f t="shared" si="3"/>
        <v>441987</v>
      </c>
      <c r="L13" s="32">
        <f t="shared" si="2"/>
        <v>124663</v>
      </c>
      <c r="M13" s="31"/>
      <c r="N13" s="37"/>
      <c r="O13" s="37"/>
    </row>
    <row r="14" spans="1:15" s="21" customFormat="1" ht="18.75" x14ac:dyDescent="0.3">
      <c r="A14" s="37"/>
      <c r="B14" s="58">
        <v>9</v>
      </c>
      <c r="C14" s="31" t="s">
        <v>195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39</v>
      </c>
      <c r="J14" s="35">
        <f t="shared" si="1"/>
        <v>11</v>
      </c>
      <c r="K14" s="36">
        <f t="shared" si="3"/>
        <v>441987</v>
      </c>
      <c r="L14" s="32">
        <f t="shared" si="2"/>
        <v>124663</v>
      </c>
      <c r="M14" s="31"/>
      <c r="N14" s="37"/>
      <c r="O14" s="37"/>
    </row>
    <row r="15" spans="1:15" s="21" customFormat="1" ht="18.75" x14ac:dyDescent="0.3">
      <c r="A15" s="37"/>
      <c r="B15" s="58">
        <v>10</v>
      </c>
      <c r="C15" s="31" t="s">
        <v>108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6">
        <v>11333</v>
      </c>
      <c r="I15" s="31">
        <v>24</v>
      </c>
      <c r="J15" s="35">
        <f t="shared" si="1"/>
        <v>26</v>
      </c>
      <c r="K15" s="36">
        <f t="shared" si="3"/>
        <v>271992</v>
      </c>
      <c r="L15" s="36">
        <f t="shared" si="2"/>
        <v>294658</v>
      </c>
      <c r="M15" s="31"/>
      <c r="N15" s="37"/>
      <c r="O15" s="37"/>
    </row>
    <row r="16" spans="1:15" s="21" customFormat="1" ht="18.75" x14ac:dyDescent="0.3">
      <c r="A16" s="37"/>
      <c r="B16" s="58">
        <v>11</v>
      </c>
      <c r="C16" s="31" t="s">
        <v>171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6">
        <v>11333</v>
      </c>
      <c r="I16" s="31">
        <v>24</v>
      </c>
      <c r="J16" s="35">
        <f t="shared" si="1"/>
        <v>26</v>
      </c>
      <c r="K16" s="36">
        <f t="shared" si="3"/>
        <v>271992</v>
      </c>
      <c r="L16" s="36">
        <f t="shared" si="2"/>
        <v>294658</v>
      </c>
      <c r="M16" s="31"/>
      <c r="N16" s="37"/>
      <c r="O16" s="37"/>
    </row>
    <row r="17" spans="1:15" s="21" customFormat="1" ht="18.75" x14ac:dyDescent="0.3">
      <c r="A17" s="37"/>
      <c r="B17" s="58">
        <v>12</v>
      </c>
      <c r="C17" s="31" t="s">
        <v>178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31">
        <v>48</v>
      </c>
      <c r="J17" s="35">
        <f t="shared" si="1"/>
        <v>2</v>
      </c>
      <c r="K17" s="36">
        <f t="shared" si="3"/>
        <v>543984</v>
      </c>
      <c r="L17" s="32">
        <f t="shared" si="2"/>
        <v>22666</v>
      </c>
      <c r="M17" s="31"/>
      <c r="N17" s="37"/>
      <c r="O17" s="37"/>
    </row>
    <row r="18" spans="1:15" s="21" customFormat="1" ht="18.75" x14ac:dyDescent="0.3">
      <c r="A18" s="37"/>
      <c r="B18" s="58">
        <v>13</v>
      </c>
      <c r="C18" s="31" t="s">
        <v>121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31">
        <v>45</v>
      </c>
      <c r="J18" s="35">
        <f t="shared" si="1"/>
        <v>5</v>
      </c>
      <c r="K18" s="36">
        <f t="shared" si="3"/>
        <v>509985</v>
      </c>
      <c r="L18" s="32">
        <f t="shared" si="2"/>
        <v>56665</v>
      </c>
      <c r="M18" s="31"/>
      <c r="N18" s="37"/>
      <c r="O18" s="37"/>
    </row>
    <row r="19" spans="1:15" s="21" customFormat="1" ht="18.75" x14ac:dyDescent="0.3">
      <c r="A19" s="37"/>
      <c r="B19" s="58">
        <v>14</v>
      </c>
      <c r="C19" s="31" t="s">
        <v>123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6">
        <v>11333</v>
      </c>
      <c r="I19" s="31">
        <v>24</v>
      </c>
      <c r="J19" s="35">
        <f t="shared" si="1"/>
        <v>26</v>
      </c>
      <c r="K19" s="36">
        <f t="shared" si="3"/>
        <v>271992</v>
      </c>
      <c r="L19" s="36">
        <f t="shared" si="2"/>
        <v>294658</v>
      </c>
      <c r="M19" s="31"/>
      <c r="N19" s="37"/>
      <c r="O19" s="37"/>
    </row>
    <row r="20" spans="1:15" s="21" customFormat="1" ht="18.75" x14ac:dyDescent="0.3">
      <c r="A20" s="37"/>
      <c r="B20" s="58">
        <v>15</v>
      </c>
      <c r="C20" s="31" t="s">
        <v>198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31">
        <v>39</v>
      </c>
      <c r="J20" s="35">
        <f t="shared" si="1"/>
        <v>11</v>
      </c>
      <c r="K20" s="36">
        <f t="shared" si="3"/>
        <v>441987</v>
      </c>
      <c r="L20" s="32">
        <f t="shared" si="2"/>
        <v>124663</v>
      </c>
      <c r="M20" s="31"/>
      <c r="N20" s="37"/>
      <c r="O20" s="37"/>
    </row>
    <row r="21" spans="1:15" s="21" customFormat="1" ht="18.75" x14ac:dyDescent="0.3">
      <c r="A21" s="37"/>
      <c r="B21" s="58">
        <v>16</v>
      </c>
      <c r="C21" s="31" t="s">
        <v>144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31">
        <v>19</v>
      </c>
      <c r="J21" s="35">
        <f t="shared" si="1"/>
        <v>31</v>
      </c>
      <c r="K21" s="36">
        <f t="shared" ref="K21:K34" si="4">I21*H21</f>
        <v>215327</v>
      </c>
      <c r="L21" s="36">
        <f t="shared" si="2"/>
        <v>351323</v>
      </c>
      <c r="M21" s="31"/>
      <c r="N21" s="37"/>
      <c r="O21" s="37"/>
    </row>
    <row r="22" spans="1:15" s="21" customFormat="1" ht="18.75" x14ac:dyDescent="0.3">
      <c r="A22" s="37"/>
      <c r="B22" s="58">
        <v>17</v>
      </c>
      <c r="C22" s="31" t="s">
        <v>145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31">
        <v>19</v>
      </c>
      <c r="J22" s="35">
        <f t="shared" si="1"/>
        <v>31</v>
      </c>
      <c r="K22" s="36">
        <f t="shared" si="4"/>
        <v>215327</v>
      </c>
      <c r="L22" s="36">
        <f t="shared" si="2"/>
        <v>351323</v>
      </c>
      <c r="M22" s="31"/>
      <c r="N22" s="37"/>
      <c r="O22" s="37"/>
    </row>
    <row r="23" spans="1:15" s="21" customFormat="1" ht="18.75" x14ac:dyDescent="0.3">
      <c r="A23" s="37"/>
      <c r="B23" s="58">
        <v>18</v>
      </c>
      <c r="C23" s="50" t="s">
        <v>208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50">
        <v>10</v>
      </c>
      <c r="J23" s="35">
        <f t="shared" si="1"/>
        <v>40</v>
      </c>
      <c r="K23" s="36">
        <f t="shared" si="4"/>
        <v>113330</v>
      </c>
      <c r="L23" s="36">
        <f t="shared" si="2"/>
        <v>453320</v>
      </c>
      <c r="M23" s="31"/>
      <c r="N23" s="37"/>
      <c r="O23" s="37"/>
    </row>
    <row r="24" spans="1:15" s="21" customFormat="1" ht="18.75" x14ac:dyDescent="0.3">
      <c r="A24" s="37"/>
      <c r="B24" s="58">
        <v>19</v>
      </c>
      <c r="C24" s="50" t="s">
        <v>14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8</v>
      </c>
      <c r="J24" s="35">
        <f t="shared" si="1"/>
        <v>42</v>
      </c>
      <c r="K24" s="36">
        <f t="shared" si="4"/>
        <v>90664</v>
      </c>
      <c r="L24" s="36">
        <f t="shared" si="2"/>
        <v>475986</v>
      </c>
      <c r="M24" s="31"/>
      <c r="N24" s="37"/>
      <c r="O24" s="37"/>
    </row>
    <row r="25" spans="1:15" s="21" customFormat="1" ht="18.75" x14ac:dyDescent="0.3">
      <c r="A25" s="37"/>
      <c r="B25" s="58">
        <v>20</v>
      </c>
      <c r="C25" s="50" t="s">
        <v>15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8</v>
      </c>
      <c r="J25" s="35">
        <f t="shared" si="1"/>
        <v>42</v>
      </c>
      <c r="K25" s="36">
        <f t="shared" si="4"/>
        <v>90664</v>
      </c>
      <c r="L25" s="36">
        <f t="shared" si="2"/>
        <v>475986</v>
      </c>
      <c r="M25" s="31"/>
      <c r="N25" s="37"/>
      <c r="O25" s="37"/>
    </row>
    <row r="26" spans="1:15" s="21" customFormat="1" ht="18.75" x14ac:dyDescent="0.3">
      <c r="A26" s="37"/>
      <c r="B26" s="58">
        <v>21</v>
      </c>
      <c r="C26" s="50" t="s">
        <v>16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8</v>
      </c>
      <c r="J26" s="35">
        <f t="shared" si="1"/>
        <v>42</v>
      </c>
      <c r="K26" s="36">
        <f t="shared" si="4"/>
        <v>90664</v>
      </c>
      <c r="L26" s="36">
        <f t="shared" si="2"/>
        <v>475986</v>
      </c>
      <c r="M26" s="31"/>
      <c r="N26" s="37"/>
      <c r="O26" s="37"/>
    </row>
    <row r="27" spans="1:15" s="21" customFormat="1" ht="18.75" x14ac:dyDescent="0.3">
      <c r="A27" s="37"/>
      <c r="B27" s="58">
        <v>22</v>
      </c>
      <c r="C27" s="50" t="s">
        <v>20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35</v>
      </c>
      <c r="J27" s="35">
        <f t="shared" si="1"/>
        <v>15</v>
      </c>
      <c r="K27" s="36">
        <f t="shared" si="4"/>
        <v>396655</v>
      </c>
      <c r="L27" s="36">
        <f t="shared" si="2"/>
        <v>169995</v>
      </c>
      <c r="M27" s="31" t="s">
        <v>226</v>
      </c>
      <c r="N27" s="37"/>
      <c r="O27" s="37"/>
    </row>
    <row r="28" spans="1:15" s="21" customFormat="1" ht="18.75" x14ac:dyDescent="0.3">
      <c r="A28" s="37"/>
      <c r="B28" s="58">
        <v>23</v>
      </c>
      <c r="C28" s="50" t="s">
        <v>21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5</v>
      </c>
      <c r="J28" s="35">
        <f t="shared" si="1"/>
        <v>45</v>
      </c>
      <c r="K28" s="36">
        <f t="shared" si="4"/>
        <v>56665</v>
      </c>
      <c r="L28" s="36">
        <f t="shared" si="2"/>
        <v>509985</v>
      </c>
      <c r="M28" s="31"/>
      <c r="N28" s="37"/>
      <c r="O28" s="37"/>
    </row>
    <row r="29" spans="1:15" s="21" customFormat="1" ht="18.75" x14ac:dyDescent="0.3">
      <c r="A29" s="37"/>
      <c r="B29" s="58">
        <v>24</v>
      </c>
      <c r="C29" s="50" t="s">
        <v>214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5</v>
      </c>
      <c r="J29" s="35">
        <f t="shared" si="1"/>
        <v>45</v>
      </c>
      <c r="K29" s="36">
        <f t="shared" si="4"/>
        <v>56665</v>
      </c>
      <c r="L29" s="36">
        <f t="shared" si="2"/>
        <v>509985</v>
      </c>
      <c r="M29" s="31"/>
      <c r="N29" s="37"/>
      <c r="O29" s="37"/>
    </row>
    <row r="30" spans="1:15" s="21" customFormat="1" ht="18.75" x14ac:dyDescent="0.3">
      <c r="A30" s="37"/>
      <c r="B30" s="58">
        <v>25</v>
      </c>
      <c r="C30" s="50" t="s">
        <v>31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2</v>
      </c>
      <c r="J30" s="35">
        <f t="shared" si="1"/>
        <v>48</v>
      </c>
      <c r="K30" s="36">
        <f t="shared" si="4"/>
        <v>22666</v>
      </c>
      <c r="L30" s="36">
        <f t="shared" si="2"/>
        <v>543984</v>
      </c>
      <c r="M30" s="31"/>
      <c r="N30" s="37"/>
      <c r="O30" s="37"/>
    </row>
    <row r="31" spans="1:15" s="21" customFormat="1" ht="18.75" x14ac:dyDescent="0.3">
      <c r="A31" s="37"/>
      <c r="B31" s="58">
        <v>26</v>
      </c>
      <c r="C31" s="29" t="s">
        <v>161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15</v>
      </c>
      <c r="J31" s="35">
        <f t="shared" si="1"/>
        <v>35</v>
      </c>
      <c r="K31" s="36">
        <f t="shared" si="4"/>
        <v>169995</v>
      </c>
      <c r="L31" s="36">
        <f t="shared" si="2"/>
        <v>396655</v>
      </c>
      <c r="M31" s="31" t="s">
        <v>221</v>
      </c>
      <c r="N31" s="37"/>
      <c r="O31" s="37"/>
    </row>
    <row r="32" spans="1:15" s="21" customFormat="1" ht="18.75" x14ac:dyDescent="0.3">
      <c r="A32" s="37"/>
      <c r="B32" s="58">
        <v>27</v>
      </c>
      <c r="C32" s="29" t="s">
        <v>170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24</v>
      </c>
      <c r="J32" s="35">
        <f t="shared" si="1"/>
        <v>26</v>
      </c>
      <c r="K32" s="36">
        <f t="shared" si="4"/>
        <v>271992</v>
      </c>
      <c r="L32" s="36">
        <f t="shared" si="2"/>
        <v>294658</v>
      </c>
      <c r="M32" s="31" t="s">
        <v>221</v>
      </c>
      <c r="N32" s="37"/>
      <c r="O32" s="37"/>
    </row>
    <row r="33" spans="1:15" s="21" customFormat="1" ht="18.75" x14ac:dyDescent="0.3">
      <c r="A33" s="37"/>
      <c r="B33" s="58">
        <v>28</v>
      </c>
      <c r="C33" s="29" t="s">
        <v>172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20</v>
      </c>
      <c r="J33" s="35">
        <f t="shared" si="1"/>
        <v>30</v>
      </c>
      <c r="K33" s="36">
        <f t="shared" si="4"/>
        <v>226660</v>
      </c>
      <c r="L33" s="36">
        <f t="shared" si="2"/>
        <v>339990</v>
      </c>
      <c r="M33" s="31" t="s">
        <v>221</v>
      </c>
      <c r="N33" s="37"/>
      <c r="O33" s="37"/>
    </row>
    <row r="34" spans="1:15" s="21" customFormat="1" ht="18.75" x14ac:dyDescent="0.3">
      <c r="A34" s="37"/>
      <c r="B34" s="58">
        <v>29</v>
      </c>
      <c r="C34" s="31" t="s">
        <v>74</v>
      </c>
      <c r="D34" s="33">
        <v>450000</v>
      </c>
      <c r="E34" s="33">
        <v>59985</v>
      </c>
      <c r="F34" s="32">
        <f t="shared" si="0"/>
        <v>509985</v>
      </c>
      <c r="G34" s="34">
        <v>50</v>
      </c>
      <c r="H34" s="32">
        <v>10199.700000000001</v>
      </c>
      <c r="I34" s="31">
        <v>21</v>
      </c>
      <c r="J34" s="35">
        <f t="shared" si="1"/>
        <v>29</v>
      </c>
      <c r="K34" s="32">
        <f t="shared" si="4"/>
        <v>214193.7</v>
      </c>
      <c r="L34" s="33">
        <f t="shared" si="2"/>
        <v>295791.3</v>
      </c>
      <c r="M34" s="31"/>
      <c r="N34" s="37"/>
      <c r="O34" s="37"/>
    </row>
    <row r="35" spans="1:15" s="21" customFormat="1" ht="18.75" x14ac:dyDescent="0.3">
      <c r="A35" s="37"/>
      <c r="B35" s="58">
        <v>30</v>
      </c>
      <c r="C35" s="31" t="s">
        <v>77</v>
      </c>
      <c r="D35" s="33">
        <v>450000</v>
      </c>
      <c r="E35" s="33">
        <v>59985</v>
      </c>
      <c r="F35" s="32">
        <f t="shared" si="0"/>
        <v>509985</v>
      </c>
      <c r="G35" s="34">
        <v>50</v>
      </c>
      <c r="H35" s="32">
        <v>10199.700000000001</v>
      </c>
      <c r="I35" s="52">
        <v>20</v>
      </c>
      <c r="J35" s="35">
        <f t="shared" si="1"/>
        <v>30</v>
      </c>
      <c r="K35" s="32">
        <f t="shared" ref="K35:K44" si="5">H35*I35</f>
        <v>203994</v>
      </c>
      <c r="L35" s="33">
        <f t="shared" si="2"/>
        <v>305991</v>
      </c>
      <c r="M35" s="31"/>
      <c r="N35" s="37"/>
      <c r="O35" s="37"/>
    </row>
    <row r="36" spans="1:15" s="21" customFormat="1" ht="18.75" x14ac:dyDescent="0.3">
      <c r="A36" s="37"/>
      <c r="B36" s="58">
        <v>31</v>
      </c>
      <c r="C36" s="31" t="s">
        <v>78</v>
      </c>
      <c r="D36" s="33">
        <v>450000</v>
      </c>
      <c r="E36" s="33">
        <v>59985</v>
      </c>
      <c r="F36" s="32">
        <f t="shared" si="0"/>
        <v>509985</v>
      </c>
      <c r="G36" s="34">
        <v>50</v>
      </c>
      <c r="H36" s="32">
        <v>10199.700000000001</v>
      </c>
      <c r="I36" s="52">
        <v>20</v>
      </c>
      <c r="J36" s="35">
        <f t="shared" si="1"/>
        <v>30</v>
      </c>
      <c r="K36" s="32">
        <f t="shared" si="5"/>
        <v>203994</v>
      </c>
      <c r="L36" s="32">
        <f t="shared" si="2"/>
        <v>305991</v>
      </c>
      <c r="M36" s="31"/>
      <c r="N36" s="37"/>
      <c r="O36" s="37"/>
    </row>
    <row r="37" spans="1:15" s="21" customFormat="1" ht="18.75" x14ac:dyDescent="0.3">
      <c r="A37" s="37"/>
      <c r="B37" s="58">
        <v>32</v>
      </c>
      <c r="C37" s="31" t="s">
        <v>82</v>
      </c>
      <c r="D37" s="33">
        <v>450000</v>
      </c>
      <c r="E37" s="33">
        <v>59985</v>
      </c>
      <c r="F37" s="32">
        <f t="shared" si="0"/>
        <v>509985</v>
      </c>
      <c r="G37" s="34">
        <v>50</v>
      </c>
      <c r="H37" s="32">
        <v>10199.700000000001</v>
      </c>
      <c r="I37" s="31">
        <v>24</v>
      </c>
      <c r="J37" s="35">
        <f t="shared" si="1"/>
        <v>26</v>
      </c>
      <c r="K37" s="36">
        <f t="shared" si="5"/>
        <v>244792.80000000002</v>
      </c>
      <c r="L37" s="36">
        <f t="shared" si="2"/>
        <v>265192.19999999995</v>
      </c>
      <c r="M37" s="31"/>
      <c r="N37" s="37"/>
      <c r="O37" s="37"/>
    </row>
    <row r="38" spans="1:15" s="21" customFormat="1" ht="18.75" x14ac:dyDescent="0.3">
      <c r="A38" s="37"/>
      <c r="B38" s="58">
        <v>33</v>
      </c>
      <c r="C38" s="31" t="s">
        <v>92</v>
      </c>
      <c r="D38" s="33">
        <v>450000</v>
      </c>
      <c r="E38" s="33">
        <v>59985</v>
      </c>
      <c r="F38" s="32">
        <f t="shared" ref="F38:F69" si="6">D38+E38</f>
        <v>509985</v>
      </c>
      <c r="G38" s="34">
        <v>50</v>
      </c>
      <c r="H38" s="32">
        <v>10199.700000000001</v>
      </c>
      <c r="I38" s="31">
        <v>48</v>
      </c>
      <c r="J38" s="35">
        <f t="shared" ref="J38:J69" si="7">G38-I38</f>
        <v>2</v>
      </c>
      <c r="K38" s="36">
        <f t="shared" si="5"/>
        <v>489585.60000000003</v>
      </c>
      <c r="L38" s="32">
        <f t="shared" ref="L38:L69" si="8">F38-K38</f>
        <v>20399.399999999965</v>
      </c>
      <c r="M38" s="31"/>
      <c r="N38" s="37"/>
      <c r="O38" s="37"/>
    </row>
    <row r="39" spans="1:15" s="21" customFormat="1" ht="18.75" x14ac:dyDescent="0.3">
      <c r="A39" s="37"/>
      <c r="B39" s="58">
        <v>34</v>
      </c>
      <c r="C39" s="31" t="s">
        <v>99</v>
      </c>
      <c r="D39" s="33">
        <v>450000</v>
      </c>
      <c r="E39" s="33">
        <v>59985</v>
      </c>
      <c r="F39" s="32">
        <f t="shared" si="6"/>
        <v>509985</v>
      </c>
      <c r="G39" s="34">
        <v>50</v>
      </c>
      <c r="H39" s="36">
        <v>10199.700000000001</v>
      </c>
      <c r="I39" s="31">
        <v>24</v>
      </c>
      <c r="J39" s="35">
        <f t="shared" si="7"/>
        <v>26</v>
      </c>
      <c r="K39" s="36">
        <f t="shared" si="5"/>
        <v>244792.80000000002</v>
      </c>
      <c r="L39" s="36">
        <f t="shared" si="8"/>
        <v>265192.19999999995</v>
      </c>
      <c r="M39" s="31"/>
      <c r="N39" s="37"/>
      <c r="O39" s="37"/>
    </row>
    <row r="40" spans="1:15" s="21" customFormat="1" ht="18.75" x14ac:dyDescent="0.3">
      <c r="A40" s="37"/>
      <c r="B40" s="58">
        <v>35</v>
      </c>
      <c r="C40" s="31" t="s">
        <v>194</v>
      </c>
      <c r="D40" s="33">
        <v>450000</v>
      </c>
      <c r="E40" s="33">
        <v>59985</v>
      </c>
      <c r="F40" s="32">
        <f t="shared" si="6"/>
        <v>509985</v>
      </c>
      <c r="G40" s="34">
        <v>50</v>
      </c>
      <c r="H40" s="32">
        <v>10199.700000000001</v>
      </c>
      <c r="I40" s="31">
        <v>48</v>
      </c>
      <c r="J40" s="35">
        <f t="shared" si="7"/>
        <v>2</v>
      </c>
      <c r="K40" s="36">
        <f t="shared" si="5"/>
        <v>489585.60000000003</v>
      </c>
      <c r="L40" s="32">
        <f t="shared" si="8"/>
        <v>20399.399999999965</v>
      </c>
      <c r="M40" s="31"/>
      <c r="N40" s="37"/>
      <c r="O40" s="37"/>
    </row>
    <row r="41" spans="1:15" s="21" customFormat="1" ht="18.75" x14ac:dyDescent="0.3">
      <c r="A41" s="37"/>
      <c r="B41" s="58">
        <v>36</v>
      </c>
      <c r="C41" s="31" t="s">
        <v>115</v>
      </c>
      <c r="D41" s="33">
        <v>450000</v>
      </c>
      <c r="E41" s="33">
        <v>59985</v>
      </c>
      <c r="F41" s="32">
        <f t="shared" si="6"/>
        <v>509985</v>
      </c>
      <c r="G41" s="34">
        <v>50</v>
      </c>
      <c r="H41" s="32">
        <v>10199.700000000001</v>
      </c>
      <c r="I41" s="31">
        <v>48</v>
      </c>
      <c r="J41" s="35">
        <f t="shared" si="7"/>
        <v>2</v>
      </c>
      <c r="K41" s="36">
        <f t="shared" si="5"/>
        <v>489585.60000000003</v>
      </c>
      <c r="L41" s="32">
        <f t="shared" si="8"/>
        <v>20399.399999999965</v>
      </c>
      <c r="M41" s="31"/>
      <c r="N41" s="37"/>
      <c r="O41" s="37"/>
    </row>
    <row r="42" spans="1:15" s="21" customFormat="1" ht="18.75" x14ac:dyDescent="0.3">
      <c r="A42" s="37"/>
      <c r="B42" s="58">
        <v>37</v>
      </c>
      <c r="C42" s="31" t="s">
        <v>196</v>
      </c>
      <c r="D42" s="33">
        <v>450000</v>
      </c>
      <c r="E42" s="33">
        <v>59985</v>
      </c>
      <c r="F42" s="32">
        <f t="shared" si="6"/>
        <v>509985</v>
      </c>
      <c r="G42" s="34">
        <v>50</v>
      </c>
      <c r="H42" s="32">
        <v>10199.700000000001</v>
      </c>
      <c r="I42" s="31">
        <v>39</v>
      </c>
      <c r="J42" s="35">
        <f t="shared" si="7"/>
        <v>11</v>
      </c>
      <c r="K42" s="36">
        <f t="shared" si="5"/>
        <v>397788.30000000005</v>
      </c>
      <c r="L42" s="32">
        <f t="shared" si="8"/>
        <v>112196.69999999995</v>
      </c>
      <c r="M42" s="31"/>
      <c r="N42" s="37"/>
      <c r="O42" s="37"/>
    </row>
    <row r="43" spans="1:15" s="21" customFormat="1" ht="18.75" x14ac:dyDescent="0.3">
      <c r="A43" s="37"/>
      <c r="B43" s="58">
        <v>38</v>
      </c>
      <c r="C43" s="31" t="s">
        <v>122</v>
      </c>
      <c r="D43" s="33">
        <v>450000</v>
      </c>
      <c r="E43" s="33">
        <v>59985</v>
      </c>
      <c r="F43" s="32">
        <f t="shared" si="6"/>
        <v>509985</v>
      </c>
      <c r="G43" s="34">
        <v>50</v>
      </c>
      <c r="H43" s="36">
        <v>10199.700000000001</v>
      </c>
      <c r="I43" s="31">
        <v>24</v>
      </c>
      <c r="J43" s="35">
        <f t="shared" si="7"/>
        <v>26</v>
      </c>
      <c r="K43" s="36">
        <f t="shared" si="5"/>
        <v>244792.80000000002</v>
      </c>
      <c r="L43" s="36">
        <f t="shared" si="8"/>
        <v>265192.19999999995</v>
      </c>
      <c r="M43" s="31"/>
      <c r="N43" s="37"/>
      <c r="O43" s="37"/>
    </row>
    <row r="44" spans="1:15" s="21" customFormat="1" ht="18.75" x14ac:dyDescent="0.3">
      <c r="A44" s="37"/>
      <c r="B44" s="58">
        <v>39</v>
      </c>
      <c r="C44" s="31" t="s">
        <v>204</v>
      </c>
      <c r="D44" s="33">
        <v>450000</v>
      </c>
      <c r="E44" s="33">
        <v>59985</v>
      </c>
      <c r="F44" s="32">
        <f t="shared" si="6"/>
        <v>509985</v>
      </c>
      <c r="G44" s="34">
        <v>50</v>
      </c>
      <c r="H44" s="32">
        <v>10199.700000000001</v>
      </c>
      <c r="I44" s="31">
        <v>29</v>
      </c>
      <c r="J44" s="35">
        <f t="shared" si="7"/>
        <v>21</v>
      </c>
      <c r="K44" s="36">
        <f t="shared" si="5"/>
        <v>295791.30000000005</v>
      </c>
      <c r="L44" s="32">
        <f t="shared" si="8"/>
        <v>214193.69999999995</v>
      </c>
      <c r="M44" s="31"/>
      <c r="N44" s="37"/>
      <c r="O44" s="37"/>
    </row>
    <row r="45" spans="1:15" s="21" customFormat="1" ht="18.75" x14ac:dyDescent="0.3">
      <c r="A45" s="37"/>
      <c r="B45" s="58">
        <v>40</v>
      </c>
      <c r="C45" s="31" t="s">
        <v>205</v>
      </c>
      <c r="D45" s="33">
        <v>450000</v>
      </c>
      <c r="E45" s="33">
        <v>59985</v>
      </c>
      <c r="F45" s="32">
        <f t="shared" si="6"/>
        <v>509985</v>
      </c>
      <c r="G45" s="34">
        <v>50</v>
      </c>
      <c r="H45" s="32">
        <v>10199.700000000001</v>
      </c>
      <c r="I45" s="31">
        <v>48</v>
      </c>
      <c r="J45" s="35">
        <f t="shared" si="7"/>
        <v>2</v>
      </c>
      <c r="K45" s="36">
        <f>I45*H45</f>
        <v>489585.60000000003</v>
      </c>
      <c r="L45" s="32">
        <f t="shared" si="8"/>
        <v>20399.399999999965</v>
      </c>
      <c r="M45" s="31"/>
      <c r="N45" s="37"/>
      <c r="O45" s="37"/>
    </row>
    <row r="46" spans="1:15" s="21" customFormat="1" ht="18.75" x14ac:dyDescent="0.3">
      <c r="A46" s="37"/>
      <c r="B46" s="58">
        <v>41</v>
      </c>
      <c r="C46" s="31" t="s">
        <v>63</v>
      </c>
      <c r="D46" s="33">
        <v>450000</v>
      </c>
      <c r="E46" s="33">
        <v>59985</v>
      </c>
      <c r="F46" s="32">
        <f t="shared" si="6"/>
        <v>509985</v>
      </c>
      <c r="G46" s="34">
        <v>50</v>
      </c>
      <c r="H46" s="32">
        <v>10199.700000000001</v>
      </c>
      <c r="I46" s="31">
        <v>48</v>
      </c>
      <c r="J46" s="35">
        <f t="shared" si="7"/>
        <v>2</v>
      </c>
      <c r="K46" s="32">
        <f>H46*I46</f>
        <v>489585.60000000003</v>
      </c>
      <c r="L46" s="32">
        <f t="shared" si="8"/>
        <v>20399.399999999965</v>
      </c>
      <c r="M46" s="31"/>
      <c r="N46" s="37"/>
      <c r="O46" s="37"/>
    </row>
    <row r="47" spans="1:15" s="21" customFormat="1" ht="18.75" x14ac:dyDescent="0.3">
      <c r="A47" s="37"/>
      <c r="B47" s="58">
        <v>42</v>
      </c>
      <c r="C47" s="31" t="s">
        <v>206</v>
      </c>
      <c r="D47" s="33">
        <v>450000</v>
      </c>
      <c r="E47" s="33">
        <v>59985</v>
      </c>
      <c r="F47" s="32">
        <f t="shared" si="6"/>
        <v>509985</v>
      </c>
      <c r="G47" s="34">
        <v>50</v>
      </c>
      <c r="H47" s="32">
        <v>10199.700000000001</v>
      </c>
      <c r="I47" s="31">
        <v>43</v>
      </c>
      <c r="J47" s="35">
        <f t="shared" si="7"/>
        <v>7</v>
      </c>
      <c r="K47" s="32">
        <f>H47*I47</f>
        <v>438587.10000000003</v>
      </c>
      <c r="L47" s="32">
        <f t="shared" si="8"/>
        <v>71397.899999999965</v>
      </c>
      <c r="M47" s="31"/>
      <c r="N47" s="37"/>
      <c r="O47" s="37"/>
    </row>
    <row r="48" spans="1:15" s="21" customFormat="1" ht="18.75" x14ac:dyDescent="0.3">
      <c r="A48" s="37"/>
      <c r="B48" s="58">
        <v>43</v>
      </c>
      <c r="C48" s="50" t="s">
        <v>146</v>
      </c>
      <c r="D48" s="33">
        <v>450000</v>
      </c>
      <c r="E48" s="33">
        <v>59985</v>
      </c>
      <c r="F48" s="32">
        <f t="shared" si="6"/>
        <v>509985</v>
      </c>
      <c r="G48" s="34">
        <v>50</v>
      </c>
      <c r="H48" s="32">
        <v>10199.700000000001</v>
      </c>
      <c r="I48" s="50">
        <v>13</v>
      </c>
      <c r="J48" s="35">
        <f t="shared" si="7"/>
        <v>37</v>
      </c>
      <c r="K48" s="36">
        <f t="shared" ref="K48:K53" si="9">I48*H48</f>
        <v>132596.1</v>
      </c>
      <c r="L48" s="36">
        <f t="shared" si="8"/>
        <v>377388.9</v>
      </c>
      <c r="M48" s="31"/>
      <c r="N48" s="37"/>
      <c r="O48" s="37"/>
    </row>
    <row r="49" spans="1:15" s="21" customFormat="1" ht="18.75" x14ac:dyDescent="0.3">
      <c r="A49" s="37"/>
      <c r="B49" s="58">
        <v>44</v>
      </c>
      <c r="C49" s="50" t="s">
        <v>148</v>
      </c>
      <c r="D49" s="33">
        <v>450000</v>
      </c>
      <c r="E49" s="33">
        <v>59985</v>
      </c>
      <c r="F49" s="32">
        <f t="shared" si="6"/>
        <v>509985</v>
      </c>
      <c r="G49" s="34">
        <v>50</v>
      </c>
      <c r="H49" s="32">
        <v>10199.700000000001</v>
      </c>
      <c r="I49" s="50">
        <v>13</v>
      </c>
      <c r="J49" s="35">
        <f t="shared" si="7"/>
        <v>37</v>
      </c>
      <c r="K49" s="36">
        <f t="shared" si="9"/>
        <v>132596.1</v>
      </c>
      <c r="L49" s="36">
        <f t="shared" si="8"/>
        <v>377388.9</v>
      </c>
      <c r="M49" s="31"/>
      <c r="N49" s="37"/>
      <c r="O49" s="37"/>
    </row>
    <row r="50" spans="1:15" s="21" customFormat="1" ht="18.75" x14ac:dyDescent="0.3">
      <c r="A50" s="37"/>
      <c r="B50" s="58">
        <v>45</v>
      </c>
      <c r="C50" s="50" t="s">
        <v>17</v>
      </c>
      <c r="D50" s="33">
        <v>450000</v>
      </c>
      <c r="E50" s="33">
        <v>59985</v>
      </c>
      <c r="F50" s="32">
        <f t="shared" si="6"/>
        <v>509985</v>
      </c>
      <c r="G50" s="34">
        <v>50</v>
      </c>
      <c r="H50" s="32">
        <v>10199.700000000001</v>
      </c>
      <c r="I50" s="50">
        <v>8</v>
      </c>
      <c r="J50" s="35">
        <f t="shared" si="7"/>
        <v>42</v>
      </c>
      <c r="K50" s="36">
        <f t="shared" si="9"/>
        <v>81597.600000000006</v>
      </c>
      <c r="L50" s="36">
        <f t="shared" si="8"/>
        <v>428387.4</v>
      </c>
      <c r="M50" s="31"/>
      <c r="N50" s="37"/>
      <c r="O50" s="37"/>
    </row>
    <row r="51" spans="1:15" s="21" customFormat="1" ht="18.75" x14ac:dyDescent="0.3">
      <c r="A51" s="37"/>
      <c r="B51" s="58">
        <v>46</v>
      </c>
      <c r="C51" s="50" t="s">
        <v>22</v>
      </c>
      <c r="D51" s="33">
        <v>450000</v>
      </c>
      <c r="E51" s="33">
        <v>59985</v>
      </c>
      <c r="F51" s="32">
        <f t="shared" si="6"/>
        <v>509985</v>
      </c>
      <c r="G51" s="34">
        <v>50</v>
      </c>
      <c r="H51" s="32">
        <v>10199.700000000001</v>
      </c>
      <c r="I51" s="50">
        <v>5</v>
      </c>
      <c r="J51" s="35">
        <f t="shared" si="7"/>
        <v>45</v>
      </c>
      <c r="K51" s="36">
        <f t="shared" si="9"/>
        <v>50998.5</v>
      </c>
      <c r="L51" s="36">
        <f t="shared" si="8"/>
        <v>458986.5</v>
      </c>
      <c r="M51" s="31"/>
      <c r="N51" s="37"/>
      <c r="O51" s="37"/>
    </row>
    <row r="52" spans="1:15" s="21" customFormat="1" ht="18.75" x14ac:dyDescent="0.3">
      <c r="A52" s="37"/>
      <c r="B52" s="58">
        <v>47</v>
      </c>
      <c r="C52" s="50" t="s">
        <v>29</v>
      </c>
      <c r="D52" s="33">
        <v>450000</v>
      </c>
      <c r="E52" s="33">
        <v>59985</v>
      </c>
      <c r="F52" s="32">
        <f t="shared" si="6"/>
        <v>509985</v>
      </c>
      <c r="G52" s="34">
        <v>50</v>
      </c>
      <c r="H52" s="32">
        <v>10199.700000000001</v>
      </c>
      <c r="I52" s="50">
        <v>2</v>
      </c>
      <c r="J52" s="35">
        <f t="shared" si="7"/>
        <v>48</v>
      </c>
      <c r="K52" s="36">
        <f t="shared" si="9"/>
        <v>20399.400000000001</v>
      </c>
      <c r="L52" s="36">
        <f t="shared" si="8"/>
        <v>489585.6</v>
      </c>
      <c r="M52" s="31"/>
      <c r="N52" s="37"/>
      <c r="O52" s="37"/>
    </row>
    <row r="53" spans="1:15" s="21" customFormat="1" ht="18.75" x14ac:dyDescent="0.3">
      <c r="A53" s="37"/>
      <c r="B53" s="58">
        <v>48</v>
      </c>
      <c r="C53" s="29" t="s">
        <v>35</v>
      </c>
      <c r="D53" s="33">
        <v>450000</v>
      </c>
      <c r="E53" s="33">
        <v>59985</v>
      </c>
      <c r="F53" s="32">
        <f t="shared" si="6"/>
        <v>509985</v>
      </c>
      <c r="G53" s="34">
        <v>50</v>
      </c>
      <c r="H53" s="32">
        <v>10199.700000000001</v>
      </c>
      <c r="I53" s="50">
        <v>3</v>
      </c>
      <c r="J53" s="35">
        <f t="shared" si="7"/>
        <v>47</v>
      </c>
      <c r="K53" s="36">
        <f t="shared" si="9"/>
        <v>30599.100000000002</v>
      </c>
      <c r="L53" s="36">
        <f t="shared" si="8"/>
        <v>479385.9</v>
      </c>
      <c r="M53" s="31"/>
      <c r="N53" s="37"/>
      <c r="O53" s="37"/>
    </row>
    <row r="54" spans="1:15" s="21" customFormat="1" ht="18.75" x14ac:dyDescent="0.3">
      <c r="A54" s="37"/>
      <c r="B54" s="58">
        <v>49</v>
      </c>
      <c r="C54" s="31" t="s">
        <v>85</v>
      </c>
      <c r="D54" s="33">
        <v>450000</v>
      </c>
      <c r="E54" s="33">
        <v>59985</v>
      </c>
      <c r="F54" s="32">
        <f t="shared" si="6"/>
        <v>509985</v>
      </c>
      <c r="G54" s="34">
        <v>50</v>
      </c>
      <c r="H54" s="32">
        <v>5264.36</v>
      </c>
      <c r="I54" s="31">
        <v>22</v>
      </c>
      <c r="J54" s="35">
        <f t="shared" si="7"/>
        <v>28</v>
      </c>
      <c r="K54" s="36">
        <f t="shared" ref="K54:K68" si="10">H54*I54</f>
        <v>115815.92</v>
      </c>
      <c r="L54" s="36">
        <f t="shared" si="8"/>
        <v>394169.08</v>
      </c>
      <c r="M54" s="31" t="s">
        <v>218</v>
      </c>
      <c r="N54" s="37"/>
      <c r="O54" s="37"/>
    </row>
    <row r="55" spans="1:15" s="21" customFormat="1" ht="18.75" x14ac:dyDescent="0.3">
      <c r="A55" s="37"/>
      <c r="B55" s="58">
        <v>50</v>
      </c>
      <c r="C55" s="31" t="s">
        <v>132</v>
      </c>
      <c r="D55" s="32">
        <v>330000</v>
      </c>
      <c r="E55" s="33">
        <v>21994.5</v>
      </c>
      <c r="F55" s="32">
        <f t="shared" si="6"/>
        <v>351994.5</v>
      </c>
      <c r="G55" s="34">
        <v>25</v>
      </c>
      <c r="H55" s="32">
        <v>14079.78</v>
      </c>
      <c r="I55" s="31">
        <v>24</v>
      </c>
      <c r="J55" s="35">
        <f t="shared" si="7"/>
        <v>1</v>
      </c>
      <c r="K55" s="36">
        <f t="shared" si="10"/>
        <v>337914.72000000003</v>
      </c>
      <c r="L55" s="32">
        <f t="shared" si="8"/>
        <v>14079.77999999997</v>
      </c>
      <c r="M55" s="31"/>
      <c r="N55" s="37"/>
      <c r="O55" s="37"/>
    </row>
    <row r="56" spans="1:15" s="21" customFormat="1" ht="18.75" x14ac:dyDescent="0.3">
      <c r="A56" s="37"/>
      <c r="B56" s="58">
        <v>51</v>
      </c>
      <c r="C56" s="31" t="s">
        <v>189</v>
      </c>
      <c r="D56" s="32">
        <v>330000</v>
      </c>
      <c r="E56" s="33">
        <v>43989</v>
      </c>
      <c r="F56" s="32">
        <f t="shared" si="6"/>
        <v>373989</v>
      </c>
      <c r="G56" s="34">
        <v>50</v>
      </c>
      <c r="H56" s="32">
        <v>7479.78</v>
      </c>
      <c r="I56" s="31">
        <v>39</v>
      </c>
      <c r="J56" s="35">
        <f t="shared" si="7"/>
        <v>11</v>
      </c>
      <c r="K56" s="33">
        <f t="shared" si="10"/>
        <v>291711.42</v>
      </c>
      <c r="L56" s="32">
        <f t="shared" si="8"/>
        <v>82277.580000000016</v>
      </c>
      <c r="M56" s="53"/>
      <c r="N56" s="37"/>
      <c r="O56" s="37"/>
    </row>
    <row r="57" spans="1:15" s="21" customFormat="1" ht="18.75" x14ac:dyDescent="0.3">
      <c r="A57" s="37"/>
      <c r="B57" s="58">
        <v>52</v>
      </c>
      <c r="C57" s="31" t="s">
        <v>79</v>
      </c>
      <c r="D57" s="32">
        <v>330000</v>
      </c>
      <c r="E57" s="33">
        <v>43989</v>
      </c>
      <c r="F57" s="32">
        <f t="shared" si="6"/>
        <v>373989</v>
      </c>
      <c r="G57" s="34">
        <v>50</v>
      </c>
      <c r="H57" s="32">
        <v>7479.78</v>
      </c>
      <c r="I57" s="31">
        <v>20</v>
      </c>
      <c r="J57" s="35">
        <f t="shared" si="7"/>
        <v>30</v>
      </c>
      <c r="K57" s="32">
        <f t="shared" si="10"/>
        <v>149595.6</v>
      </c>
      <c r="L57" s="36">
        <f t="shared" si="8"/>
        <v>224393.4</v>
      </c>
      <c r="M57" s="31"/>
      <c r="N57" s="37"/>
      <c r="O57" s="37"/>
    </row>
    <row r="58" spans="1:15" s="21" customFormat="1" ht="18.75" x14ac:dyDescent="0.3">
      <c r="A58" s="37"/>
      <c r="B58" s="58">
        <v>53</v>
      </c>
      <c r="C58" s="31" t="s">
        <v>83</v>
      </c>
      <c r="D58" s="32">
        <v>330000</v>
      </c>
      <c r="E58" s="33">
        <v>43989</v>
      </c>
      <c r="F58" s="32">
        <f t="shared" si="6"/>
        <v>373989</v>
      </c>
      <c r="G58" s="34">
        <v>50</v>
      </c>
      <c r="H58" s="32">
        <v>7479.78</v>
      </c>
      <c r="I58" s="31">
        <v>24</v>
      </c>
      <c r="J58" s="35">
        <f t="shared" si="7"/>
        <v>26</v>
      </c>
      <c r="K58" s="36">
        <f t="shared" si="10"/>
        <v>179514.72</v>
      </c>
      <c r="L58" s="36">
        <f t="shared" si="8"/>
        <v>194474.28</v>
      </c>
      <c r="M58" s="31"/>
      <c r="N58" s="37"/>
      <c r="O58" s="37"/>
    </row>
    <row r="59" spans="1:15" s="21" customFormat="1" ht="18.75" x14ac:dyDescent="0.3">
      <c r="A59" s="37"/>
      <c r="B59" s="58">
        <v>54</v>
      </c>
      <c r="C59" s="31" t="s">
        <v>95</v>
      </c>
      <c r="D59" s="32">
        <v>330000</v>
      </c>
      <c r="E59" s="33">
        <v>43989</v>
      </c>
      <c r="F59" s="32">
        <f t="shared" si="6"/>
        <v>373989</v>
      </c>
      <c r="G59" s="34">
        <v>50</v>
      </c>
      <c r="H59" s="32">
        <v>7479.78</v>
      </c>
      <c r="I59" s="31">
        <v>20</v>
      </c>
      <c r="J59" s="35">
        <f t="shared" si="7"/>
        <v>30</v>
      </c>
      <c r="K59" s="36">
        <f t="shared" si="10"/>
        <v>149595.6</v>
      </c>
      <c r="L59" s="32">
        <f t="shared" si="8"/>
        <v>224393.4</v>
      </c>
      <c r="M59" s="31"/>
      <c r="N59" s="37"/>
      <c r="O59" s="37"/>
    </row>
    <row r="60" spans="1:15" s="21" customFormat="1" ht="18.75" x14ac:dyDescent="0.3">
      <c r="A60" s="37"/>
      <c r="B60" s="58">
        <v>55</v>
      </c>
      <c r="C60" s="31" t="s">
        <v>96</v>
      </c>
      <c r="D60" s="32">
        <v>330000</v>
      </c>
      <c r="E60" s="33">
        <v>43989</v>
      </c>
      <c r="F60" s="32">
        <f t="shared" si="6"/>
        <v>373989</v>
      </c>
      <c r="G60" s="34">
        <v>50</v>
      </c>
      <c r="H60" s="36">
        <v>7479.78</v>
      </c>
      <c r="I60" s="31">
        <v>24</v>
      </c>
      <c r="J60" s="35">
        <f t="shared" si="7"/>
        <v>26</v>
      </c>
      <c r="K60" s="36">
        <f t="shared" si="10"/>
        <v>179514.72</v>
      </c>
      <c r="L60" s="36">
        <f t="shared" si="8"/>
        <v>194474.28</v>
      </c>
      <c r="M60" s="31"/>
      <c r="N60" s="37"/>
      <c r="O60" s="37"/>
    </row>
    <row r="61" spans="1:15" s="21" customFormat="1" ht="18.75" x14ac:dyDescent="0.3">
      <c r="A61" s="37"/>
      <c r="B61" s="58">
        <v>56</v>
      </c>
      <c r="C61" s="31" t="s">
        <v>109</v>
      </c>
      <c r="D61" s="32">
        <v>330000</v>
      </c>
      <c r="E61" s="33">
        <v>43989</v>
      </c>
      <c r="F61" s="32">
        <f t="shared" si="6"/>
        <v>373989</v>
      </c>
      <c r="G61" s="34">
        <v>50</v>
      </c>
      <c r="H61" s="32">
        <v>7479.78</v>
      </c>
      <c r="I61" s="31">
        <v>48</v>
      </c>
      <c r="J61" s="35">
        <f t="shared" si="7"/>
        <v>2</v>
      </c>
      <c r="K61" s="36">
        <f t="shared" si="10"/>
        <v>359029.44</v>
      </c>
      <c r="L61" s="32">
        <f t="shared" si="8"/>
        <v>14959.559999999998</v>
      </c>
      <c r="M61" s="31"/>
      <c r="N61" s="37"/>
      <c r="O61" s="37"/>
    </row>
    <row r="62" spans="1:15" s="21" customFormat="1" ht="18.75" x14ac:dyDescent="0.3">
      <c r="A62" s="37"/>
      <c r="B62" s="58">
        <v>57</v>
      </c>
      <c r="C62" s="31" t="s">
        <v>112</v>
      </c>
      <c r="D62" s="32">
        <v>330000</v>
      </c>
      <c r="E62" s="33">
        <v>43989</v>
      </c>
      <c r="F62" s="32">
        <f t="shared" si="6"/>
        <v>373989</v>
      </c>
      <c r="G62" s="34">
        <v>50</v>
      </c>
      <c r="H62" s="36">
        <v>7479.78</v>
      </c>
      <c r="I62" s="31">
        <v>24</v>
      </c>
      <c r="J62" s="35">
        <f t="shared" si="7"/>
        <v>26</v>
      </c>
      <c r="K62" s="36">
        <f t="shared" si="10"/>
        <v>179514.72</v>
      </c>
      <c r="L62" s="36">
        <f t="shared" si="8"/>
        <v>194474.28</v>
      </c>
      <c r="M62" s="31"/>
      <c r="N62" s="37"/>
      <c r="O62" s="37"/>
    </row>
    <row r="63" spans="1:15" s="21" customFormat="1" ht="18.75" x14ac:dyDescent="0.3">
      <c r="A63" s="37"/>
      <c r="B63" s="58">
        <v>58</v>
      </c>
      <c r="C63" s="31" t="s">
        <v>220</v>
      </c>
      <c r="D63" s="32">
        <v>330000</v>
      </c>
      <c r="E63" s="33">
        <v>43989</v>
      </c>
      <c r="F63" s="32">
        <f t="shared" si="6"/>
        <v>373989</v>
      </c>
      <c r="G63" s="34">
        <v>50</v>
      </c>
      <c r="H63" s="32">
        <v>7479.78</v>
      </c>
      <c r="I63" s="31">
        <v>24</v>
      </c>
      <c r="J63" s="35">
        <f t="shared" si="7"/>
        <v>26</v>
      </c>
      <c r="K63" s="36">
        <f t="shared" si="10"/>
        <v>179514.72</v>
      </c>
      <c r="L63" s="32">
        <f t="shared" si="8"/>
        <v>194474.28</v>
      </c>
      <c r="M63" s="31"/>
      <c r="N63" s="37"/>
      <c r="O63" s="37"/>
    </row>
    <row r="64" spans="1:15" s="21" customFormat="1" ht="18.75" x14ac:dyDescent="0.3">
      <c r="A64" s="37"/>
      <c r="B64" s="58">
        <v>59</v>
      </c>
      <c r="C64" s="31" t="s">
        <v>119</v>
      </c>
      <c r="D64" s="32">
        <v>330000</v>
      </c>
      <c r="E64" s="33">
        <v>43989</v>
      </c>
      <c r="F64" s="32">
        <f t="shared" si="6"/>
        <v>373989</v>
      </c>
      <c r="G64" s="34">
        <v>50</v>
      </c>
      <c r="H64" s="32">
        <v>7479.78</v>
      </c>
      <c r="I64" s="31">
        <v>48</v>
      </c>
      <c r="J64" s="35">
        <f t="shared" si="7"/>
        <v>2</v>
      </c>
      <c r="K64" s="36">
        <f t="shared" si="10"/>
        <v>359029.44</v>
      </c>
      <c r="L64" s="32">
        <f t="shared" si="8"/>
        <v>14959.559999999998</v>
      </c>
      <c r="M64" s="31"/>
      <c r="N64" s="37"/>
      <c r="O64" s="37"/>
    </row>
    <row r="65" spans="1:15" s="21" customFormat="1" ht="18.75" x14ac:dyDescent="0.3">
      <c r="A65" s="37"/>
      <c r="B65" s="58">
        <v>60</v>
      </c>
      <c r="C65" s="31" t="s">
        <v>135</v>
      </c>
      <c r="D65" s="32">
        <v>330000</v>
      </c>
      <c r="E65" s="33">
        <v>43989</v>
      </c>
      <c r="F65" s="32">
        <f t="shared" si="6"/>
        <v>373989</v>
      </c>
      <c r="G65" s="34">
        <v>50</v>
      </c>
      <c r="H65" s="32">
        <v>7479.78</v>
      </c>
      <c r="I65" s="31">
        <v>45</v>
      </c>
      <c r="J65" s="35">
        <f t="shared" si="7"/>
        <v>5</v>
      </c>
      <c r="K65" s="36">
        <f t="shared" si="10"/>
        <v>336590.1</v>
      </c>
      <c r="L65" s="32">
        <f t="shared" si="8"/>
        <v>37398.900000000023</v>
      </c>
      <c r="M65" s="31"/>
      <c r="N65" s="37"/>
      <c r="O65" s="37"/>
    </row>
    <row r="66" spans="1:15" s="21" customFormat="1" ht="18.75" x14ac:dyDescent="0.3">
      <c r="A66" s="37"/>
      <c r="B66" s="58">
        <v>61</v>
      </c>
      <c r="C66" s="31" t="s">
        <v>140</v>
      </c>
      <c r="D66" s="32">
        <v>330000</v>
      </c>
      <c r="E66" s="33">
        <v>43989</v>
      </c>
      <c r="F66" s="32">
        <f t="shared" si="6"/>
        <v>373989</v>
      </c>
      <c r="G66" s="34">
        <v>50</v>
      </c>
      <c r="H66" s="36">
        <v>7479.78</v>
      </c>
      <c r="I66" s="31">
        <v>24</v>
      </c>
      <c r="J66" s="35">
        <f t="shared" si="7"/>
        <v>26</v>
      </c>
      <c r="K66" s="36">
        <f t="shared" si="10"/>
        <v>179514.72</v>
      </c>
      <c r="L66" s="36">
        <f t="shared" si="8"/>
        <v>194474.28</v>
      </c>
      <c r="M66" s="31"/>
      <c r="N66" s="37"/>
      <c r="O66" s="37"/>
    </row>
    <row r="67" spans="1:15" s="21" customFormat="1" ht="18.75" x14ac:dyDescent="0.3">
      <c r="A67" s="37"/>
      <c r="B67" s="58">
        <v>62</v>
      </c>
      <c r="C67" s="31" t="s">
        <v>141</v>
      </c>
      <c r="D67" s="32">
        <v>330000</v>
      </c>
      <c r="E67" s="33">
        <v>43989</v>
      </c>
      <c r="F67" s="32">
        <f t="shared" si="6"/>
        <v>373989</v>
      </c>
      <c r="G67" s="34">
        <v>50</v>
      </c>
      <c r="H67" s="36">
        <v>7479.78</v>
      </c>
      <c r="I67" s="31">
        <v>48</v>
      </c>
      <c r="J67" s="35">
        <f t="shared" si="7"/>
        <v>2</v>
      </c>
      <c r="K67" s="31">
        <f t="shared" si="10"/>
        <v>359029.44</v>
      </c>
      <c r="L67" s="36">
        <f t="shared" si="8"/>
        <v>14959.559999999998</v>
      </c>
      <c r="M67" s="31"/>
      <c r="N67" s="37"/>
      <c r="O67" s="37"/>
    </row>
    <row r="68" spans="1:15" s="21" customFormat="1" ht="18.75" x14ac:dyDescent="0.3">
      <c r="A68" s="37"/>
      <c r="B68" s="58">
        <v>63</v>
      </c>
      <c r="C68" s="31" t="s">
        <v>175</v>
      </c>
      <c r="D68" s="32">
        <v>330000</v>
      </c>
      <c r="E68" s="33">
        <v>43989</v>
      </c>
      <c r="F68" s="32">
        <f t="shared" si="6"/>
        <v>373989</v>
      </c>
      <c r="G68" s="34">
        <v>50</v>
      </c>
      <c r="H68" s="36">
        <v>7479.78</v>
      </c>
      <c r="I68" s="31">
        <v>19</v>
      </c>
      <c r="J68" s="35">
        <f t="shared" si="7"/>
        <v>31</v>
      </c>
      <c r="K68" s="36">
        <f t="shared" si="10"/>
        <v>142115.82</v>
      </c>
      <c r="L68" s="36">
        <f t="shared" si="8"/>
        <v>231873.18</v>
      </c>
      <c r="M68" s="31"/>
      <c r="N68" s="37"/>
      <c r="O68" s="37"/>
    </row>
    <row r="69" spans="1:15" s="21" customFormat="1" ht="18.75" x14ac:dyDescent="0.3">
      <c r="A69" s="37"/>
      <c r="B69" s="58">
        <v>64</v>
      </c>
      <c r="C69" s="50" t="s">
        <v>150</v>
      </c>
      <c r="D69" s="33">
        <v>330000</v>
      </c>
      <c r="E69" s="33">
        <v>43989</v>
      </c>
      <c r="F69" s="32">
        <f t="shared" si="6"/>
        <v>373989</v>
      </c>
      <c r="G69" s="34">
        <v>50</v>
      </c>
      <c r="H69" s="32">
        <v>7479.78</v>
      </c>
      <c r="I69" s="50">
        <v>13</v>
      </c>
      <c r="J69" s="35">
        <f t="shared" si="7"/>
        <v>37</v>
      </c>
      <c r="K69" s="36">
        <f t="shared" ref="K69:K86" si="11">I69*H69</f>
        <v>97237.14</v>
      </c>
      <c r="L69" s="36">
        <f t="shared" si="8"/>
        <v>276751.86</v>
      </c>
      <c r="M69" s="31"/>
      <c r="N69" s="37"/>
      <c r="O69" s="37"/>
    </row>
    <row r="70" spans="1:15" s="21" customFormat="1" ht="18.75" x14ac:dyDescent="0.3">
      <c r="A70" s="37"/>
      <c r="B70" s="58">
        <v>65</v>
      </c>
      <c r="C70" s="50" t="s">
        <v>209</v>
      </c>
      <c r="D70" s="33">
        <v>330000</v>
      </c>
      <c r="E70" s="33">
        <v>43989</v>
      </c>
      <c r="F70" s="32">
        <f t="shared" ref="F70:F85" si="12">D70+E70</f>
        <v>373989</v>
      </c>
      <c r="G70" s="34">
        <v>50</v>
      </c>
      <c r="H70" s="32">
        <v>7479.78</v>
      </c>
      <c r="I70" s="50">
        <v>10</v>
      </c>
      <c r="J70" s="35">
        <f t="shared" ref="J70:J101" si="13">G70-I70</f>
        <v>40</v>
      </c>
      <c r="K70" s="36">
        <f t="shared" si="11"/>
        <v>74797.8</v>
      </c>
      <c r="L70" s="36">
        <f t="shared" ref="L70:L101" si="14">F70-K70</f>
        <v>299191.2</v>
      </c>
      <c r="M70" s="31"/>
      <c r="N70" s="37"/>
      <c r="O70" s="37"/>
    </row>
    <row r="71" spans="1:15" s="21" customFormat="1" ht="18.75" x14ac:dyDescent="0.3">
      <c r="A71" s="37"/>
      <c r="B71" s="58">
        <v>66</v>
      </c>
      <c r="C71" s="50" t="s">
        <v>210</v>
      </c>
      <c r="D71" s="33">
        <v>330000</v>
      </c>
      <c r="E71" s="33">
        <v>43989</v>
      </c>
      <c r="F71" s="32">
        <f t="shared" si="12"/>
        <v>373989</v>
      </c>
      <c r="G71" s="34">
        <v>50</v>
      </c>
      <c r="H71" s="32">
        <v>7479.78</v>
      </c>
      <c r="I71" s="50">
        <v>10</v>
      </c>
      <c r="J71" s="35">
        <f t="shared" si="13"/>
        <v>40</v>
      </c>
      <c r="K71" s="36">
        <f t="shared" si="11"/>
        <v>74797.8</v>
      </c>
      <c r="L71" s="36">
        <f t="shared" si="14"/>
        <v>299191.2</v>
      </c>
      <c r="M71" s="31"/>
      <c r="N71" s="37"/>
      <c r="O71" s="37"/>
    </row>
    <row r="72" spans="1:15" s="21" customFormat="1" ht="18.75" x14ac:dyDescent="0.3">
      <c r="A72" s="37"/>
      <c r="B72" s="58">
        <v>67</v>
      </c>
      <c r="C72" s="50" t="s">
        <v>211</v>
      </c>
      <c r="D72" s="33">
        <v>330000</v>
      </c>
      <c r="E72" s="33">
        <v>43989</v>
      </c>
      <c r="F72" s="32">
        <f t="shared" si="12"/>
        <v>373989</v>
      </c>
      <c r="G72" s="34">
        <v>50</v>
      </c>
      <c r="H72" s="32">
        <v>7479.78</v>
      </c>
      <c r="I72" s="50">
        <v>10</v>
      </c>
      <c r="J72" s="35">
        <f t="shared" si="13"/>
        <v>40</v>
      </c>
      <c r="K72" s="36">
        <f t="shared" si="11"/>
        <v>74797.8</v>
      </c>
      <c r="L72" s="36">
        <f t="shared" si="14"/>
        <v>299191.2</v>
      </c>
      <c r="M72" s="31"/>
      <c r="N72" s="37"/>
      <c r="O72" s="37"/>
    </row>
    <row r="73" spans="1:15" s="21" customFormat="1" ht="18.75" x14ac:dyDescent="0.3">
      <c r="A73" s="37"/>
      <c r="B73" s="58">
        <v>68</v>
      </c>
      <c r="C73" s="50" t="s">
        <v>212</v>
      </c>
      <c r="D73" s="33">
        <v>330000</v>
      </c>
      <c r="E73" s="33">
        <v>43989</v>
      </c>
      <c r="F73" s="32">
        <f t="shared" si="12"/>
        <v>373989</v>
      </c>
      <c r="G73" s="34">
        <v>50</v>
      </c>
      <c r="H73" s="32">
        <v>7479.78</v>
      </c>
      <c r="I73" s="50">
        <v>9</v>
      </c>
      <c r="J73" s="35">
        <f t="shared" si="13"/>
        <v>41</v>
      </c>
      <c r="K73" s="36">
        <f t="shared" si="11"/>
        <v>67318.02</v>
      </c>
      <c r="L73" s="36">
        <f t="shared" si="14"/>
        <v>306670.98</v>
      </c>
      <c r="M73" s="31"/>
      <c r="N73" s="37"/>
      <c r="O73" s="37"/>
    </row>
    <row r="74" spans="1:15" s="21" customFormat="1" ht="18.75" x14ac:dyDescent="0.3">
      <c r="A74" s="37"/>
      <c r="B74" s="58">
        <v>69</v>
      </c>
      <c r="C74" s="50" t="s">
        <v>13</v>
      </c>
      <c r="D74" s="33">
        <v>330000</v>
      </c>
      <c r="E74" s="33">
        <v>43989</v>
      </c>
      <c r="F74" s="32">
        <f t="shared" si="12"/>
        <v>373989</v>
      </c>
      <c r="G74" s="34">
        <v>50</v>
      </c>
      <c r="H74" s="32">
        <v>7479.78</v>
      </c>
      <c r="I74" s="50">
        <v>10</v>
      </c>
      <c r="J74" s="35">
        <f t="shared" si="13"/>
        <v>40</v>
      </c>
      <c r="K74" s="36">
        <f t="shared" si="11"/>
        <v>74797.8</v>
      </c>
      <c r="L74" s="36">
        <f t="shared" si="14"/>
        <v>299191.2</v>
      </c>
      <c r="M74" s="31"/>
      <c r="N74" s="37"/>
      <c r="O74" s="37"/>
    </row>
    <row r="75" spans="1:15" s="21" customFormat="1" ht="18.75" x14ac:dyDescent="0.3">
      <c r="A75" s="37"/>
      <c r="B75" s="58">
        <v>70</v>
      </c>
      <c r="C75" s="50" t="s">
        <v>215</v>
      </c>
      <c r="D75" s="32">
        <v>330000</v>
      </c>
      <c r="E75" s="33">
        <v>43989</v>
      </c>
      <c r="F75" s="32">
        <f t="shared" si="12"/>
        <v>373989</v>
      </c>
      <c r="G75" s="34">
        <v>50</v>
      </c>
      <c r="H75" s="36">
        <v>7479.78</v>
      </c>
      <c r="I75" s="50">
        <v>5</v>
      </c>
      <c r="J75" s="35">
        <f t="shared" si="13"/>
        <v>45</v>
      </c>
      <c r="K75" s="36">
        <f t="shared" si="11"/>
        <v>37398.9</v>
      </c>
      <c r="L75" s="36">
        <f t="shared" si="14"/>
        <v>336590.1</v>
      </c>
      <c r="M75" s="31"/>
      <c r="N75" s="37"/>
      <c r="O75" s="37"/>
    </row>
    <row r="76" spans="1:15" s="21" customFormat="1" ht="18.75" x14ac:dyDescent="0.3">
      <c r="A76" s="37"/>
      <c r="B76" s="58">
        <v>71</v>
      </c>
      <c r="C76" s="50" t="s">
        <v>25</v>
      </c>
      <c r="D76" s="32">
        <v>330000</v>
      </c>
      <c r="E76" s="33">
        <v>43989</v>
      </c>
      <c r="F76" s="32">
        <f t="shared" si="12"/>
        <v>373989</v>
      </c>
      <c r="G76" s="34">
        <v>50</v>
      </c>
      <c r="H76" s="36">
        <v>7479.78</v>
      </c>
      <c r="I76" s="50">
        <v>3</v>
      </c>
      <c r="J76" s="35">
        <f t="shared" si="13"/>
        <v>47</v>
      </c>
      <c r="K76" s="36">
        <f t="shared" si="11"/>
        <v>22439.34</v>
      </c>
      <c r="L76" s="36">
        <f t="shared" si="14"/>
        <v>351549.66</v>
      </c>
      <c r="M76" s="31"/>
      <c r="N76" s="37"/>
      <c r="O76" s="37"/>
    </row>
    <row r="77" spans="1:15" s="21" customFormat="1" ht="18.75" x14ac:dyDescent="0.3">
      <c r="A77" s="37"/>
      <c r="B77" s="58">
        <v>72</v>
      </c>
      <c r="C77" s="50" t="s">
        <v>26</v>
      </c>
      <c r="D77" s="32">
        <v>330000</v>
      </c>
      <c r="E77" s="33">
        <v>43989</v>
      </c>
      <c r="F77" s="32">
        <f t="shared" si="12"/>
        <v>373989</v>
      </c>
      <c r="G77" s="34">
        <v>50</v>
      </c>
      <c r="H77" s="36">
        <v>7479.78</v>
      </c>
      <c r="I77" s="50">
        <v>3</v>
      </c>
      <c r="J77" s="35">
        <f t="shared" si="13"/>
        <v>47</v>
      </c>
      <c r="K77" s="36">
        <f t="shared" si="11"/>
        <v>22439.34</v>
      </c>
      <c r="L77" s="36">
        <f t="shared" si="14"/>
        <v>351549.66</v>
      </c>
      <c r="M77" s="31"/>
      <c r="N77" s="37"/>
      <c r="O77" s="37"/>
    </row>
    <row r="78" spans="1:15" s="21" customFormat="1" ht="18.75" x14ac:dyDescent="0.3">
      <c r="A78" s="37"/>
      <c r="B78" s="58">
        <v>73</v>
      </c>
      <c r="C78" s="50" t="s">
        <v>30</v>
      </c>
      <c r="D78" s="32">
        <v>330000</v>
      </c>
      <c r="E78" s="33">
        <v>43989</v>
      </c>
      <c r="F78" s="32">
        <f t="shared" si="12"/>
        <v>373989</v>
      </c>
      <c r="G78" s="34">
        <v>50</v>
      </c>
      <c r="H78" s="36">
        <v>7479.78</v>
      </c>
      <c r="I78" s="50">
        <v>2</v>
      </c>
      <c r="J78" s="35">
        <f t="shared" si="13"/>
        <v>48</v>
      </c>
      <c r="K78" s="36">
        <f t="shared" si="11"/>
        <v>14959.56</v>
      </c>
      <c r="L78" s="36">
        <f t="shared" si="14"/>
        <v>359029.44</v>
      </c>
      <c r="M78" s="31"/>
      <c r="N78" s="37"/>
      <c r="O78" s="37"/>
    </row>
    <row r="79" spans="1:15" s="21" customFormat="1" ht="18.75" x14ac:dyDescent="0.3">
      <c r="A79" s="37"/>
      <c r="B79" s="58">
        <v>74</v>
      </c>
      <c r="C79" s="93" t="s">
        <v>36</v>
      </c>
      <c r="D79" s="32">
        <v>330000</v>
      </c>
      <c r="E79" s="33">
        <v>43989</v>
      </c>
      <c r="F79" s="32">
        <f t="shared" si="12"/>
        <v>373989</v>
      </c>
      <c r="G79" s="34">
        <v>50</v>
      </c>
      <c r="H79" s="36">
        <v>7479.78</v>
      </c>
      <c r="I79" s="50">
        <v>2</v>
      </c>
      <c r="J79" s="35">
        <f t="shared" si="13"/>
        <v>48</v>
      </c>
      <c r="K79" s="36">
        <f t="shared" si="11"/>
        <v>14959.56</v>
      </c>
      <c r="L79" s="36">
        <f t="shared" si="14"/>
        <v>359029.44</v>
      </c>
      <c r="M79" s="31"/>
      <c r="N79" s="37"/>
      <c r="O79" s="37"/>
    </row>
    <row r="80" spans="1:15" s="21" customFormat="1" ht="18.75" x14ac:dyDescent="0.3">
      <c r="A80" s="37"/>
      <c r="B80" s="58">
        <v>75</v>
      </c>
      <c r="C80" s="29" t="s">
        <v>37</v>
      </c>
      <c r="D80" s="32">
        <v>330000</v>
      </c>
      <c r="E80" s="33">
        <v>43989</v>
      </c>
      <c r="F80" s="32">
        <f t="shared" si="12"/>
        <v>373989</v>
      </c>
      <c r="G80" s="34">
        <v>50</v>
      </c>
      <c r="H80" s="36">
        <v>7479.78</v>
      </c>
      <c r="I80" s="50">
        <v>3</v>
      </c>
      <c r="J80" s="35">
        <f t="shared" si="13"/>
        <v>47</v>
      </c>
      <c r="K80" s="36">
        <f t="shared" si="11"/>
        <v>22439.34</v>
      </c>
      <c r="L80" s="36">
        <f t="shared" si="14"/>
        <v>351549.66</v>
      </c>
      <c r="M80" s="31"/>
      <c r="N80" s="37"/>
      <c r="O80" s="37"/>
    </row>
    <row r="81" spans="1:15" s="21" customFormat="1" ht="18.75" x14ac:dyDescent="0.3">
      <c r="A81" s="37"/>
      <c r="B81" s="58">
        <v>76</v>
      </c>
      <c r="C81" s="29" t="s">
        <v>40</v>
      </c>
      <c r="D81" s="32">
        <v>330000</v>
      </c>
      <c r="E81" s="33">
        <v>43989</v>
      </c>
      <c r="F81" s="32">
        <f t="shared" si="12"/>
        <v>373989</v>
      </c>
      <c r="G81" s="34">
        <v>50</v>
      </c>
      <c r="H81" s="36">
        <v>7479.78</v>
      </c>
      <c r="I81" s="50">
        <v>25</v>
      </c>
      <c r="J81" s="35">
        <f t="shared" si="13"/>
        <v>25</v>
      </c>
      <c r="K81" s="36">
        <f t="shared" si="11"/>
        <v>186994.5</v>
      </c>
      <c r="L81" s="36">
        <f t="shared" si="14"/>
        <v>186994.5</v>
      </c>
      <c r="M81" s="31" t="s">
        <v>42</v>
      </c>
      <c r="N81" s="37"/>
      <c r="O81" s="37"/>
    </row>
    <row r="82" spans="1:15" s="21" customFormat="1" ht="18.75" x14ac:dyDescent="0.3">
      <c r="A82" s="37"/>
      <c r="B82" s="58">
        <v>77</v>
      </c>
      <c r="C82" s="29" t="s">
        <v>173</v>
      </c>
      <c r="D82" s="32">
        <v>330000</v>
      </c>
      <c r="E82" s="33">
        <v>43989</v>
      </c>
      <c r="F82" s="32">
        <f t="shared" si="12"/>
        <v>373989</v>
      </c>
      <c r="G82" s="34">
        <v>50</v>
      </c>
      <c r="H82" s="32">
        <v>7479.78</v>
      </c>
      <c r="I82" s="50">
        <v>14</v>
      </c>
      <c r="J82" s="35">
        <f t="shared" si="13"/>
        <v>36</v>
      </c>
      <c r="K82" s="36">
        <f t="shared" si="11"/>
        <v>104716.92</v>
      </c>
      <c r="L82" s="36">
        <f t="shared" si="14"/>
        <v>269272.08</v>
      </c>
      <c r="M82" s="31" t="s">
        <v>221</v>
      </c>
      <c r="N82" s="37"/>
      <c r="O82" s="37"/>
    </row>
    <row r="83" spans="1:15" s="21" customFormat="1" ht="18.75" x14ac:dyDescent="0.3">
      <c r="A83" s="37"/>
      <c r="B83" s="58">
        <v>78</v>
      </c>
      <c r="C83" s="29" t="s">
        <v>182</v>
      </c>
      <c r="D83" s="32">
        <v>330000</v>
      </c>
      <c r="E83" s="33">
        <v>43989</v>
      </c>
      <c r="F83" s="32">
        <f t="shared" si="12"/>
        <v>373989</v>
      </c>
      <c r="G83" s="34">
        <v>50</v>
      </c>
      <c r="H83" s="32">
        <v>7479.78</v>
      </c>
      <c r="I83" s="50">
        <v>48</v>
      </c>
      <c r="J83" s="35">
        <f t="shared" si="13"/>
        <v>2</v>
      </c>
      <c r="K83" s="36">
        <f t="shared" si="11"/>
        <v>359029.44</v>
      </c>
      <c r="L83" s="36">
        <f t="shared" si="14"/>
        <v>14959.559999999998</v>
      </c>
      <c r="M83" s="31" t="s">
        <v>221</v>
      </c>
      <c r="N83" s="37"/>
      <c r="O83" s="37"/>
    </row>
    <row r="84" spans="1:15" s="21" customFormat="1" ht="18.75" x14ac:dyDescent="0.3">
      <c r="A84" s="37"/>
      <c r="B84" s="58">
        <v>79</v>
      </c>
      <c r="C84" s="50" t="s">
        <v>18</v>
      </c>
      <c r="D84" s="32">
        <v>330000</v>
      </c>
      <c r="E84" s="33">
        <v>43989</v>
      </c>
      <c r="F84" s="32">
        <f t="shared" si="12"/>
        <v>373989</v>
      </c>
      <c r="G84" s="34">
        <v>50</v>
      </c>
      <c r="H84" s="36">
        <v>7479.74</v>
      </c>
      <c r="I84" s="50">
        <v>8</v>
      </c>
      <c r="J84" s="35">
        <f t="shared" si="13"/>
        <v>42</v>
      </c>
      <c r="K84" s="36">
        <f t="shared" si="11"/>
        <v>59837.919999999998</v>
      </c>
      <c r="L84" s="36">
        <f t="shared" si="14"/>
        <v>314151.08</v>
      </c>
      <c r="M84" s="31"/>
      <c r="N84" s="37"/>
      <c r="O84" s="37"/>
    </row>
    <row r="85" spans="1:15" s="21" customFormat="1" ht="18.75" x14ac:dyDescent="0.3">
      <c r="A85" s="37"/>
      <c r="B85" s="58">
        <v>80</v>
      </c>
      <c r="C85" s="50" t="s">
        <v>19</v>
      </c>
      <c r="D85" s="32">
        <v>330000</v>
      </c>
      <c r="E85" s="33">
        <v>43989</v>
      </c>
      <c r="F85" s="32">
        <f t="shared" si="12"/>
        <v>373989</v>
      </c>
      <c r="G85" s="34">
        <v>50</v>
      </c>
      <c r="H85" s="36">
        <v>7479.74</v>
      </c>
      <c r="I85" s="50">
        <v>8</v>
      </c>
      <c r="J85" s="35">
        <f t="shared" si="13"/>
        <v>42</v>
      </c>
      <c r="K85" s="36">
        <f t="shared" si="11"/>
        <v>59837.919999999998</v>
      </c>
      <c r="L85" s="36">
        <f t="shared" si="14"/>
        <v>314151.08</v>
      </c>
      <c r="M85" s="31"/>
      <c r="N85" s="37"/>
      <c r="O85" s="37"/>
    </row>
    <row r="86" spans="1:15" s="21" customFormat="1" ht="18.75" x14ac:dyDescent="0.3">
      <c r="A86" s="37"/>
      <c r="B86" s="58">
        <v>81</v>
      </c>
      <c r="C86" s="50" t="s">
        <v>149</v>
      </c>
      <c r="D86" s="33">
        <v>330000</v>
      </c>
      <c r="E86" s="33">
        <v>43989</v>
      </c>
      <c r="F86" s="32">
        <v>373989</v>
      </c>
      <c r="G86" s="34">
        <v>50</v>
      </c>
      <c r="H86" s="32">
        <v>7478.78</v>
      </c>
      <c r="I86" s="50">
        <v>13</v>
      </c>
      <c r="J86" s="35">
        <f t="shared" si="13"/>
        <v>37</v>
      </c>
      <c r="K86" s="36">
        <f t="shared" si="11"/>
        <v>97224.14</v>
      </c>
      <c r="L86" s="36">
        <f t="shared" si="14"/>
        <v>276764.86</v>
      </c>
      <c r="M86" s="31"/>
      <c r="N86" s="37"/>
      <c r="O86" s="37"/>
    </row>
    <row r="87" spans="1:15" s="21" customFormat="1" ht="18.75" x14ac:dyDescent="0.3">
      <c r="A87" s="37"/>
      <c r="B87" s="58">
        <v>82</v>
      </c>
      <c r="C87" s="31" t="s">
        <v>219</v>
      </c>
      <c r="D87" s="33">
        <v>200000</v>
      </c>
      <c r="E87" s="33">
        <v>26660</v>
      </c>
      <c r="F87" s="32">
        <f t="shared" ref="F87:F118" si="15">D87+E87</f>
        <v>226660</v>
      </c>
      <c r="G87" s="34">
        <v>20</v>
      </c>
      <c r="H87" s="32">
        <v>11333</v>
      </c>
      <c r="I87" s="31">
        <v>19</v>
      </c>
      <c r="J87" s="35">
        <f t="shared" si="13"/>
        <v>1</v>
      </c>
      <c r="K87" s="36">
        <f>H87*I87</f>
        <v>215327</v>
      </c>
      <c r="L87" s="32">
        <f t="shared" si="14"/>
        <v>11333</v>
      </c>
      <c r="M87" s="31"/>
      <c r="N87" s="37"/>
      <c r="O87" s="37"/>
    </row>
    <row r="88" spans="1:15" s="21" customFormat="1" ht="18.75" x14ac:dyDescent="0.3">
      <c r="A88" s="37"/>
      <c r="B88" s="58">
        <v>83</v>
      </c>
      <c r="C88" s="29" t="s">
        <v>174</v>
      </c>
      <c r="D88" s="33">
        <v>200000</v>
      </c>
      <c r="E88" s="33">
        <v>26660</v>
      </c>
      <c r="F88" s="32">
        <f t="shared" si="15"/>
        <v>226660</v>
      </c>
      <c r="G88" s="34">
        <v>40</v>
      </c>
      <c r="H88" s="32">
        <v>5666.5</v>
      </c>
      <c r="I88" s="50">
        <v>34</v>
      </c>
      <c r="J88" s="35">
        <f t="shared" si="13"/>
        <v>6</v>
      </c>
      <c r="K88" s="36">
        <f>I88*H88</f>
        <v>192661</v>
      </c>
      <c r="L88" s="36">
        <f t="shared" si="14"/>
        <v>33999</v>
      </c>
      <c r="M88" s="31" t="s">
        <v>221</v>
      </c>
      <c r="N88" s="37"/>
      <c r="O88" s="37"/>
    </row>
    <row r="89" spans="1:15" s="21" customFormat="1" ht="18.75" x14ac:dyDescent="0.3">
      <c r="A89" s="37"/>
      <c r="B89" s="58">
        <v>84</v>
      </c>
      <c r="C89" s="31" t="s">
        <v>73</v>
      </c>
      <c r="D89" s="33">
        <v>150000</v>
      </c>
      <c r="E89" s="33">
        <v>19995</v>
      </c>
      <c r="F89" s="32">
        <f t="shared" si="15"/>
        <v>169995</v>
      </c>
      <c r="G89" s="34">
        <v>50</v>
      </c>
      <c r="H89" s="32">
        <v>3399.9</v>
      </c>
      <c r="I89" s="52">
        <v>24</v>
      </c>
      <c r="J89" s="35">
        <f t="shared" si="13"/>
        <v>26</v>
      </c>
      <c r="K89" s="32">
        <f>H89*I89</f>
        <v>81597.600000000006</v>
      </c>
      <c r="L89" s="33">
        <f t="shared" si="14"/>
        <v>88397.4</v>
      </c>
      <c r="M89" s="31"/>
      <c r="N89" s="37"/>
      <c r="O89" s="37"/>
    </row>
    <row r="90" spans="1:15" s="21" customFormat="1" ht="18.75" x14ac:dyDescent="0.3">
      <c r="A90" s="37"/>
      <c r="B90" s="58">
        <v>85</v>
      </c>
      <c r="C90" s="31" t="s">
        <v>75</v>
      </c>
      <c r="D90" s="33">
        <v>150000</v>
      </c>
      <c r="E90" s="33">
        <v>19995</v>
      </c>
      <c r="F90" s="32">
        <f t="shared" si="15"/>
        <v>169995</v>
      </c>
      <c r="G90" s="34">
        <v>50</v>
      </c>
      <c r="H90" s="32">
        <v>3399.9</v>
      </c>
      <c r="I90" s="52">
        <v>48</v>
      </c>
      <c r="J90" s="35">
        <f t="shared" si="13"/>
        <v>2</v>
      </c>
      <c r="K90" s="32">
        <f>I90*H90</f>
        <v>163195.20000000001</v>
      </c>
      <c r="L90" s="33">
        <f t="shared" si="14"/>
        <v>6799.7999999999884</v>
      </c>
      <c r="M90" s="31"/>
      <c r="N90" s="37"/>
      <c r="O90" s="37"/>
    </row>
    <row r="91" spans="1:15" s="21" customFormat="1" ht="18.75" x14ac:dyDescent="0.3">
      <c r="A91" s="37"/>
      <c r="B91" s="58">
        <v>86</v>
      </c>
      <c r="C91" s="31" t="s">
        <v>76</v>
      </c>
      <c r="D91" s="33">
        <v>150000</v>
      </c>
      <c r="E91" s="33">
        <v>19995</v>
      </c>
      <c r="F91" s="32">
        <f t="shared" si="15"/>
        <v>169995</v>
      </c>
      <c r="G91" s="34">
        <v>50</v>
      </c>
      <c r="H91" s="32">
        <v>3399.9</v>
      </c>
      <c r="I91" s="52">
        <v>24</v>
      </c>
      <c r="J91" s="35">
        <f t="shared" si="13"/>
        <v>26</v>
      </c>
      <c r="K91" s="32">
        <f>H91*I91</f>
        <v>81597.600000000006</v>
      </c>
      <c r="L91" s="32">
        <f t="shared" si="14"/>
        <v>88397.4</v>
      </c>
      <c r="M91" s="31"/>
      <c r="N91" s="37"/>
      <c r="O91" s="37"/>
    </row>
    <row r="92" spans="1:15" s="21" customFormat="1" ht="18.75" x14ac:dyDescent="0.3">
      <c r="A92" s="37"/>
      <c r="B92" s="58">
        <v>87</v>
      </c>
      <c r="C92" s="31" t="s">
        <v>190</v>
      </c>
      <c r="D92" s="33">
        <v>150000</v>
      </c>
      <c r="E92" s="33">
        <v>19995</v>
      </c>
      <c r="F92" s="32">
        <f t="shared" si="15"/>
        <v>169995</v>
      </c>
      <c r="G92" s="34">
        <v>50</v>
      </c>
      <c r="H92" s="32">
        <v>3399.9</v>
      </c>
      <c r="I92" s="52">
        <v>39</v>
      </c>
      <c r="J92" s="35">
        <f t="shared" si="13"/>
        <v>11</v>
      </c>
      <c r="K92" s="32">
        <f>H92*I92</f>
        <v>132596.1</v>
      </c>
      <c r="L92" s="33">
        <f t="shared" si="14"/>
        <v>37398.899999999994</v>
      </c>
      <c r="M92" s="31"/>
      <c r="N92" s="37"/>
      <c r="O92" s="37"/>
    </row>
    <row r="93" spans="1:15" s="21" customFormat="1" ht="18.75" x14ac:dyDescent="0.3">
      <c r="A93" s="37"/>
      <c r="B93" s="58">
        <v>88</v>
      </c>
      <c r="C93" s="31" t="s">
        <v>80</v>
      </c>
      <c r="D93" s="33">
        <v>150000</v>
      </c>
      <c r="E93" s="33">
        <v>19995</v>
      </c>
      <c r="F93" s="32">
        <f t="shared" si="15"/>
        <v>169995</v>
      </c>
      <c r="G93" s="34">
        <v>50</v>
      </c>
      <c r="H93" s="32">
        <v>3399.9</v>
      </c>
      <c r="I93" s="31">
        <v>48</v>
      </c>
      <c r="J93" s="35">
        <f t="shared" si="13"/>
        <v>2</v>
      </c>
      <c r="K93" s="33">
        <f>I93*H93</f>
        <v>163195.20000000001</v>
      </c>
      <c r="L93" s="36">
        <f t="shared" si="14"/>
        <v>6799.7999999999884</v>
      </c>
      <c r="M93" s="31"/>
      <c r="N93" s="37"/>
      <c r="O93" s="37"/>
    </row>
    <row r="94" spans="1:15" s="21" customFormat="1" ht="18.75" x14ac:dyDescent="0.3">
      <c r="A94" s="37"/>
      <c r="B94" s="58">
        <v>89</v>
      </c>
      <c r="C94" s="31" t="s">
        <v>81</v>
      </c>
      <c r="D94" s="33">
        <v>150000</v>
      </c>
      <c r="E94" s="33">
        <v>19995</v>
      </c>
      <c r="F94" s="32">
        <f t="shared" si="15"/>
        <v>169995</v>
      </c>
      <c r="G94" s="34">
        <v>50</v>
      </c>
      <c r="H94" s="32">
        <v>3399.9</v>
      </c>
      <c r="I94" s="31">
        <v>24</v>
      </c>
      <c r="J94" s="35">
        <f t="shared" si="13"/>
        <v>26</v>
      </c>
      <c r="K94" s="36">
        <f t="shared" ref="K94:K115" si="16">H94*I94</f>
        <v>81597.600000000006</v>
      </c>
      <c r="L94" s="32">
        <f t="shared" si="14"/>
        <v>88397.4</v>
      </c>
      <c r="M94" s="31"/>
      <c r="N94" s="37"/>
      <c r="O94" s="37"/>
    </row>
    <row r="95" spans="1:15" s="21" customFormat="1" ht="18.75" x14ac:dyDescent="0.3">
      <c r="A95" s="37"/>
      <c r="B95" s="58">
        <v>90</v>
      </c>
      <c r="C95" s="31" t="s">
        <v>84</v>
      </c>
      <c r="D95" s="33">
        <v>150000</v>
      </c>
      <c r="E95" s="33">
        <v>19995</v>
      </c>
      <c r="F95" s="32">
        <f t="shared" si="15"/>
        <v>169995</v>
      </c>
      <c r="G95" s="34">
        <v>50</v>
      </c>
      <c r="H95" s="32">
        <v>3399.9</v>
      </c>
      <c r="I95" s="31">
        <v>24</v>
      </c>
      <c r="J95" s="35">
        <f t="shared" si="13"/>
        <v>26</v>
      </c>
      <c r="K95" s="36">
        <f t="shared" si="16"/>
        <v>81597.600000000006</v>
      </c>
      <c r="L95" s="32">
        <f t="shared" si="14"/>
        <v>88397.4</v>
      </c>
      <c r="M95" s="31"/>
      <c r="N95" s="37"/>
      <c r="O95" s="37"/>
    </row>
    <row r="96" spans="1:15" s="21" customFormat="1" ht="18.75" x14ac:dyDescent="0.3">
      <c r="A96" s="37"/>
      <c r="B96" s="58">
        <v>91</v>
      </c>
      <c r="C96" s="31" t="s">
        <v>86</v>
      </c>
      <c r="D96" s="33">
        <v>150000</v>
      </c>
      <c r="E96" s="33">
        <v>19995</v>
      </c>
      <c r="F96" s="32">
        <f t="shared" si="15"/>
        <v>169995</v>
      </c>
      <c r="G96" s="34">
        <v>50</v>
      </c>
      <c r="H96" s="32">
        <v>3399.9</v>
      </c>
      <c r="I96" s="31">
        <v>39</v>
      </c>
      <c r="J96" s="35">
        <f t="shared" si="13"/>
        <v>11</v>
      </c>
      <c r="K96" s="36">
        <f t="shared" si="16"/>
        <v>132596.1</v>
      </c>
      <c r="L96" s="32">
        <f t="shared" si="14"/>
        <v>37398.899999999994</v>
      </c>
      <c r="M96" s="31"/>
      <c r="N96" s="37"/>
      <c r="O96" s="37"/>
    </row>
    <row r="97" spans="1:15" s="21" customFormat="1" ht="18.75" x14ac:dyDescent="0.3">
      <c r="A97" s="37"/>
      <c r="B97" s="58">
        <v>92</v>
      </c>
      <c r="C97" s="31" t="s">
        <v>87</v>
      </c>
      <c r="D97" s="33">
        <v>150000</v>
      </c>
      <c r="E97" s="33">
        <v>19995</v>
      </c>
      <c r="F97" s="32">
        <f t="shared" si="15"/>
        <v>169995</v>
      </c>
      <c r="G97" s="34">
        <v>50</v>
      </c>
      <c r="H97" s="32">
        <v>3399.9</v>
      </c>
      <c r="I97" s="31">
        <v>39</v>
      </c>
      <c r="J97" s="35">
        <f t="shared" si="13"/>
        <v>11</v>
      </c>
      <c r="K97" s="36">
        <f t="shared" si="16"/>
        <v>132596.1</v>
      </c>
      <c r="L97" s="32">
        <f t="shared" si="14"/>
        <v>37398.899999999994</v>
      </c>
      <c r="M97" s="31"/>
      <c r="N97" s="37"/>
      <c r="O97" s="37"/>
    </row>
    <row r="98" spans="1:15" s="21" customFormat="1" ht="18.75" x14ac:dyDescent="0.3">
      <c r="A98" s="37"/>
      <c r="B98" s="58">
        <v>93</v>
      </c>
      <c r="C98" s="31" t="s">
        <v>89</v>
      </c>
      <c r="D98" s="33">
        <v>150000</v>
      </c>
      <c r="E98" s="33">
        <v>19995</v>
      </c>
      <c r="F98" s="32">
        <f t="shared" si="15"/>
        <v>169995</v>
      </c>
      <c r="G98" s="34">
        <v>50</v>
      </c>
      <c r="H98" s="32">
        <v>3399.9</v>
      </c>
      <c r="I98" s="31">
        <v>24</v>
      </c>
      <c r="J98" s="35">
        <f t="shared" si="13"/>
        <v>26</v>
      </c>
      <c r="K98" s="36">
        <f t="shared" si="16"/>
        <v>81597.600000000006</v>
      </c>
      <c r="L98" s="32">
        <f t="shared" si="14"/>
        <v>88397.4</v>
      </c>
      <c r="M98" s="31"/>
      <c r="N98" s="37"/>
      <c r="O98" s="37"/>
    </row>
    <row r="99" spans="1:15" s="21" customFormat="1" ht="18.75" x14ac:dyDescent="0.3">
      <c r="A99" s="37"/>
      <c r="B99" s="58">
        <v>94</v>
      </c>
      <c r="C99" s="31" t="s">
        <v>91</v>
      </c>
      <c r="D99" s="33">
        <v>150000</v>
      </c>
      <c r="E99" s="33">
        <v>19995</v>
      </c>
      <c r="F99" s="32">
        <f t="shared" si="15"/>
        <v>169995</v>
      </c>
      <c r="G99" s="34">
        <v>50</v>
      </c>
      <c r="H99" s="32">
        <v>3399.9</v>
      </c>
      <c r="I99" s="31">
        <v>39</v>
      </c>
      <c r="J99" s="35">
        <f t="shared" si="13"/>
        <v>11</v>
      </c>
      <c r="K99" s="36">
        <f t="shared" si="16"/>
        <v>132596.1</v>
      </c>
      <c r="L99" s="32">
        <f t="shared" si="14"/>
        <v>37398.899999999994</v>
      </c>
      <c r="M99" s="31"/>
      <c r="N99" s="37"/>
      <c r="O99" s="37"/>
    </row>
    <row r="100" spans="1:15" s="21" customFormat="1" ht="18.75" x14ac:dyDescent="0.3">
      <c r="A100" s="37"/>
      <c r="B100" s="58">
        <v>95</v>
      </c>
      <c r="C100" s="31" t="s">
        <v>94</v>
      </c>
      <c r="D100" s="33">
        <v>150000</v>
      </c>
      <c r="E100" s="33">
        <v>19995</v>
      </c>
      <c r="F100" s="32">
        <f t="shared" si="15"/>
        <v>169995</v>
      </c>
      <c r="G100" s="34">
        <v>50</v>
      </c>
      <c r="H100" s="32">
        <v>3399.9</v>
      </c>
      <c r="I100" s="31">
        <v>24</v>
      </c>
      <c r="J100" s="35">
        <f t="shared" si="13"/>
        <v>26</v>
      </c>
      <c r="K100" s="36">
        <f t="shared" si="16"/>
        <v>81597.600000000006</v>
      </c>
      <c r="L100" s="32">
        <f t="shared" si="14"/>
        <v>88397.4</v>
      </c>
      <c r="M100" s="31"/>
      <c r="N100" s="37"/>
      <c r="O100" s="37"/>
    </row>
    <row r="101" spans="1:15" s="21" customFormat="1" ht="18.75" x14ac:dyDescent="0.3">
      <c r="A101" s="37"/>
      <c r="B101" s="58">
        <v>96</v>
      </c>
      <c r="C101" s="31" t="s">
        <v>224</v>
      </c>
      <c r="D101" s="33">
        <v>150000</v>
      </c>
      <c r="E101" s="33">
        <v>19995</v>
      </c>
      <c r="F101" s="32">
        <f t="shared" si="15"/>
        <v>169995</v>
      </c>
      <c r="G101" s="34">
        <v>50</v>
      </c>
      <c r="H101" s="32">
        <v>3399.9</v>
      </c>
      <c r="I101" s="31">
        <v>39</v>
      </c>
      <c r="J101" s="35">
        <f t="shared" si="13"/>
        <v>11</v>
      </c>
      <c r="K101" s="36">
        <f t="shared" si="16"/>
        <v>132596.1</v>
      </c>
      <c r="L101" s="32">
        <f t="shared" si="14"/>
        <v>37398.899999999994</v>
      </c>
      <c r="M101" s="31"/>
      <c r="N101" s="37"/>
      <c r="O101" s="37"/>
    </row>
    <row r="102" spans="1:15" s="21" customFormat="1" ht="18.75" x14ac:dyDescent="0.3">
      <c r="A102" s="37"/>
      <c r="B102" s="58">
        <v>97</v>
      </c>
      <c r="C102" s="31" t="s">
        <v>193</v>
      </c>
      <c r="D102" s="33">
        <v>150000</v>
      </c>
      <c r="E102" s="33">
        <v>19995</v>
      </c>
      <c r="F102" s="32">
        <f t="shared" si="15"/>
        <v>169995</v>
      </c>
      <c r="G102" s="34">
        <v>50</v>
      </c>
      <c r="H102" s="32">
        <v>3399.9</v>
      </c>
      <c r="I102" s="31">
        <v>24</v>
      </c>
      <c r="J102" s="35">
        <f t="shared" ref="J102:J133" si="17">G102-I102</f>
        <v>26</v>
      </c>
      <c r="K102" s="36">
        <f t="shared" si="16"/>
        <v>81597.600000000006</v>
      </c>
      <c r="L102" s="32">
        <f t="shared" ref="L102:L133" si="18">F102-K102</f>
        <v>88397.4</v>
      </c>
      <c r="M102" s="31"/>
      <c r="N102" s="37"/>
      <c r="O102" s="37"/>
    </row>
    <row r="103" spans="1:15" s="21" customFormat="1" ht="18.75" x14ac:dyDescent="0.3">
      <c r="A103" s="37"/>
      <c r="B103" s="58">
        <v>98</v>
      </c>
      <c r="C103" s="31" t="s">
        <v>101</v>
      </c>
      <c r="D103" s="33">
        <v>150000</v>
      </c>
      <c r="E103" s="33">
        <v>19995</v>
      </c>
      <c r="F103" s="32">
        <f t="shared" si="15"/>
        <v>169995</v>
      </c>
      <c r="G103" s="34">
        <v>50</v>
      </c>
      <c r="H103" s="32">
        <v>3399.9</v>
      </c>
      <c r="I103" s="31">
        <v>22</v>
      </c>
      <c r="J103" s="35">
        <f t="shared" si="17"/>
        <v>28</v>
      </c>
      <c r="K103" s="36">
        <f t="shared" si="16"/>
        <v>74797.8</v>
      </c>
      <c r="L103" s="32">
        <f t="shared" si="18"/>
        <v>95197.2</v>
      </c>
      <c r="M103" s="31"/>
      <c r="N103" s="37"/>
      <c r="O103" s="37"/>
    </row>
    <row r="104" spans="1:15" s="21" customFormat="1" ht="18.75" x14ac:dyDescent="0.3">
      <c r="A104" s="37"/>
      <c r="B104" s="58">
        <v>99</v>
      </c>
      <c r="C104" s="31" t="s">
        <v>102</v>
      </c>
      <c r="D104" s="33">
        <v>150000</v>
      </c>
      <c r="E104" s="33">
        <v>19995</v>
      </c>
      <c r="F104" s="32">
        <f t="shared" si="15"/>
        <v>169995</v>
      </c>
      <c r="G104" s="34">
        <v>50</v>
      </c>
      <c r="H104" s="32">
        <v>3399.9</v>
      </c>
      <c r="I104" s="31">
        <v>24</v>
      </c>
      <c r="J104" s="35">
        <f t="shared" si="17"/>
        <v>26</v>
      </c>
      <c r="K104" s="36">
        <f t="shared" si="16"/>
        <v>81597.600000000006</v>
      </c>
      <c r="L104" s="32">
        <f t="shared" si="18"/>
        <v>88397.4</v>
      </c>
      <c r="M104" s="31"/>
      <c r="N104" s="37"/>
      <c r="O104" s="37"/>
    </row>
    <row r="105" spans="1:15" s="21" customFormat="1" ht="18.75" x14ac:dyDescent="0.3">
      <c r="A105" s="37"/>
      <c r="B105" s="58">
        <v>100</v>
      </c>
      <c r="C105" s="31" t="s">
        <v>104</v>
      </c>
      <c r="D105" s="33">
        <v>150000</v>
      </c>
      <c r="E105" s="33">
        <v>19995</v>
      </c>
      <c r="F105" s="32">
        <f t="shared" si="15"/>
        <v>169995</v>
      </c>
      <c r="G105" s="34">
        <v>50</v>
      </c>
      <c r="H105" s="32">
        <v>3399.9</v>
      </c>
      <c r="I105" s="31">
        <v>39</v>
      </c>
      <c r="J105" s="35">
        <f t="shared" si="17"/>
        <v>11</v>
      </c>
      <c r="K105" s="36">
        <f t="shared" si="16"/>
        <v>132596.1</v>
      </c>
      <c r="L105" s="32">
        <f t="shared" si="18"/>
        <v>37398.899999999994</v>
      </c>
      <c r="M105" s="31"/>
      <c r="N105" s="37"/>
      <c r="O105" s="37"/>
    </row>
    <row r="106" spans="1:15" s="21" customFormat="1" ht="18.75" x14ac:dyDescent="0.3">
      <c r="A106" s="37"/>
      <c r="B106" s="58">
        <v>101</v>
      </c>
      <c r="C106" s="31" t="s">
        <v>110</v>
      </c>
      <c r="D106" s="33">
        <v>150000</v>
      </c>
      <c r="E106" s="33">
        <v>19995</v>
      </c>
      <c r="F106" s="32">
        <f t="shared" si="15"/>
        <v>169995</v>
      </c>
      <c r="G106" s="34">
        <v>50</v>
      </c>
      <c r="H106" s="32">
        <v>3399.9</v>
      </c>
      <c r="I106" s="31">
        <v>24</v>
      </c>
      <c r="J106" s="35">
        <f t="shared" si="17"/>
        <v>26</v>
      </c>
      <c r="K106" s="36">
        <f t="shared" si="16"/>
        <v>81597.600000000006</v>
      </c>
      <c r="L106" s="32">
        <f t="shared" si="18"/>
        <v>88397.4</v>
      </c>
      <c r="M106" s="31"/>
      <c r="N106" s="37"/>
      <c r="O106" s="37"/>
    </row>
    <row r="107" spans="1:15" s="21" customFormat="1" ht="18.75" x14ac:dyDescent="0.3">
      <c r="A107" s="37"/>
      <c r="B107" s="58">
        <v>102</v>
      </c>
      <c r="C107" s="31" t="s">
        <v>225</v>
      </c>
      <c r="D107" s="33">
        <v>150000</v>
      </c>
      <c r="E107" s="33">
        <v>19995</v>
      </c>
      <c r="F107" s="32">
        <f t="shared" si="15"/>
        <v>169995</v>
      </c>
      <c r="G107" s="34">
        <v>50</v>
      </c>
      <c r="H107" s="32">
        <v>3399.9</v>
      </c>
      <c r="I107" s="31">
        <v>39</v>
      </c>
      <c r="J107" s="35">
        <f t="shared" si="17"/>
        <v>11</v>
      </c>
      <c r="K107" s="36">
        <f t="shared" si="16"/>
        <v>132596.1</v>
      </c>
      <c r="L107" s="32">
        <f t="shared" si="18"/>
        <v>37398.899999999994</v>
      </c>
      <c r="M107" s="31"/>
      <c r="N107" s="37"/>
      <c r="O107" s="37"/>
    </row>
    <row r="108" spans="1:15" s="21" customFormat="1" ht="18.75" x14ac:dyDescent="0.3">
      <c r="A108" s="37"/>
      <c r="B108" s="58">
        <v>103</v>
      </c>
      <c r="C108" s="31" t="s">
        <v>113</v>
      </c>
      <c r="D108" s="33">
        <v>150000</v>
      </c>
      <c r="E108" s="33">
        <v>19995</v>
      </c>
      <c r="F108" s="32">
        <f t="shared" si="15"/>
        <v>169995</v>
      </c>
      <c r="G108" s="34">
        <v>50</v>
      </c>
      <c r="H108" s="32">
        <v>3399.9</v>
      </c>
      <c r="I108" s="31">
        <v>39</v>
      </c>
      <c r="J108" s="35">
        <f t="shared" si="17"/>
        <v>11</v>
      </c>
      <c r="K108" s="36">
        <f t="shared" si="16"/>
        <v>132596.1</v>
      </c>
      <c r="L108" s="32">
        <f t="shared" si="18"/>
        <v>37398.899999999994</v>
      </c>
      <c r="M108" s="31"/>
      <c r="N108" s="37"/>
      <c r="O108" s="37"/>
    </row>
    <row r="109" spans="1:15" s="21" customFormat="1" ht="18.75" x14ac:dyDescent="0.3">
      <c r="A109" s="37"/>
      <c r="B109" s="58">
        <v>104</v>
      </c>
      <c r="C109" s="31" t="s">
        <v>114</v>
      </c>
      <c r="D109" s="33">
        <v>150000</v>
      </c>
      <c r="E109" s="33">
        <v>19995</v>
      </c>
      <c r="F109" s="32">
        <f t="shared" si="15"/>
        <v>169995</v>
      </c>
      <c r="G109" s="34">
        <v>50</v>
      </c>
      <c r="H109" s="32">
        <v>3399.9</v>
      </c>
      <c r="I109" s="31">
        <v>24</v>
      </c>
      <c r="J109" s="35">
        <f t="shared" si="17"/>
        <v>26</v>
      </c>
      <c r="K109" s="36">
        <f t="shared" si="16"/>
        <v>81597.600000000006</v>
      </c>
      <c r="L109" s="32">
        <f t="shared" si="18"/>
        <v>88397.4</v>
      </c>
      <c r="M109" s="31"/>
      <c r="N109" s="37"/>
      <c r="O109" s="37"/>
    </row>
    <row r="110" spans="1:15" s="21" customFormat="1" ht="18.75" x14ac:dyDescent="0.3">
      <c r="A110" s="37"/>
      <c r="B110" s="58">
        <v>105</v>
      </c>
      <c r="C110" s="31" t="s">
        <v>116</v>
      </c>
      <c r="D110" s="33">
        <v>150000</v>
      </c>
      <c r="E110" s="33">
        <v>19995</v>
      </c>
      <c r="F110" s="32">
        <f t="shared" si="15"/>
        <v>169995</v>
      </c>
      <c r="G110" s="34">
        <v>50</v>
      </c>
      <c r="H110" s="32">
        <v>3399.9</v>
      </c>
      <c r="I110" s="31">
        <v>24</v>
      </c>
      <c r="J110" s="35">
        <f t="shared" si="17"/>
        <v>26</v>
      </c>
      <c r="K110" s="36">
        <f t="shared" si="16"/>
        <v>81597.600000000006</v>
      </c>
      <c r="L110" s="32">
        <f t="shared" si="18"/>
        <v>88397.4</v>
      </c>
      <c r="M110" s="31"/>
      <c r="N110" s="37"/>
      <c r="O110" s="37"/>
    </row>
    <row r="111" spans="1:15" s="21" customFormat="1" ht="18.75" x14ac:dyDescent="0.3">
      <c r="A111" s="37"/>
      <c r="B111" s="58">
        <v>106</v>
      </c>
      <c r="C111" s="31" t="s">
        <v>117</v>
      </c>
      <c r="D111" s="33">
        <v>150000</v>
      </c>
      <c r="E111" s="33">
        <v>19995</v>
      </c>
      <c r="F111" s="32">
        <f t="shared" si="15"/>
        <v>169995</v>
      </c>
      <c r="G111" s="34">
        <v>50</v>
      </c>
      <c r="H111" s="32">
        <v>3399.9</v>
      </c>
      <c r="I111" s="31">
        <v>39</v>
      </c>
      <c r="J111" s="35">
        <f t="shared" si="17"/>
        <v>11</v>
      </c>
      <c r="K111" s="36">
        <f t="shared" si="16"/>
        <v>132596.1</v>
      </c>
      <c r="L111" s="32">
        <f t="shared" si="18"/>
        <v>37398.899999999994</v>
      </c>
      <c r="M111" s="31"/>
      <c r="N111" s="37"/>
      <c r="O111" s="37"/>
    </row>
    <row r="112" spans="1:15" s="21" customFormat="1" ht="18.75" x14ac:dyDescent="0.3">
      <c r="A112" s="37"/>
      <c r="B112" s="58">
        <v>107</v>
      </c>
      <c r="C112" s="31" t="s">
        <v>155</v>
      </c>
      <c r="D112" s="33">
        <v>150000</v>
      </c>
      <c r="E112" s="33">
        <v>19995</v>
      </c>
      <c r="F112" s="32">
        <f t="shared" si="15"/>
        <v>169995</v>
      </c>
      <c r="G112" s="34">
        <v>50</v>
      </c>
      <c r="H112" s="32">
        <v>3399.9</v>
      </c>
      <c r="I112" s="31">
        <v>24</v>
      </c>
      <c r="J112" s="35">
        <f t="shared" si="17"/>
        <v>26</v>
      </c>
      <c r="K112" s="36">
        <f t="shared" si="16"/>
        <v>81597.600000000006</v>
      </c>
      <c r="L112" s="32">
        <f t="shared" si="18"/>
        <v>88397.4</v>
      </c>
      <c r="M112" s="31"/>
      <c r="N112" s="37"/>
      <c r="O112" s="37"/>
    </row>
    <row r="113" spans="1:15" s="21" customFormat="1" ht="18.75" x14ac:dyDescent="0.3">
      <c r="A113" s="37"/>
      <c r="B113" s="58">
        <v>108</v>
      </c>
      <c r="C113" s="31" t="s">
        <v>176</v>
      </c>
      <c r="D113" s="33">
        <v>150000</v>
      </c>
      <c r="E113" s="33">
        <v>19995</v>
      </c>
      <c r="F113" s="32">
        <f t="shared" si="15"/>
        <v>169995</v>
      </c>
      <c r="G113" s="34">
        <v>50</v>
      </c>
      <c r="H113" s="32">
        <v>3399.9</v>
      </c>
      <c r="I113" s="31">
        <v>39</v>
      </c>
      <c r="J113" s="35">
        <f t="shared" si="17"/>
        <v>11</v>
      </c>
      <c r="K113" s="36">
        <f t="shared" si="16"/>
        <v>132596.1</v>
      </c>
      <c r="L113" s="32">
        <f t="shared" si="18"/>
        <v>37398.899999999994</v>
      </c>
      <c r="M113" s="31"/>
      <c r="N113" s="37"/>
      <c r="O113" s="37"/>
    </row>
    <row r="114" spans="1:15" s="21" customFormat="1" ht="18.75" x14ac:dyDescent="0.3">
      <c r="A114" s="37"/>
      <c r="B114" s="58">
        <v>109</v>
      </c>
      <c r="C114" s="31" t="s">
        <v>120</v>
      </c>
      <c r="D114" s="33">
        <v>150000</v>
      </c>
      <c r="E114" s="33">
        <v>19995</v>
      </c>
      <c r="F114" s="32">
        <f t="shared" si="15"/>
        <v>169995</v>
      </c>
      <c r="G114" s="34">
        <v>50</v>
      </c>
      <c r="H114" s="32">
        <v>3399.9</v>
      </c>
      <c r="I114" s="31">
        <v>24</v>
      </c>
      <c r="J114" s="35">
        <f t="shared" si="17"/>
        <v>26</v>
      </c>
      <c r="K114" s="36">
        <f t="shared" si="16"/>
        <v>81597.600000000006</v>
      </c>
      <c r="L114" s="32">
        <f t="shared" si="18"/>
        <v>88397.4</v>
      </c>
      <c r="M114" s="31"/>
      <c r="N114" s="37"/>
      <c r="O114" s="37"/>
    </row>
    <row r="115" spans="1:15" s="21" customFormat="1" ht="18.75" x14ac:dyDescent="0.3">
      <c r="A115" s="37"/>
      <c r="B115" s="58">
        <v>110</v>
      </c>
      <c r="C115" s="31" t="s">
        <v>197</v>
      </c>
      <c r="D115" s="33">
        <v>150000</v>
      </c>
      <c r="E115" s="33">
        <v>19995</v>
      </c>
      <c r="F115" s="32">
        <f t="shared" si="15"/>
        <v>169995</v>
      </c>
      <c r="G115" s="34">
        <v>50</v>
      </c>
      <c r="H115" s="32">
        <v>3399.9</v>
      </c>
      <c r="I115" s="31">
        <v>24</v>
      </c>
      <c r="J115" s="35">
        <f t="shared" si="17"/>
        <v>26</v>
      </c>
      <c r="K115" s="36">
        <f t="shared" si="16"/>
        <v>81597.600000000006</v>
      </c>
      <c r="L115" s="32">
        <f t="shared" si="18"/>
        <v>88397.4</v>
      </c>
      <c r="M115" s="31"/>
      <c r="N115" s="37"/>
      <c r="O115" s="37"/>
    </row>
    <row r="116" spans="1:15" s="21" customFormat="1" ht="18.75" x14ac:dyDescent="0.3">
      <c r="A116" s="37"/>
      <c r="B116" s="58">
        <v>111</v>
      </c>
      <c r="C116" s="31" t="s">
        <v>124</v>
      </c>
      <c r="D116" s="33">
        <v>150000</v>
      </c>
      <c r="E116" s="33">
        <v>19995</v>
      </c>
      <c r="F116" s="32">
        <f t="shared" si="15"/>
        <v>169995</v>
      </c>
      <c r="G116" s="34">
        <v>50</v>
      </c>
      <c r="H116" s="32">
        <v>3399.9</v>
      </c>
      <c r="I116" s="31">
        <v>24</v>
      </c>
      <c r="J116" s="35">
        <f t="shared" si="17"/>
        <v>26</v>
      </c>
      <c r="K116" s="36">
        <f>I116*H116</f>
        <v>81597.600000000006</v>
      </c>
      <c r="L116" s="32">
        <f t="shared" si="18"/>
        <v>88397.4</v>
      </c>
      <c r="M116" s="31"/>
      <c r="N116" s="37"/>
      <c r="O116" s="37"/>
    </row>
    <row r="117" spans="1:15" s="21" customFormat="1" ht="18.75" x14ac:dyDescent="0.3">
      <c r="A117" s="37"/>
      <c r="B117" s="58">
        <v>112</v>
      </c>
      <c r="C117" s="31" t="s">
        <v>126</v>
      </c>
      <c r="D117" s="33">
        <v>150000</v>
      </c>
      <c r="E117" s="33">
        <v>19995</v>
      </c>
      <c r="F117" s="32">
        <f t="shared" si="15"/>
        <v>169995</v>
      </c>
      <c r="G117" s="34">
        <v>50</v>
      </c>
      <c r="H117" s="32">
        <v>3399.9</v>
      </c>
      <c r="I117" s="31">
        <v>48</v>
      </c>
      <c r="J117" s="35">
        <f t="shared" si="17"/>
        <v>2</v>
      </c>
      <c r="K117" s="36">
        <f t="shared" ref="K117:K134" si="19">H117*I117</f>
        <v>163195.20000000001</v>
      </c>
      <c r="L117" s="32">
        <f t="shared" si="18"/>
        <v>6799.7999999999884</v>
      </c>
      <c r="M117" s="31"/>
      <c r="N117" s="37"/>
      <c r="O117" s="37"/>
    </row>
    <row r="118" spans="1:15" s="21" customFormat="1" ht="18.75" x14ac:dyDescent="0.3">
      <c r="A118" s="37"/>
      <c r="B118" s="58">
        <v>113</v>
      </c>
      <c r="C118" s="31" t="s">
        <v>127</v>
      </c>
      <c r="D118" s="33">
        <v>150000</v>
      </c>
      <c r="E118" s="33">
        <v>19995</v>
      </c>
      <c r="F118" s="32">
        <f t="shared" si="15"/>
        <v>169995</v>
      </c>
      <c r="G118" s="34">
        <v>50</v>
      </c>
      <c r="H118" s="32">
        <v>3399.9</v>
      </c>
      <c r="I118" s="31">
        <v>39</v>
      </c>
      <c r="J118" s="35">
        <f t="shared" si="17"/>
        <v>11</v>
      </c>
      <c r="K118" s="36">
        <f t="shared" si="19"/>
        <v>132596.1</v>
      </c>
      <c r="L118" s="32">
        <f t="shared" si="18"/>
        <v>37398.899999999994</v>
      </c>
      <c r="M118" s="31"/>
      <c r="N118" s="37"/>
      <c r="O118" s="37"/>
    </row>
    <row r="119" spans="1:15" s="21" customFormat="1" ht="18.75" x14ac:dyDescent="0.3">
      <c r="A119" s="37"/>
      <c r="B119" s="58">
        <v>114</v>
      </c>
      <c r="C119" s="31" t="s">
        <v>200</v>
      </c>
      <c r="D119" s="33">
        <v>150000</v>
      </c>
      <c r="E119" s="33">
        <v>19995</v>
      </c>
      <c r="F119" s="32">
        <f t="shared" ref="F119:F150" si="20">D119+E119</f>
        <v>169995</v>
      </c>
      <c r="G119" s="34">
        <v>50</v>
      </c>
      <c r="H119" s="32">
        <v>3399.9</v>
      </c>
      <c r="I119" s="31">
        <v>39</v>
      </c>
      <c r="J119" s="35">
        <f t="shared" si="17"/>
        <v>11</v>
      </c>
      <c r="K119" s="36">
        <f t="shared" si="19"/>
        <v>132596.1</v>
      </c>
      <c r="L119" s="32">
        <f t="shared" si="18"/>
        <v>37398.899999999994</v>
      </c>
      <c r="M119" s="31"/>
      <c r="N119" s="37"/>
      <c r="O119" s="37"/>
    </row>
    <row r="120" spans="1:15" s="21" customFormat="1" ht="18.75" x14ac:dyDescent="0.3">
      <c r="A120" s="37"/>
      <c r="B120" s="58">
        <v>115</v>
      </c>
      <c r="C120" s="31" t="s">
        <v>199</v>
      </c>
      <c r="D120" s="33">
        <v>150000</v>
      </c>
      <c r="E120" s="33">
        <v>19995</v>
      </c>
      <c r="F120" s="32">
        <f t="shared" si="20"/>
        <v>169995</v>
      </c>
      <c r="G120" s="34">
        <v>50</v>
      </c>
      <c r="H120" s="32">
        <v>3399.9</v>
      </c>
      <c r="I120" s="31">
        <v>39</v>
      </c>
      <c r="J120" s="35">
        <f t="shared" si="17"/>
        <v>11</v>
      </c>
      <c r="K120" s="36">
        <f t="shared" si="19"/>
        <v>132596.1</v>
      </c>
      <c r="L120" s="32">
        <f t="shared" si="18"/>
        <v>37398.899999999994</v>
      </c>
      <c r="M120" s="31"/>
      <c r="N120" s="37"/>
      <c r="O120" s="37"/>
    </row>
    <row r="121" spans="1:15" s="21" customFormat="1" ht="18.75" x14ac:dyDescent="0.3">
      <c r="A121" s="37"/>
      <c r="B121" s="58">
        <v>116</v>
      </c>
      <c r="C121" s="31" t="s">
        <v>129</v>
      </c>
      <c r="D121" s="33">
        <v>150000</v>
      </c>
      <c r="E121" s="33">
        <v>19995</v>
      </c>
      <c r="F121" s="32">
        <f t="shared" si="20"/>
        <v>169995</v>
      </c>
      <c r="G121" s="34">
        <v>50</v>
      </c>
      <c r="H121" s="32">
        <v>3399.9</v>
      </c>
      <c r="I121" s="31">
        <v>22</v>
      </c>
      <c r="J121" s="35">
        <f t="shared" si="17"/>
        <v>28</v>
      </c>
      <c r="K121" s="36">
        <f t="shared" si="19"/>
        <v>74797.8</v>
      </c>
      <c r="L121" s="32">
        <f t="shared" si="18"/>
        <v>95197.2</v>
      </c>
      <c r="M121" s="31"/>
      <c r="N121" s="37"/>
      <c r="O121" s="37"/>
    </row>
    <row r="122" spans="1:15" s="21" customFormat="1" ht="18.75" x14ac:dyDescent="0.3">
      <c r="A122" s="37"/>
      <c r="B122" s="58">
        <v>117</v>
      </c>
      <c r="C122" s="31" t="s">
        <v>130</v>
      </c>
      <c r="D122" s="33">
        <v>150000</v>
      </c>
      <c r="E122" s="33">
        <v>19995</v>
      </c>
      <c r="F122" s="32">
        <f t="shared" si="20"/>
        <v>169995</v>
      </c>
      <c r="G122" s="34">
        <v>50</v>
      </c>
      <c r="H122" s="32">
        <v>3399.9</v>
      </c>
      <c r="I122" s="31">
        <v>24</v>
      </c>
      <c r="J122" s="35">
        <f t="shared" si="17"/>
        <v>26</v>
      </c>
      <c r="K122" s="36">
        <f t="shared" si="19"/>
        <v>81597.600000000006</v>
      </c>
      <c r="L122" s="32">
        <f t="shared" si="18"/>
        <v>88397.4</v>
      </c>
      <c r="M122" s="31"/>
      <c r="N122" s="37"/>
      <c r="O122" s="37"/>
    </row>
    <row r="123" spans="1:15" s="21" customFormat="1" ht="18.75" x14ac:dyDescent="0.3">
      <c r="A123" s="37"/>
      <c r="B123" s="58">
        <v>118</v>
      </c>
      <c r="C123" s="31" t="s">
        <v>131</v>
      </c>
      <c r="D123" s="33">
        <v>150000</v>
      </c>
      <c r="E123" s="33">
        <v>19995</v>
      </c>
      <c r="F123" s="32">
        <f t="shared" si="20"/>
        <v>169995</v>
      </c>
      <c r="G123" s="34">
        <v>50</v>
      </c>
      <c r="H123" s="32">
        <v>3399.9</v>
      </c>
      <c r="I123" s="31">
        <v>24</v>
      </c>
      <c r="J123" s="35">
        <f t="shared" si="17"/>
        <v>26</v>
      </c>
      <c r="K123" s="36">
        <f t="shared" si="19"/>
        <v>81597.600000000006</v>
      </c>
      <c r="L123" s="32">
        <f t="shared" si="18"/>
        <v>88397.4</v>
      </c>
      <c r="M123" s="31"/>
      <c r="N123" s="37"/>
      <c r="O123" s="37"/>
    </row>
    <row r="124" spans="1:15" s="21" customFormat="1" ht="18.75" x14ac:dyDescent="0.3">
      <c r="A124" s="37"/>
      <c r="B124" s="58">
        <v>119</v>
      </c>
      <c r="C124" s="31" t="s">
        <v>201</v>
      </c>
      <c r="D124" s="33">
        <v>150000</v>
      </c>
      <c r="E124" s="33">
        <v>19995</v>
      </c>
      <c r="F124" s="32">
        <f t="shared" si="20"/>
        <v>169995</v>
      </c>
      <c r="G124" s="34">
        <v>50</v>
      </c>
      <c r="H124" s="32">
        <v>3399.9</v>
      </c>
      <c r="I124" s="31">
        <v>24</v>
      </c>
      <c r="J124" s="35">
        <f t="shared" si="17"/>
        <v>26</v>
      </c>
      <c r="K124" s="36">
        <f t="shared" si="19"/>
        <v>81597.600000000006</v>
      </c>
      <c r="L124" s="32">
        <f t="shared" si="18"/>
        <v>88397.4</v>
      </c>
      <c r="M124" s="31"/>
      <c r="N124" s="37"/>
      <c r="O124" s="37"/>
    </row>
    <row r="125" spans="1:15" s="21" customFormat="1" ht="18.75" x14ac:dyDescent="0.3">
      <c r="A125" s="37"/>
      <c r="B125" s="58">
        <v>120</v>
      </c>
      <c r="C125" s="31" t="s">
        <v>202</v>
      </c>
      <c r="D125" s="33">
        <v>150000</v>
      </c>
      <c r="E125" s="33">
        <v>19995</v>
      </c>
      <c r="F125" s="32">
        <f t="shared" si="20"/>
        <v>169995</v>
      </c>
      <c r="G125" s="34">
        <v>50</v>
      </c>
      <c r="H125" s="32">
        <v>3399.9</v>
      </c>
      <c r="I125" s="31">
        <v>49</v>
      </c>
      <c r="J125" s="35">
        <f t="shared" si="17"/>
        <v>1</v>
      </c>
      <c r="K125" s="36">
        <f t="shared" si="19"/>
        <v>166595.1</v>
      </c>
      <c r="L125" s="32">
        <f t="shared" si="18"/>
        <v>3399.8999999999942</v>
      </c>
      <c r="M125" s="31"/>
      <c r="N125" s="37"/>
      <c r="O125" s="37"/>
    </row>
    <row r="126" spans="1:15" s="21" customFormat="1" ht="18.75" x14ac:dyDescent="0.3">
      <c r="A126" s="37"/>
      <c r="B126" s="58">
        <v>121</v>
      </c>
      <c r="C126" s="31" t="s">
        <v>223</v>
      </c>
      <c r="D126" s="33">
        <v>150000</v>
      </c>
      <c r="E126" s="33">
        <v>19995</v>
      </c>
      <c r="F126" s="32">
        <f t="shared" si="20"/>
        <v>169995</v>
      </c>
      <c r="G126" s="34">
        <v>50</v>
      </c>
      <c r="H126" s="32">
        <v>3399.9</v>
      </c>
      <c r="I126" s="31">
        <v>48</v>
      </c>
      <c r="J126" s="35">
        <f t="shared" si="17"/>
        <v>2</v>
      </c>
      <c r="K126" s="36">
        <f t="shared" si="19"/>
        <v>163195.20000000001</v>
      </c>
      <c r="L126" s="32">
        <f t="shared" si="18"/>
        <v>6799.7999999999884</v>
      </c>
      <c r="M126" s="31"/>
      <c r="N126" s="37"/>
      <c r="O126" s="37"/>
    </row>
    <row r="127" spans="1:15" s="21" customFormat="1" ht="18.75" x14ac:dyDescent="0.3">
      <c r="A127" s="37"/>
      <c r="B127" s="58">
        <v>122</v>
      </c>
      <c r="C127" s="31" t="s">
        <v>133</v>
      </c>
      <c r="D127" s="33">
        <v>150000</v>
      </c>
      <c r="E127" s="33">
        <v>19995</v>
      </c>
      <c r="F127" s="32">
        <f t="shared" si="20"/>
        <v>169995</v>
      </c>
      <c r="G127" s="34">
        <v>50</v>
      </c>
      <c r="H127" s="32">
        <v>3399.9</v>
      </c>
      <c r="I127" s="31">
        <v>24</v>
      </c>
      <c r="J127" s="35">
        <f t="shared" si="17"/>
        <v>26</v>
      </c>
      <c r="K127" s="36">
        <f t="shared" si="19"/>
        <v>81597.600000000006</v>
      </c>
      <c r="L127" s="32">
        <f t="shared" si="18"/>
        <v>88397.4</v>
      </c>
      <c r="M127" s="31"/>
      <c r="N127" s="37"/>
      <c r="O127" s="37"/>
    </row>
    <row r="128" spans="1:15" s="21" customFormat="1" ht="18.75" x14ac:dyDescent="0.3">
      <c r="A128" s="37"/>
      <c r="B128" s="58">
        <v>123</v>
      </c>
      <c r="C128" s="31" t="s">
        <v>134</v>
      </c>
      <c r="D128" s="33">
        <v>150000</v>
      </c>
      <c r="E128" s="33">
        <v>19995</v>
      </c>
      <c r="F128" s="32">
        <f t="shared" si="20"/>
        <v>169995</v>
      </c>
      <c r="G128" s="34">
        <v>50</v>
      </c>
      <c r="H128" s="32">
        <v>3399.9</v>
      </c>
      <c r="I128" s="31">
        <v>39</v>
      </c>
      <c r="J128" s="35">
        <f t="shared" si="17"/>
        <v>11</v>
      </c>
      <c r="K128" s="36">
        <f t="shared" si="19"/>
        <v>132596.1</v>
      </c>
      <c r="L128" s="32">
        <f t="shared" si="18"/>
        <v>37398.899999999994</v>
      </c>
      <c r="M128" s="31"/>
      <c r="N128" s="37"/>
      <c r="O128" s="37"/>
    </row>
    <row r="129" spans="1:15" s="21" customFormat="1" ht="18.75" x14ac:dyDescent="0.3">
      <c r="A129" s="37"/>
      <c r="B129" s="58">
        <v>124</v>
      </c>
      <c r="C129" s="31" t="s">
        <v>203</v>
      </c>
      <c r="D129" s="33">
        <v>150000</v>
      </c>
      <c r="E129" s="33">
        <v>19995</v>
      </c>
      <c r="F129" s="32">
        <f t="shared" si="20"/>
        <v>169995</v>
      </c>
      <c r="G129" s="34">
        <v>50</v>
      </c>
      <c r="H129" s="32">
        <v>3399.9</v>
      </c>
      <c r="I129" s="31">
        <v>39</v>
      </c>
      <c r="J129" s="35">
        <f t="shared" si="17"/>
        <v>11</v>
      </c>
      <c r="K129" s="36">
        <f t="shared" si="19"/>
        <v>132596.1</v>
      </c>
      <c r="L129" s="32">
        <f t="shared" si="18"/>
        <v>37398.899999999994</v>
      </c>
      <c r="M129" s="31"/>
      <c r="N129" s="37"/>
      <c r="O129" s="37"/>
    </row>
    <row r="130" spans="1:15" s="21" customFormat="1" ht="18.75" x14ac:dyDescent="0.3">
      <c r="A130" s="37"/>
      <c r="B130" s="58">
        <v>125</v>
      </c>
      <c r="C130" s="31" t="s">
        <v>136</v>
      </c>
      <c r="D130" s="33">
        <v>150000</v>
      </c>
      <c r="E130" s="33">
        <v>19995</v>
      </c>
      <c r="F130" s="32">
        <f t="shared" si="20"/>
        <v>169995</v>
      </c>
      <c r="G130" s="34">
        <v>50</v>
      </c>
      <c r="H130" s="32">
        <v>3399.9</v>
      </c>
      <c r="I130" s="31">
        <v>39</v>
      </c>
      <c r="J130" s="35">
        <f t="shared" si="17"/>
        <v>11</v>
      </c>
      <c r="K130" s="36">
        <f t="shared" si="19"/>
        <v>132596.1</v>
      </c>
      <c r="L130" s="32">
        <f t="shared" si="18"/>
        <v>37398.899999999994</v>
      </c>
      <c r="M130" s="31"/>
      <c r="N130" s="37"/>
      <c r="O130" s="37"/>
    </row>
    <row r="131" spans="1:15" s="21" customFormat="1" ht="18.75" x14ac:dyDescent="0.3">
      <c r="A131" s="37"/>
      <c r="B131" s="58">
        <v>126</v>
      </c>
      <c r="C131" s="31" t="s">
        <v>137</v>
      </c>
      <c r="D131" s="33">
        <v>150000</v>
      </c>
      <c r="E131" s="33">
        <v>19995</v>
      </c>
      <c r="F131" s="32">
        <f t="shared" si="20"/>
        <v>169995</v>
      </c>
      <c r="G131" s="34">
        <v>50</v>
      </c>
      <c r="H131" s="32">
        <v>3399.9</v>
      </c>
      <c r="I131" s="31">
        <v>24</v>
      </c>
      <c r="J131" s="35">
        <f t="shared" si="17"/>
        <v>26</v>
      </c>
      <c r="K131" s="36">
        <f t="shared" si="19"/>
        <v>81597.600000000006</v>
      </c>
      <c r="L131" s="32">
        <f t="shared" si="18"/>
        <v>88397.4</v>
      </c>
      <c r="M131" s="31"/>
      <c r="N131" s="37"/>
      <c r="O131" s="37"/>
    </row>
    <row r="132" spans="1:15" s="21" customFormat="1" ht="18.75" x14ac:dyDescent="0.3">
      <c r="A132" s="37"/>
      <c r="B132" s="58">
        <v>127</v>
      </c>
      <c r="C132" s="31" t="s">
        <v>138</v>
      </c>
      <c r="D132" s="33">
        <v>150000</v>
      </c>
      <c r="E132" s="33">
        <v>19995</v>
      </c>
      <c r="F132" s="32">
        <f t="shared" si="20"/>
        <v>169995</v>
      </c>
      <c r="G132" s="34">
        <v>50</v>
      </c>
      <c r="H132" s="32">
        <v>3399.9</v>
      </c>
      <c r="I132" s="31">
        <v>29</v>
      </c>
      <c r="J132" s="35">
        <f t="shared" si="17"/>
        <v>21</v>
      </c>
      <c r="K132" s="36">
        <f t="shared" si="19"/>
        <v>98597.1</v>
      </c>
      <c r="L132" s="32">
        <f t="shared" si="18"/>
        <v>71397.899999999994</v>
      </c>
      <c r="M132" s="31"/>
      <c r="N132" s="37"/>
      <c r="O132" s="37"/>
    </row>
    <row r="133" spans="1:15" s="21" customFormat="1" ht="18.75" x14ac:dyDescent="0.3">
      <c r="A133" s="37"/>
      <c r="B133" s="58">
        <v>128</v>
      </c>
      <c r="C133" s="31" t="s">
        <v>139</v>
      </c>
      <c r="D133" s="33">
        <v>150000</v>
      </c>
      <c r="E133" s="33">
        <v>19995</v>
      </c>
      <c r="F133" s="32">
        <f t="shared" si="20"/>
        <v>169995</v>
      </c>
      <c r="G133" s="34">
        <v>50</v>
      </c>
      <c r="H133" s="32">
        <v>3399.9</v>
      </c>
      <c r="I133" s="31">
        <v>24</v>
      </c>
      <c r="J133" s="35">
        <f t="shared" si="17"/>
        <v>26</v>
      </c>
      <c r="K133" s="36">
        <f t="shared" si="19"/>
        <v>81597.600000000006</v>
      </c>
      <c r="L133" s="32">
        <f t="shared" si="18"/>
        <v>88397.4</v>
      </c>
      <c r="M133" s="31"/>
      <c r="N133" s="37"/>
      <c r="O133" s="37"/>
    </row>
    <row r="134" spans="1:15" s="21" customFormat="1" ht="18.75" x14ac:dyDescent="0.3">
      <c r="A134" s="37"/>
      <c r="B134" s="58">
        <v>129</v>
      </c>
      <c r="C134" s="31" t="s">
        <v>143</v>
      </c>
      <c r="D134" s="33">
        <v>150000</v>
      </c>
      <c r="E134" s="33">
        <v>19995</v>
      </c>
      <c r="F134" s="32">
        <f t="shared" si="20"/>
        <v>169995</v>
      </c>
      <c r="G134" s="34">
        <v>50</v>
      </c>
      <c r="H134" s="32">
        <v>3399.9</v>
      </c>
      <c r="I134" s="31">
        <v>19</v>
      </c>
      <c r="J134" s="35">
        <f t="shared" ref="J134:J154" si="21">G134-I134</f>
        <v>31</v>
      </c>
      <c r="K134" s="36">
        <f t="shared" si="19"/>
        <v>64598.1</v>
      </c>
      <c r="L134" s="36">
        <f>F134-K134</f>
        <v>105396.9</v>
      </c>
      <c r="M134" s="31"/>
      <c r="N134" s="37"/>
      <c r="O134" s="37"/>
    </row>
    <row r="135" spans="1:15" s="21" customFormat="1" ht="18.75" x14ac:dyDescent="0.3">
      <c r="A135" s="37"/>
      <c r="B135" s="58">
        <v>130</v>
      </c>
      <c r="C135" s="31" t="s">
        <v>207</v>
      </c>
      <c r="D135" s="33">
        <v>150000</v>
      </c>
      <c r="E135" s="33">
        <v>19995</v>
      </c>
      <c r="F135" s="32">
        <f t="shared" si="20"/>
        <v>169995</v>
      </c>
      <c r="G135" s="34">
        <v>50</v>
      </c>
      <c r="H135" s="32">
        <v>3399.9</v>
      </c>
      <c r="I135" s="31">
        <v>19</v>
      </c>
      <c r="J135" s="35">
        <f t="shared" si="21"/>
        <v>31</v>
      </c>
      <c r="K135" s="36">
        <f t="shared" ref="K135:K154" si="22">I135*H135</f>
        <v>64598.1</v>
      </c>
      <c r="L135" s="36">
        <f>F135-H135</f>
        <v>166595.1</v>
      </c>
      <c r="M135" s="31"/>
      <c r="N135" s="37"/>
      <c r="O135" s="37"/>
    </row>
    <row r="136" spans="1:15" s="21" customFormat="1" ht="18.75" x14ac:dyDescent="0.3">
      <c r="A136" s="37"/>
      <c r="B136" s="58">
        <v>131</v>
      </c>
      <c r="C136" s="50" t="s">
        <v>147</v>
      </c>
      <c r="D136" s="33">
        <v>150000</v>
      </c>
      <c r="E136" s="33">
        <v>19995</v>
      </c>
      <c r="F136" s="32">
        <f t="shared" si="20"/>
        <v>169995</v>
      </c>
      <c r="G136" s="34">
        <v>50</v>
      </c>
      <c r="H136" s="32">
        <v>3399.9</v>
      </c>
      <c r="I136" s="50">
        <v>13</v>
      </c>
      <c r="J136" s="35">
        <f t="shared" si="21"/>
        <v>37</v>
      </c>
      <c r="K136" s="36">
        <f t="shared" si="22"/>
        <v>44198.700000000004</v>
      </c>
      <c r="L136" s="36">
        <f t="shared" ref="L136:L154" si="23">F136-K136</f>
        <v>125796.29999999999</v>
      </c>
      <c r="M136" s="31"/>
      <c r="N136" s="37"/>
      <c r="O136" s="37"/>
    </row>
    <row r="137" spans="1:15" s="21" customFormat="1" ht="18.75" x14ac:dyDescent="0.3">
      <c r="A137" s="37"/>
      <c r="B137" s="58">
        <v>132</v>
      </c>
      <c r="C137" s="50" t="s">
        <v>151</v>
      </c>
      <c r="D137" s="33">
        <v>150000</v>
      </c>
      <c r="E137" s="33">
        <v>19995</v>
      </c>
      <c r="F137" s="32">
        <f t="shared" si="20"/>
        <v>169995</v>
      </c>
      <c r="G137" s="34">
        <v>50</v>
      </c>
      <c r="H137" s="32">
        <v>3399.9</v>
      </c>
      <c r="I137" s="50">
        <v>13</v>
      </c>
      <c r="J137" s="35">
        <f t="shared" si="21"/>
        <v>37</v>
      </c>
      <c r="K137" s="36">
        <f t="shared" si="22"/>
        <v>44198.700000000004</v>
      </c>
      <c r="L137" s="36">
        <f t="shared" si="23"/>
        <v>125796.29999999999</v>
      </c>
      <c r="M137" s="31"/>
      <c r="N137" s="37"/>
      <c r="O137" s="37"/>
    </row>
    <row r="138" spans="1:15" s="21" customFormat="1" ht="18.75" x14ac:dyDescent="0.3">
      <c r="A138" s="37"/>
      <c r="B138" s="58">
        <v>133</v>
      </c>
      <c r="C138" s="50" t="s">
        <v>152</v>
      </c>
      <c r="D138" s="33">
        <v>150000</v>
      </c>
      <c r="E138" s="33">
        <v>19995</v>
      </c>
      <c r="F138" s="32">
        <f t="shared" si="20"/>
        <v>169995</v>
      </c>
      <c r="G138" s="34">
        <v>50</v>
      </c>
      <c r="H138" s="32">
        <v>3399.9</v>
      </c>
      <c r="I138" s="50">
        <v>13</v>
      </c>
      <c r="J138" s="35">
        <f t="shared" si="21"/>
        <v>37</v>
      </c>
      <c r="K138" s="36">
        <f t="shared" si="22"/>
        <v>44198.700000000004</v>
      </c>
      <c r="L138" s="36">
        <f t="shared" si="23"/>
        <v>125796.29999999999</v>
      </c>
      <c r="M138" s="31"/>
      <c r="N138" s="37"/>
      <c r="O138" s="37"/>
    </row>
    <row r="139" spans="1:15" s="21" customFormat="1" ht="18.75" x14ac:dyDescent="0.3">
      <c r="A139" s="37"/>
      <c r="B139" s="58">
        <v>134</v>
      </c>
      <c r="C139" s="50" t="s">
        <v>153</v>
      </c>
      <c r="D139" s="33">
        <v>150000</v>
      </c>
      <c r="E139" s="33">
        <v>19995</v>
      </c>
      <c r="F139" s="32">
        <f t="shared" si="20"/>
        <v>169995</v>
      </c>
      <c r="G139" s="34">
        <v>50</v>
      </c>
      <c r="H139" s="32">
        <v>3399.9</v>
      </c>
      <c r="I139" s="50">
        <v>13</v>
      </c>
      <c r="J139" s="35">
        <f t="shared" si="21"/>
        <v>37</v>
      </c>
      <c r="K139" s="36">
        <f t="shared" si="22"/>
        <v>44198.700000000004</v>
      </c>
      <c r="L139" s="36">
        <f t="shared" si="23"/>
        <v>125796.29999999999</v>
      </c>
      <c r="M139" s="31"/>
      <c r="N139" s="37"/>
      <c r="O139" s="37"/>
    </row>
    <row r="140" spans="1:15" s="21" customFormat="1" ht="18.75" x14ac:dyDescent="0.3">
      <c r="A140" s="37"/>
      <c r="B140" s="58">
        <v>135</v>
      </c>
      <c r="C140" s="50" t="s">
        <v>216</v>
      </c>
      <c r="D140" s="33">
        <v>150000</v>
      </c>
      <c r="E140" s="33">
        <v>19995</v>
      </c>
      <c r="F140" s="32">
        <f t="shared" si="20"/>
        <v>169995</v>
      </c>
      <c r="G140" s="34">
        <v>50</v>
      </c>
      <c r="H140" s="32">
        <v>3399.9</v>
      </c>
      <c r="I140" s="50">
        <v>5</v>
      </c>
      <c r="J140" s="35">
        <f t="shared" si="21"/>
        <v>45</v>
      </c>
      <c r="K140" s="36">
        <f t="shared" si="22"/>
        <v>16999.5</v>
      </c>
      <c r="L140" s="36">
        <f t="shared" si="23"/>
        <v>152995.5</v>
      </c>
      <c r="M140" s="31"/>
      <c r="N140" s="37"/>
      <c r="O140" s="37"/>
    </row>
    <row r="141" spans="1:15" s="21" customFormat="1" ht="18.75" x14ac:dyDescent="0.3">
      <c r="A141" s="37"/>
      <c r="B141" s="58">
        <v>136</v>
      </c>
      <c r="C141" s="50" t="s">
        <v>213</v>
      </c>
      <c r="D141" s="33">
        <v>150000</v>
      </c>
      <c r="E141" s="33">
        <v>19995</v>
      </c>
      <c r="F141" s="32">
        <f t="shared" si="20"/>
        <v>169995</v>
      </c>
      <c r="G141" s="34">
        <v>50</v>
      </c>
      <c r="H141" s="32">
        <v>3399.9</v>
      </c>
      <c r="I141" s="50">
        <v>5</v>
      </c>
      <c r="J141" s="35">
        <f t="shared" si="21"/>
        <v>45</v>
      </c>
      <c r="K141" s="36">
        <f t="shared" si="22"/>
        <v>16999.5</v>
      </c>
      <c r="L141" s="36">
        <f t="shared" si="23"/>
        <v>152995.5</v>
      </c>
      <c r="M141" s="31"/>
      <c r="N141" s="37"/>
      <c r="O141" s="37"/>
    </row>
    <row r="142" spans="1:15" s="21" customFormat="1" ht="18.75" x14ac:dyDescent="0.3">
      <c r="A142" s="37"/>
      <c r="B142" s="58">
        <v>137</v>
      </c>
      <c r="C142" s="50" t="s">
        <v>23</v>
      </c>
      <c r="D142" s="33">
        <v>150000</v>
      </c>
      <c r="E142" s="33">
        <v>19995</v>
      </c>
      <c r="F142" s="32">
        <f t="shared" si="20"/>
        <v>169995</v>
      </c>
      <c r="G142" s="34">
        <v>50</v>
      </c>
      <c r="H142" s="32">
        <v>3399.9</v>
      </c>
      <c r="I142" s="50">
        <v>5</v>
      </c>
      <c r="J142" s="35">
        <f t="shared" si="21"/>
        <v>45</v>
      </c>
      <c r="K142" s="36">
        <f t="shared" si="22"/>
        <v>16999.5</v>
      </c>
      <c r="L142" s="36">
        <f t="shared" si="23"/>
        <v>152995.5</v>
      </c>
      <c r="M142" s="31"/>
      <c r="N142" s="37"/>
      <c r="O142" s="37"/>
    </row>
    <row r="143" spans="1:15" s="21" customFormat="1" ht="18.75" x14ac:dyDescent="0.3">
      <c r="A143" s="37"/>
      <c r="B143" s="58">
        <v>138</v>
      </c>
      <c r="C143" s="50" t="s">
        <v>24</v>
      </c>
      <c r="D143" s="33">
        <v>150000</v>
      </c>
      <c r="E143" s="33">
        <v>19995</v>
      </c>
      <c r="F143" s="32">
        <f t="shared" si="20"/>
        <v>169995</v>
      </c>
      <c r="G143" s="34">
        <v>50</v>
      </c>
      <c r="H143" s="32">
        <v>3399.9</v>
      </c>
      <c r="I143" s="50">
        <v>5</v>
      </c>
      <c r="J143" s="35">
        <f t="shared" si="21"/>
        <v>45</v>
      </c>
      <c r="K143" s="36">
        <f t="shared" si="22"/>
        <v>16999.5</v>
      </c>
      <c r="L143" s="36">
        <f t="shared" si="23"/>
        <v>152995.5</v>
      </c>
      <c r="M143" s="31"/>
      <c r="N143" s="37"/>
      <c r="O143" s="37"/>
    </row>
    <row r="144" spans="1:15" s="21" customFormat="1" ht="18.75" x14ac:dyDescent="0.3">
      <c r="A144" s="37"/>
      <c r="B144" s="58">
        <v>139</v>
      </c>
      <c r="C144" s="50" t="s">
        <v>27</v>
      </c>
      <c r="D144" s="33">
        <v>150000</v>
      </c>
      <c r="E144" s="33">
        <v>19995</v>
      </c>
      <c r="F144" s="32">
        <f t="shared" si="20"/>
        <v>169995</v>
      </c>
      <c r="G144" s="34">
        <v>50</v>
      </c>
      <c r="H144" s="32">
        <v>3399.9</v>
      </c>
      <c r="I144" s="50">
        <v>3</v>
      </c>
      <c r="J144" s="35">
        <f t="shared" si="21"/>
        <v>47</v>
      </c>
      <c r="K144" s="36">
        <f t="shared" si="22"/>
        <v>10199.700000000001</v>
      </c>
      <c r="L144" s="36">
        <f t="shared" si="23"/>
        <v>159795.29999999999</v>
      </c>
      <c r="M144" s="31"/>
      <c r="N144" s="37"/>
      <c r="O144" s="37"/>
    </row>
    <row r="145" spans="1:15" s="21" customFormat="1" ht="18.75" x14ac:dyDescent="0.3">
      <c r="A145" s="37"/>
      <c r="B145" s="58">
        <v>140</v>
      </c>
      <c r="C145" s="29" t="s">
        <v>32</v>
      </c>
      <c r="D145" s="33">
        <v>150000</v>
      </c>
      <c r="E145" s="33">
        <v>19995</v>
      </c>
      <c r="F145" s="32">
        <f t="shared" si="20"/>
        <v>169995</v>
      </c>
      <c r="G145" s="34">
        <v>50</v>
      </c>
      <c r="H145" s="32">
        <v>3399.9</v>
      </c>
      <c r="I145" s="50">
        <v>3</v>
      </c>
      <c r="J145" s="35">
        <f t="shared" si="21"/>
        <v>47</v>
      </c>
      <c r="K145" s="36">
        <f t="shared" si="22"/>
        <v>10199.700000000001</v>
      </c>
      <c r="L145" s="36">
        <f t="shared" si="23"/>
        <v>159795.29999999999</v>
      </c>
      <c r="M145" s="31"/>
      <c r="N145" s="37"/>
      <c r="O145" s="37"/>
    </row>
    <row r="146" spans="1:15" s="21" customFormat="1" ht="18.75" x14ac:dyDescent="0.3">
      <c r="A146" s="37"/>
      <c r="B146" s="58">
        <v>141</v>
      </c>
      <c r="C146" s="29" t="s">
        <v>33</v>
      </c>
      <c r="D146" s="33">
        <v>150000</v>
      </c>
      <c r="E146" s="33">
        <v>19995</v>
      </c>
      <c r="F146" s="32">
        <f t="shared" si="20"/>
        <v>169995</v>
      </c>
      <c r="G146" s="34">
        <v>50</v>
      </c>
      <c r="H146" s="32">
        <v>3399.9</v>
      </c>
      <c r="I146" s="50">
        <v>3</v>
      </c>
      <c r="J146" s="35">
        <f t="shared" si="21"/>
        <v>47</v>
      </c>
      <c r="K146" s="36">
        <f t="shared" si="22"/>
        <v>10199.700000000001</v>
      </c>
      <c r="L146" s="36">
        <f t="shared" si="23"/>
        <v>159795.29999999999</v>
      </c>
      <c r="M146" s="31"/>
      <c r="N146" s="37"/>
      <c r="O146" s="37"/>
    </row>
    <row r="147" spans="1:15" s="21" customFormat="1" ht="18.75" x14ac:dyDescent="0.3">
      <c r="A147" s="37"/>
      <c r="B147" s="58">
        <v>142</v>
      </c>
      <c r="C147" s="29" t="s">
        <v>34</v>
      </c>
      <c r="D147" s="33">
        <v>150000</v>
      </c>
      <c r="E147" s="33">
        <v>19995</v>
      </c>
      <c r="F147" s="32">
        <f t="shared" si="20"/>
        <v>169995</v>
      </c>
      <c r="G147" s="34">
        <v>50</v>
      </c>
      <c r="H147" s="32">
        <v>3399.9</v>
      </c>
      <c r="I147" s="50">
        <v>3</v>
      </c>
      <c r="J147" s="35">
        <f t="shared" si="21"/>
        <v>47</v>
      </c>
      <c r="K147" s="36">
        <f t="shared" si="22"/>
        <v>10199.700000000001</v>
      </c>
      <c r="L147" s="36">
        <f t="shared" si="23"/>
        <v>159795.29999999999</v>
      </c>
      <c r="M147" s="31"/>
      <c r="N147" s="37"/>
      <c r="O147" s="37"/>
    </row>
    <row r="148" spans="1:15" s="21" customFormat="1" ht="18.75" x14ac:dyDescent="0.3">
      <c r="A148" s="37"/>
      <c r="B148" s="58">
        <v>143</v>
      </c>
      <c r="C148" s="29" t="s">
        <v>41</v>
      </c>
      <c r="D148" s="33">
        <v>150000</v>
      </c>
      <c r="E148" s="33">
        <v>19995</v>
      </c>
      <c r="F148" s="32">
        <f t="shared" si="20"/>
        <v>169995</v>
      </c>
      <c r="G148" s="34">
        <v>50</v>
      </c>
      <c r="H148" s="32">
        <v>3399.9</v>
      </c>
      <c r="I148" s="50">
        <v>1</v>
      </c>
      <c r="J148" s="35">
        <f t="shared" si="21"/>
        <v>49</v>
      </c>
      <c r="K148" s="36">
        <f t="shared" si="22"/>
        <v>3399.9</v>
      </c>
      <c r="L148" s="36">
        <f t="shared" si="23"/>
        <v>166595.1</v>
      </c>
      <c r="M148" s="31" t="s">
        <v>28</v>
      </c>
      <c r="N148" s="37"/>
      <c r="O148" s="37"/>
    </row>
    <row r="149" spans="1:15" s="21" customFormat="1" ht="18.75" x14ac:dyDescent="0.3">
      <c r="A149" s="37"/>
      <c r="B149" s="58">
        <v>144</v>
      </c>
      <c r="C149" s="29" t="s">
        <v>158</v>
      </c>
      <c r="D149" s="33">
        <v>150000</v>
      </c>
      <c r="E149" s="33">
        <v>19995</v>
      </c>
      <c r="F149" s="32">
        <f t="shared" si="20"/>
        <v>169995</v>
      </c>
      <c r="G149" s="34">
        <v>50</v>
      </c>
      <c r="H149" s="32">
        <v>3399.9</v>
      </c>
      <c r="I149" s="31">
        <v>39</v>
      </c>
      <c r="J149" s="35">
        <f t="shared" si="21"/>
        <v>11</v>
      </c>
      <c r="K149" s="36">
        <f t="shared" si="22"/>
        <v>132596.1</v>
      </c>
      <c r="L149" s="36">
        <f t="shared" si="23"/>
        <v>37398.899999999994</v>
      </c>
      <c r="M149" s="31" t="s">
        <v>221</v>
      </c>
      <c r="N149" s="37"/>
      <c r="O149" s="37"/>
    </row>
    <row r="150" spans="1:15" s="21" customFormat="1" ht="18.75" x14ac:dyDescent="0.3">
      <c r="A150" s="37"/>
      <c r="B150" s="58">
        <v>145</v>
      </c>
      <c r="C150" s="29" t="s">
        <v>157</v>
      </c>
      <c r="D150" s="33">
        <v>150000</v>
      </c>
      <c r="E150" s="33">
        <v>19995</v>
      </c>
      <c r="F150" s="32">
        <f t="shared" si="20"/>
        <v>169995</v>
      </c>
      <c r="G150" s="34">
        <v>50</v>
      </c>
      <c r="H150" s="32">
        <v>3399</v>
      </c>
      <c r="I150" s="50">
        <v>15</v>
      </c>
      <c r="J150" s="35">
        <f t="shared" si="21"/>
        <v>35</v>
      </c>
      <c r="K150" s="36">
        <f t="shared" si="22"/>
        <v>50985</v>
      </c>
      <c r="L150" s="36">
        <f t="shared" si="23"/>
        <v>119010</v>
      </c>
      <c r="M150" s="31" t="s">
        <v>221</v>
      </c>
      <c r="N150" s="37"/>
      <c r="O150" s="37"/>
    </row>
    <row r="151" spans="1:15" s="21" customFormat="1" ht="18.75" x14ac:dyDescent="0.3">
      <c r="A151" s="37"/>
      <c r="B151" s="58">
        <v>146</v>
      </c>
      <c r="C151" s="29" t="s">
        <v>165</v>
      </c>
      <c r="D151" s="33">
        <v>150000</v>
      </c>
      <c r="E151" s="33">
        <v>19995</v>
      </c>
      <c r="F151" s="32">
        <f>D151+E151</f>
        <v>169995</v>
      </c>
      <c r="G151" s="34">
        <v>50</v>
      </c>
      <c r="H151" s="32">
        <v>3399</v>
      </c>
      <c r="I151" s="50">
        <v>15</v>
      </c>
      <c r="J151" s="35">
        <f t="shared" si="21"/>
        <v>35</v>
      </c>
      <c r="K151" s="36">
        <f t="shared" si="22"/>
        <v>50985</v>
      </c>
      <c r="L151" s="36">
        <f t="shared" si="23"/>
        <v>119010</v>
      </c>
      <c r="M151" s="31" t="s">
        <v>221</v>
      </c>
      <c r="N151" s="37"/>
      <c r="O151" s="37"/>
    </row>
    <row r="152" spans="1:15" s="21" customFormat="1" ht="18.75" x14ac:dyDescent="0.3">
      <c r="A152" s="37"/>
      <c r="B152" s="58">
        <v>147</v>
      </c>
      <c r="C152" s="29" t="s">
        <v>168</v>
      </c>
      <c r="D152" s="33">
        <v>150000</v>
      </c>
      <c r="E152" s="33">
        <v>19995</v>
      </c>
      <c r="F152" s="32">
        <f>D152+E152</f>
        <v>169995</v>
      </c>
      <c r="G152" s="34">
        <v>50</v>
      </c>
      <c r="H152" s="32">
        <v>3399</v>
      </c>
      <c r="I152" s="50">
        <v>15</v>
      </c>
      <c r="J152" s="35">
        <f t="shared" si="21"/>
        <v>35</v>
      </c>
      <c r="K152" s="36">
        <f t="shared" si="22"/>
        <v>50985</v>
      </c>
      <c r="L152" s="36">
        <f t="shared" si="23"/>
        <v>119010</v>
      </c>
      <c r="M152" s="31" t="s">
        <v>221</v>
      </c>
      <c r="N152" s="37"/>
      <c r="O152" s="37"/>
    </row>
    <row r="153" spans="1:15" s="21" customFormat="1" ht="18.75" x14ac:dyDescent="0.3">
      <c r="A153" s="37"/>
      <c r="B153" s="58">
        <v>148</v>
      </c>
      <c r="C153" s="29" t="s">
        <v>181</v>
      </c>
      <c r="D153" s="33">
        <v>150000</v>
      </c>
      <c r="E153" s="33">
        <v>19995</v>
      </c>
      <c r="F153" s="32">
        <f>D153+E153</f>
        <v>169995</v>
      </c>
      <c r="G153" s="34">
        <v>50</v>
      </c>
      <c r="H153" s="32">
        <v>3399</v>
      </c>
      <c r="I153" s="50">
        <v>13</v>
      </c>
      <c r="J153" s="35">
        <f t="shared" si="21"/>
        <v>37</v>
      </c>
      <c r="K153" s="36">
        <f t="shared" si="22"/>
        <v>44187</v>
      </c>
      <c r="L153" s="36">
        <f t="shared" si="23"/>
        <v>125808</v>
      </c>
      <c r="M153" s="31" t="s">
        <v>221</v>
      </c>
      <c r="N153" s="37"/>
      <c r="O153" s="37"/>
    </row>
    <row r="154" spans="1:15" s="21" customFormat="1" ht="18.75" x14ac:dyDescent="0.3">
      <c r="A154" s="37"/>
      <c r="B154" s="58">
        <v>149</v>
      </c>
      <c r="C154" s="29" t="s">
        <v>60</v>
      </c>
      <c r="D154" s="33">
        <v>60000</v>
      </c>
      <c r="E154" s="33">
        <v>7998</v>
      </c>
      <c r="F154" s="32">
        <f>D154+E154</f>
        <v>67998</v>
      </c>
      <c r="G154" s="34">
        <v>40</v>
      </c>
      <c r="H154" s="32">
        <v>1699.95</v>
      </c>
      <c r="I154" s="50">
        <v>49</v>
      </c>
      <c r="J154" s="35">
        <f t="shared" si="21"/>
        <v>-9</v>
      </c>
      <c r="K154" s="36">
        <f t="shared" si="22"/>
        <v>83297.55</v>
      </c>
      <c r="L154" s="36">
        <f t="shared" si="23"/>
        <v>-15299.550000000003</v>
      </c>
      <c r="M154" s="31" t="s">
        <v>221</v>
      </c>
      <c r="N154" s="37"/>
      <c r="O154" s="37"/>
    </row>
    <row r="155" spans="1:15" s="75" customFormat="1" ht="18.75" x14ac:dyDescent="0.3">
      <c r="A155" s="70"/>
      <c r="B155" s="71"/>
      <c r="C155" s="69" t="s">
        <v>38</v>
      </c>
      <c r="D155" s="76">
        <f>SUM(D6:D154)</f>
        <v>44220000</v>
      </c>
      <c r="E155" s="76">
        <f t="shared" ref="E155:F155" si="24">SUM(E6:E154)</f>
        <v>5837873.4199999999</v>
      </c>
      <c r="F155" s="76">
        <f t="shared" si="24"/>
        <v>50057873.420000002</v>
      </c>
      <c r="G155" s="71"/>
      <c r="H155" s="76">
        <f>SUM(H6:H154)</f>
        <v>1023056.9200000024</v>
      </c>
      <c r="I155" s="73"/>
      <c r="J155" s="74"/>
      <c r="K155" s="76">
        <f t="shared" ref="K155:L155" si="25">SUM(K6:K154)</f>
        <v>24508601.380000062</v>
      </c>
      <c r="L155" s="76">
        <f t="shared" si="25"/>
        <v>25610470.239999939</v>
      </c>
      <c r="M155" s="31"/>
      <c r="N155" s="70"/>
      <c r="O155" s="70"/>
    </row>
    <row r="156" spans="1:15" s="23" customFormat="1" ht="18.75" x14ac:dyDescent="0.3">
      <c r="A156" s="38"/>
      <c r="B156" s="41"/>
      <c r="C156" s="69"/>
      <c r="D156" s="43"/>
      <c r="E156" s="43"/>
      <c r="F156" s="43"/>
      <c r="G156" s="41"/>
      <c r="H156" s="43"/>
      <c r="I156" s="46"/>
      <c r="J156" s="47"/>
      <c r="K156" s="43"/>
      <c r="L156" s="43"/>
      <c r="M156" s="42"/>
      <c r="N156" s="38"/>
      <c r="O156" s="38"/>
    </row>
    <row r="157" spans="1:15" s="23" customFormat="1" ht="21" x14ac:dyDescent="0.35">
      <c r="A157" s="38"/>
      <c r="B157" s="41"/>
      <c r="C157" s="51" t="s">
        <v>222</v>
      </c>
      <c r="N157" s="38"/>
      <c r="O157" s="38"/>
    </row>
    <row r="158" spans="1:15" s="23" customFormat="1" ht="18.75" x14ac:dyDescent="0.3">
      <c r="A158" s="38"/>
      <c r="B158" s="34">
        <v>1</v>
      </c>
      <c r="C158" s="29" t="s">
        <v>177</v>
      </c>
      <c r="D158" s="33">
        <v>500000</v>
      </c>
      <c r="E158" s="33">
        <v>66650</v>
      </c>
      <c r="F158" s="32">
        <f>D158+E158</f>
        <v>566650</v>
      </c>
      <c r="G158" s="34">
        <v>50</v>
      </c>
      <c r="H158" s="32">
        <v>11333</v>
      </c>
      <c r="I158" s="50">
        <v>45</v>
      </c>
      <c r="J158" s="35">
        <f>G158-I158</f>
        <v>5</v>
      </c>
      <c r="K158" s="36">
        <f>I158*H158</f>
        <v>509985</v>
      </c>
      <c r="L158" s="36">
        <f>F158-K158</f>
        <v>56665</v>
      </c>
      <c r="M158" s="31" t="s">
        <v>221</v>
      </c>
      <c r="N158" s="38"/>
      <c r="O158" s="38"/>
    </row>
    <row r="159" spans="1:15" s="23" customFormat="1" ht="18.75" x14ac:dyDescent="0.3">
      <c r="A159" s="38"/>
      <c r="B159" s="34">
        <v>3</v>
      </c>
      <c r="C159" s="31" t="s">
        <v>111</v>
      </c>
      <c r="D159" s="33">
        <v>500000</v>
      </c>
      <c r="E159" s="33">
        <v>66650</v>
      </c>
      <c r="F159" s="32">
        <f>D159+E159</f>
        <v>566650</v>
      </c>
      <c r="G159" s="34">
        <v>50</v>
      </c>
      <c r="H159" s="36">
        <v>11333</v>
      </c>
      <c r="I159" s="31">
        <v>24</v>
      </c>
      <c r="J159" s="35">
        <f>G159-I159</f>
        <v>26</v>
      </c>
      <c r="K159" s="36">
        <f>H159*I159</f>
        <v>271992</v>
      </c>
      <c r="L159" s="36">
        <f>F159-K159</f>
        <v>294658</v>
      </c>
      <c r="M159" s="31" t="s">
        <v>221</v>
      </c>
      <c r="N159" s="38"/>
      <c r="O159" s="38"/>
    </row>
    <row r="160" spans="1:15" s="23" customFormat="1" ht="18.75" x14ac:dyDescent="0.3">
      <c r="A160" s="38"/>
      <c r="B160" s="34">
        <v>2</v>
      </c>
      <c r="C160" s="31" t="s">
        <v>118</v>
      </c>
      <c r="D160" s="32">
        <v>330000</v>
      </c>
      <c r="E160" s="33">
        <v>43989</v>
      </c>
      <c r="F160" s="32">
        <f>D160+E160</f>
        <v>373989</v>
      </c>
      <c r="G160" s="34">
        <v>50</v>
      </c>
      <c r="H160" s="32">
        <v>7479.78</v>
      </c>
      <c r="I160" s="31">
        <v>40</v>
      </c>
      <c r="J160" s="35">
        <f>G160-I160</f>
        <v>10</v>
      </c>
      <c r="K160" s="36">
        <f>H160*I160</f>
        <v>299191.2</v>
      </c>
      <c r="L160" s="32">
        <f>F160-K160</f>
        <v>74797.799999999988</v>
      </c>
      <c r="M160" s="31" t="s">
        <v>221</v>
      </c>
      <c r="N160" s="38"/>
      <c r="O160" s="38"/>
    </row>
    <row r="161" spans="1:15" s="23" customFormat="1" ht="18.75" x14ac:dyDescent="0.3">
      <c r="A161" s="38"/>
      <c r="B161" s="41"/>
      <c r="C161" s="69" t="s">
        <v>38</v>
      </c>
      <c r="D161" s="72">
        <f>SUM(D158:D160)</f>
        <v>1330000</v>
      </c>
      <c r="E161" s="72">
        <f t="shared" ref="E161:F161" si="26">SUM(E158:E160)</f>
        <v>177289</v>
      </c>
      <c r="F161" s="72">
        <f t="shared" si="26"/>
        <v>1507289</v>
      </c>
      <c r="G161" s="71"/>
      <c r="H161" s="72">
        <f>SUM(H158:H160)</f>
        <v>30145.78</v>
      </c>
      <c r="I161" s="73"/>
      <c r="J161" s="74"/>
      <c r="K161" s="72">
        <f t="shared" ref="K161:L161" si="27">SUM(K158:K160)</f>
        <v>1081168.2</v>
      </c>
      <c r="L161" s="72">
        <f t="shared" si="27"/>
        <v>426120.8</v>
      </c>
      <c r="M161" s="42"/>
      <c r="N161" s="38"/>
      <c r="O161" s="38"/>
    </row>
    <row r="162" spans="1:15" s="23" customFormat="1" ht="18.75" x14ac:dyDescent="0.3">
      <c r="A162" s="38"/>
      <c r="B162" s="41"/>
      <c r="C162" s="69"/>
      <c r="D162" s="44"/>
      <c r="E162" s="44"/>
      <c r="F162" s="43"/>
      <c r="G162" s="41"/>
      <c r="H162" s="43"/>
      <c r="I162" s="46"/>
      <c r="J162" s="47"/>
      <c r="K162" s="45"/>
      <c r="L162" s="45"/>
      <c r="M162" s="42"/>
      <c r="N162" s="38"/>
      <c r="O162" s="38"/>
    </row>
    <row r="163" spans="1:15" s="23" customFormat="1" ht="21" x14ac:dyDescent="0.35">
      <c r="A163" s="38"/>
      <c r="B163" s="41"/>
      <c r="C163" s="51" t="s">
        <v>217</v>
      </c>
      <c r="I163" s="46"/>
      <c r="J163" s="47"/>
      <c r="K163" s="45"/>
      <c r="L163" s="45"/>
      <c r="M163" s="42"/>
      <c r="N163" s="38"/>
      <c r="O163" s="38"/>
    </row>
    <row r="164" spans="1:15" s="23" customFormat="1" ht="18.75" x14ac:dyDescent="0.3">
      <c r="A164" s="38"/>
      <c r="B164" s="34">
        <v>1</v>
      </c>
      <c r="C164" s="29" t="s">
        <v>187</v>
      </c>
      <c r="D164" s="33">
        <v>500000</v>
      </c>
      <c r="E164" s="33">
        <v>66650</v>
      </c>
      <c r="F164" s="32">
        <f t="shared" ref="F164:F181" si="28">D164+E164</f>
        <v>566650</v>
      </c>
      <c r="G164" s="34">
        <v>50</v>
      </c>
      <c r="H164" s="32">
        <v>11333</v>
      </c>
      <c r="I164" s="50">
        <v>37</v>
      </c>
      <c r="J164" s="35">
        <f t="shared" ref="J164:J181" si="29">G164-I164</f>
        <v>13</v>
      </c>
      <c r="K164" s="36">
        <f t="shared" ref="K164:K181" si="30">H164*I164</f>
        <v>419321</v>
      </c>
      <c r="L164" s="32">
        <f t="shared" ref="L164:L181" si="31">F164-K164</f>
        <v>147329</v>
      </c>
      <c r="M164" s="31" t="s">
        <v>221</v>
      </c>
      <c r="N164" s="38"/>
      <c r="O164" s="38"/>
    </row>
    <row r="165" spans="1:15" s="23" customFormat="1" ht="18.75" customHeight="1" x14ac:dyDescent="0.3">
      <c r="A165" s="38"/>
      <c r="B165" s="34">
        <v>2</v>
      </c>
      <c r="C165" s="29" t="s">
        <v>160</v>
      </c>
      <c r="D165" s="33">
        <v>500000</v>
      </c>
      <c r="E165" s="33">
        <v>66650</v>
      </c>
      <c r="F165" s="32">
        <f t="shared" si="28"/>
        <v>566650</v>
      </c>
      <c r="G165" s="34">
        <v>50</v>
      </c>
      <c r="H165" s="32">
        <v>11333</v>
      </c>
      <c r="I165" s="50">
        <v>19</v>
      </c>
      <c r="J165" s="35">
        <f t="shared" si="29"/>
        <v>31</v>
      </c>
      <c r="K165" s="36">
        <f t="shared" si="30"/>
        <v>215327</v>
      </c>
      <c r="L165" s="32">
        <f t="shared" si="31"/>
        <v>351323</v>
      </c>
      <c r="M165" s="31" t="s">
        <v>221</v>
      </c>
      <c r="N165" s="38"/>
      <c r="O165" s="38"/>
    </row>
    <row r="166" spans="1:15" s="23" customFormat="1" ht="18.75" x14ac:dyDescent="0.3">
      <c r="A166" s="38"/>
      <c r="B166" s="34">
        <v>3</v>
      </c>
      <c r="C166" s="29" t="s">
        <v>179</v>
      </c>
      <c r="D166" s="33">
        <v>500000</v>
      </c>
      <c r="E166" s="33">
        <v>66650</v>
      </c>
      <c r="F166" s="32">
        <f t="shared" si="28"/>
        <v>566650</v>
      </c>
      <c r="G166" s="34">
        <v>50</v>
      </c>
      <c r="H166" s="32">
        <v>11333</v>
      </c>
      <c r="I166" s="50">
        <v>48</v>
      </c>
      <c r="J166" s="35">
        <f t="shared" si="29"/>
        <v>2</v>
      </c>
      <c r="K166" s="36">
        <f t="shared" si="30"/>
        <v>543984</v>
      </c>
      <c r="L166" s="32">
        <f t="shared" si="31"/>
        <v>22666</v>
      </c>
      <c r="M166" s="31" t="s">
        <v>221</v>
      </c>
      <c r="N166" s="38"/>
      <c r="O166" s="38"/>
    </row>
    <row r="167" spans="1:15" s="23" customFormat="1" ht="18.75" x14ac:dyDescent="0.3">
      <c r="A167" s="38"/>
      <c r="B167" s="34">
        <v>4</v>
      </c>
      <c r="C167" s="29" t="s">
        <v>156</v>
      </c>
      <c r="D167" s="33">
        <v>450000</v>
      </c>
      <c r="E167" s="33">
        <v>59985</v>
      </c>
      <c r="F167" s="32">
        <f t="shared" si="28"/>
        <v>509985</v>
      </c>
      <c r="G167" s="34">
        <v>50</v>
      </c>
      <c r="H167" s="32">
        <v>10199.700000000001</v>
      </c>
      <c r="I167" s="50">
        <v>48</v>
      </c>
      <c r="J167" s="35">
        <f t="shared" si="29"/>
        <v>2</v>
      </c>
      <c r="K167" s="36">
        <f t="shared" si="30"/>
        <v>489585.60000000003</v>
      </c>
      <c r="L167" s="32">
        <f t="shared" si="31"/>
        <v>20399.399999999965</v>
      </c>
      <c r="M167" s="31" t="s">
        <v>221</v>
      </c>
      <c r="N167" s="38"/>
      <c r="O167" s="38"/>
    </row>
    <row r="168" spans="1:15" s="23" customFormat="1" ht="18.75" x14ac:dyDescent="0.3">
      <c r="A168" s="38"/>
      <c r="B168" s="34">
        <v>5</v>
      </c>
      <c r="C168" s="29" t="s">
        <v>164</v>
      </c>
      <c r="D168" s="33">
        <v>450000</v>
      </c>
      <c r="E168" s="33">
        <v>59985</v>
      </c>
      <c r="F168" s="32">
        <f t="shared" si="28"/>
        <v>509985</v>
      </c>
      <c r="G168" s="34">
        <v>50</v>
      </c>
      <c r="H168" s="32">
        <v>10199.700000000001</v>
      </c>
      <c r="I168" s="50">
        <v>25</v>
      </c>
      <c r="J168" s="35">
        <f t="shared" si="29"/>
        <v>25</v>
      </c>
      <c r="K168" s="36">
        <f t="shared" si="30"/>
        <v>254992.50000000003</v>
      </c>
      <c r="L168" s="32">
        <f t="shared" si="31"/>
        <v>254992.49999999997</v>
      </c>
      <c r="M168" s="31" t="s">
        <v>221</v>
      </c>
      <c r="N168" s="38"/>
      <c r="O168" s="38"/>
    </row>
    <row r="169" spans="1:15" s="23" customFormat="1" ht="18.75" x14ac:dyDescent="0.3">
      <c r="A169" s="38"/>
      <c r="B169" s="34">
        <v>6</v>
      </c>
      <c r="C169" s="29" t="s">
        <v>183</v>
      </c>
      <c r="D169" s="33">
        <v>450000</v>
      </c>
      <c r="E169" s="33">
        <v>59985</v>
      </c>
      <c r="F169" s="32">
        <f t="shared" si="28"/>
        <v>509985</v>
      </c>
      <c r="G169" s="34">
        <v>50</v>
      </c>
      <c r="H169" s="32">
        <v>10199.700000000001</v>
      </c>
      <c r="I169" s="50">
        <v>10</v>
      </c>
      <c r="J169" s="35">
        <f t="shared" si="29"/>
        <v>40</v>
      </c>
      <c r="K169" s="36">
        <f t="shared" si="30"/>
        <v>101997</v>
      </c>
      <c r="L169" s="32">
        <f t="shared" si="31"/>
        <v>407988</v>
      </c>
      <c r="M169" s="31" t="s">
        <v>221</v>
      </c>
      <c r="N169" s="38"/>
      <c r="O169" s="38"/>
    </row>
    <row r="170" spans="1:15" s="23" customFormat="1" ht="18.75" x14ac:dyDescent="0.3">
      <c r="A170" s="38"/>
      <c r="B170" s="34">
        <v>7</v>
      </c>
      <c r="C170" s="29" t="s">
        <v>57</v>
      </c>
      <c r="D170" s="32">
        <v>330000</v>
      </c>
      <c r="E170" s="33">
        <v>43989</v>
      </c>
      <c r="F170" s="32">
        <f t="shared" si="28"/>
        <v>373989</v>
      </c>
      <c r="G170" s="34">
        <v>50</v>
      </c>
      <c r="H170" s="32">
        <v>7479.78</v>
      </c>
      <c r="I170" s="50">
        <v>48</v>
      </c>
      <c r="J170" s="35">
        <f t="shared" si="29"/>
        <v>2</v>
      </c>
      <c r="K170" s="36">
        <f t="shared" si="30"/>
        <v>359029.44</v>
      </c>
      <c r="L170" s="32">
        <f t="shared" si="31"/>
        <v>14959.559999999998</v>
      </c>
      <c r="M170" s="31" t="s">
        <v>221</v>
      </c>
      <c r="N170" s="38"/>
      <c r="O170" s="38"/>
    </row>
    <row r="171" spans="1:15" s="23" customFormat="1" ht="18.75" x14ac:dyDescent="0.3">
      <c r="A171" s="38"/>
      <c r="B171" s="34">
        <v>8</v>
      </c>
      <c r="C171" s="29" t="s">
        <v>184</v>
      </c>
      <c r="D171" s="32">
        <v>330000</v>
      </c>
      <c r="E171" s="33">
        <v>43989</v>
      </c>
      <c r="F171" s="32">
        <f t="shared" si="28"/>
        <v>373989</v>
      </c>
      <c r="G171" s="34">
        <v>50</v>
      </c>
      <c r="H171" s="32">
        <v>7479.78</v>
      </c>
      <c r="I171" s="50">
        <v>37</v>
      </c>
      <c r="J171" s="35">
        <f t="shared" si="29"/>
        <v>13</v>
      </c>
      <c r="K171" s="36">
        <f t="shared" si="30"/>
        <v>276751.86</v>
      </c>
      <c r="L171" s="32">
        <f t="shared" si="31"/>
        <v>97237.140000000014</v>
      </c>
      <c r="M171" s="31" t="s">
        <v>221</v>
      </c>
      <c r="N171" s="38"/>
      <c r="O171" s="38"/>
    </row>
    <row r="172" spans="1:15" s="23" customFormat="1" ht="18.75" x14ac:dyDescent="0.3">
      <c r="A172" s="38"/>
      <c r="B172" s="34">
        <v>9</v>
      </c>
      <c r="C172" s="29" t="s">
        <v>185</v>
      </c>
      <c r="D172" s="32">
        <v>330000</v>
      </c>
      <c r="E172" s="33">
        <v>43989</v>
      </c>
      <c r="F172" s="32">
        <f t="shared" si="28"/>
        <v>373989</v>
      </c>
      <c r="G172" s="34">
        <v>50</v>
      </c>
      <c r="H172" s="32">
        <v>7479.78</v>
      </c>
      <c r="I172" s="50">
        <v>48</v>
      </c>
      <c r="J172" s="35">
        <f t="shared" si="29"/>
        <v>2</v>
      </c>
      <c r="K172" s="36">
        <f t="shared" si="30"/>
        <v>359029.44</v>
      </c>
      <c r="L172" s="32">
        <f t="shared" si="31"/>
        <v>14959.559999999998</v>
      </c>
      <c r="M172" s="31" t="s">
        <v>221</v>
      </c>
      <c r="N172" s="38"/>
      <c r="O172" s="38"/>
    </row>
    <row r="173" spans="1:15" s="23" customFormat="1" ht="18.75" x14ac:dyDescent="0.3">
      <c r="A173" s="38"/>
      <c r="B173" s="34">
        <v>10</v>
      </c>
      <c r="C173" s="29" t="s">
        <v>180</v>
      </c>
      <c r="D173" s="32">
        <v>330000</v>
      </c>
      <c r="E173" s="33">
        <v>43989</v>
      </c>
      <c r="F173" s="32">
        <f t="shared" si="28"/>
        <v>373989</v>
      </c>
      <c r="G173" s="34">
        <v>50</v>
      </c>
      <c r="H173" s="32">
        <v>7479.78</v>
      </c>
      <c r="I173" s="50">
        <v>19</v>
      </c>
      <c r="J173" s="35">
        <f t="shared" si="29"/>
        <v>31</v>
      </c>
      <c r="K173" s="36">
        <f t="shared" si="30"/>
        <v>142115.82</v>
      </c>
      <c r="L173" s="32">
        <f t="shared" si="31"/>
        <v>231873.18</v>
      </c>
      <c r="M173" s="31" t="s">
        <v>221</v>
      </c>
      <c r="N173" s="38"/>
      <c r="O173" s="38"/>
    </row>
    <row r="174" spans="1:15" s="23" customFormat="1" ht="18.75" x14ac:dyDescent="0.3">
      <c r="A174" s="38"/>
      <c r="B174" s="34">
        <v>11</v>
      </c>
      <c r="C174" s="29" t="s">
        <v>169</v>
      </c>
      <c r="D174" s="33">
        <v>180000</v>
      </c>
      <c r="E174" s="33">
        <v>23994</v>
      </c>
      <c r="F174" s="32">
        <f t="shared" si="28"/>
        <v>203994</v>
      </c>
      <c r="G174" s="34">
        <v>40</v>
      </c>
      <c r="H174" s="32">
        <v>5099.8500000000004</v>
      </c>
      <c r="I174" s="50">
        <v>36</v>
      </c>
      <c r="J174" s="35">
        <f t="shared" si="29"/>
        <v>4</v>
      </c>
      <c r="K174" s="36">
        <f t="shared" si="30"/>
        <v>183594.6</v>
      </c>
      <c r="L174" s="32">
        <f t="shared" si="31"/>
        <v>20399.399999999994</v>
      </c>
      <c r="M174" s="31" t="s">
        <v>221</v>
      </c>
      <c r="N174" s="38"/>
      <c r="O174" s="38"/>
    </row>
    <row r="175" spans="1:15" s="23" customFormat="1" ht="18.75" x14ac:dyDescent="0.3">
      <c r="A175" s="38"/>
      <c r="B175" s="34">
        <v>12</v>
      </c>
      <c r="C175" s="29" t="s">
        <v>159</v>
      </c>
      <c r="D175" s="33">
        <v>150000</v>
      </c>
      <c r="E175" s="33">
        <v>19995</v>
      </c>
      <c r="F175" s="32">
        <f t="shared" si="28"/>
        <v>169995</v>
      </c>
      <c r="G175" s="34">
        <v>50</v>
      </c>
      <c r="H175" s="32">
        <v>3399.9</v>
      </c>
      <c r="I175" s="50">
        <v>48</v>
      </c>
      <c r="J175" s="35">
        <f t="shared" si="29"/>
        <v>2</v>
      </c>
      <c r="K175" s="36">
        <f t="shared" si="30"/>
        <v>163195.20000000001</v>
      </c>
      <c r="L175" s="32">
        <f t="shared" si="31"/>
        <v>6799.7999999999884</v>
      </c>
      <c r="M175" s="31" t="s">
        <v>221</v>
      </c>
      <c r="N175" s="38"/>
      <c r="O175" s="38"/>
    </row>
    <row r="176" spans="1:15" s="23" customFormat="1" ht="18.75" x14ac:dyDescent="0.3">
      <c r="A176" s="38"/>
      <c r="B176" s="34">
        <v>13</v>
      </c>
      <c r="C176" s="29" t="s">
        <v>162</v>
      </c>
      <c r="D176" s="33">
        <v>150000</v>
      </c>
      <c r="E176" s="33">
        <v>19995</v>
      </c>
      <c r="F176" s="32">
        <f t="shared" si="28"/>
        <v>169995</v>
      </c>
      <c r="G176" s="34">
        <v>50</v>
      </c>
      <c r="H176" s="32">
        <v>3399.9</v>
      </c>
      <c r="I176" s="50">
        <v>19</v>
      </c>
      <c r="J176" s="35">
        <f t="shared" si="29"/>
        <v>31</v>
      </c>
      <c r="K176" s="36">
        <f t="shared" si="30"/>
        <v>64598.1</v>
      </c>
      <c r="L176" s="32">
        <f t="shared" si="31"/>
        <v>105396.9</v>
      </c>
      <c r="M176" s="31" t="s">
        <v>221</v>
      </c>
      <c r="N176" s="38"/>
      <c r="O176" s="38"/>
    </row>
    <row r="177" spans="1:15" s="23" customFormat="1" ht="18.75" x14ac:dyDescent="0.3">
      <c r="A177" s="38"/>
      <c r="B177" s="34">
        <v>14</v>
      </c>
      <c r="C177" s="29" t="s">
        <v>163</v>
      </c>
      <c r="D177" s="33">
        <v>150000</v>
      </c>
      <c r="E177" s="33">
        <v>19995</v>
      </c>
      <c r="F177" s="32">
        <f t="shared" si="28"/>
        <v>169995</v>
      </c>
      <c r="G177" s="34">
        <v>50</v>
      </c>
      <c r="H177" s="32">
        <v>3399.9</v>
      </c>
      <c r="I177" s="50">
        <v>19</v>
      </c>
      <c r="J177" s="35">
        <f t="shared" si="29"/>
        <v>31</v>
      </c>
      <c r="K177" s="36">
        <f t="shared" si="30"/>
        <v>64598.1</v>
      </c>
      <c r="L177" s="32">
        <f t="shared" si="31"/>
        <v>105396.9</v>
      </c>
      <c r="M177" s="31" t="s">
        <v>221</v>
      </c>
      <c r="N177" s="38"/>
      <c r="O177" s="38"/>
    </row>
    <row r="178" spans="1:15" s="23" customFormat="1" ht="18.75" x14ac:dyDescent="0.3">
      <c r="A178" s="38"/>
      <c r="B178" s="34">
        <v>15</v>
      </c>
      <c r="C178" s="29" t="s">
        <v>167</v>
      </c>
      <c r="D178" s="33">
        <v>150000</v>
      </c>
      <c r="E178" s="33">
        <v>19995</v>
      </c>
      <c r="F178" s="32">
        <f t="shared" si="28"/>
        <v>169995</v>
      </c>
      <c r="G178" s="34">
        <v>50</v>
      </c>
      <c r="H178" s="32">
        <v>3399.9</v>
      </c>
      <c r="I178" s="50">
        <v>19</v>
      </c>
      <c r="J178" s="35">
        <f t="shared" si="29"/>
        <v>31</v>
      </c>
      <c r="K178" s="36">
        <f t="shared" si="30"/>
        <v>64598.1</v>
      </c>
      <c r="L178" s="32">
        <f t="shared" si="31"/>
        <v>105396.9</v>
      </c>
      <c r="M178" s="31" t="s">
        <v>221</v>
      </c>
      <c r="N178" s="38"/>
      <c r="O178" s="38"/>
    </row>
    <row r="179" spans="1:15" s="23" customFormat="1" ht="18.75" x14ac:dyDescent="0.3">
      <c r="A179" s="38"/>
      <c r="B179" s="34">
        <v>16</v>
      </c>
      <c r="C179" s="29" t="s">
        <v>186</v>
      </c>
      <c r="D179" s="33">
        <v>150000</v>
      </c>
      <c r="E179" s="33">
        <v>19995</v>
      </c>
      <c r="F179" s="32">
        <f t="shared" si="28"/>
        <v>169995</v>
      </c>
      <c r="G179" s="34">
        <v>50</v>
      </c>
      <c r="H179" s="32">
        <v>3399.9</v>
      </c>
      <c r="I179" s="50">
        <v>19</v>
      </c>
      <c r="J179" s="35">
        <f t="shared" si="29"/>
        <v>31</v>
      </c>
      <c r="K179" s="36">
        <f t="shared" si="30"/>
        <v>64598.1</v>
      </c>
      <c r="L179" s="32">
        <f t="shared" si="31"/>
        <v>105396.9</v>
      </c>
      <c r="M179" s="31" t="s">
        <v>221</v>
      </c>
      <c r="N179" s="38"/>
      <c r="O179" s="38"/>
    </row>
    <row r="180" spans="1:15" s="23" customFormat="1" ht="18.75" x14ac:dyDescent="0.3">
      <c r="A180" s="38"/>
      <c r="B180" s="34">
        <v>17</v>
      </c>
      <c r="C180" s="29" t="s">
        <v>188</v>
      </c>
      <c r="D180" s="33">
        <v>150000</v>
      </c>
      <c r="E180" s="33">
        <v>19995</v>
      </c>
      <c r="F180" s="32">
        <f t="shared" si="28"/>
        <v>169995</v>
      </c>
      <c r="G180" s="34">
        <v>50</v>
      </c>
      <c r="H180" s="32">
        <v>3399.9</v>
      </c>
      <c r="I180" s="50">
        <v>19</v>
      </c>
      <c r="J180" s="35">
        <f t="shared" si="29"/>
        <v>31</v>
      </c>
      <c r="K180" s="36">
        <f t="shared" si="30"/>
        <v>64598.1</v>
      </c>
      <c r="L180" s="32">
        <f t="shared" si="31"/>
        <v>105396.9</v>
      </c>
      <c r="M180" s="31" t="s">
        <v>221</v>
      </c>
      <c r="N180" s="38"/>
      <c r="O180" s="38"/>
    </row>
    <row r="181" spans="1:15" s="70" customFormat="1" ht="18.75" x14ac:dyDescent="0.3">
      <c r="B181" s="34">
        <v>18</v>
      </c>
      <c r="C181" s="29" t="s">
        <v>166</v>
      </c>
      <c r="D181" s="33">
        <v>150000</v>
      </c>
      <c r="E181" s="33">
        <v>19995</v>
      </c>
      <c r="F181" s="32">
        <f t="shared" si="28"/>
        <v>169995</v>
      </c>
      <c r="G181" s="34">
        <v>50</v>
      </c>
      <c r="H181" s="32">
        <v>3399.9</v>
      </c>
      <c r="I181" s="37">
        <v>19</v>
      </c>
      <c r="J181" s="35">
        <f t="shared" si="29"/>
        <v>31</v>
      </c>
      <c r="K181" s="36">
        <f t="shared" si="30"/>
        <v>64598.1</v>
      </c>
      <c r="L181" s="32">
        <f t="shared" si="31"/>
        <v>105396.9</v>
      </c>
      <c r="M181" s="31" t="s">
        <v>221</v>
      </c>
    </row>
    <row r="182" spans="1:15" s="23" customFormat="1" ht="18.75" x14ac:dyDescent="0.3">
      <c r="A182" s="38"/>
      <c r="B182" s="41"/>
      <c r="C182" s="69" t="s">
        <v>38</v>
      </c>
      <c r="D182" s="72">
        <f>SUM(D164:D181)</f>
        <v>5400000</v>
      </c>
      <c r="E182" s="72">
        <f t="shared" ref="E182:F182" si="32">SUM(E164:E181)</f>
        <v>719820</v>
      </c>
      <c r="F182" s="72">
        <f t="shared" si="32"/>
        <v>6119820</v>
      </c>
      <c r="G182" s="71"/>
      <c r="H182" s="72">
        <f>SUM(H164:H181)</f>
        <v>123416.36999999995</v>
      </c>
      <c r="I182" s="73"/>
      <c r="J182" s="74"/>
      <c r="K182" s="72">
        <f t="shared" ref="K182:L182" si="33">SUM(K164:K181)</f>
        <v>3896512.0600000005</v>
      </c>
      <c r="L182" s="72">
        <f t="shared" si="33"/>
        <v>2223307.9399999995</v>
      </c>
      <c r="M182" s="53"/>
      <c r="N182" s="38"/>
      <c r="O182" s="38"/>
    </row>
    <row r="183" spans="1:15" s="23" customFormat="1" ht="18.75" x14ac:dyDescent="0.3">
      <c r="A183" s="38"/>
      <c r="B183" s="41"/>
      <c r="C183" s="69"/>
      <c r="D183" s="44"/>
      <c r="E183" s="44"/>
      <c r="F183" s="43"/>
      <c r="G183" s="41"/>
      <c r="H183" s="43"/>
      <c r="I183" s="46"/>
      <c r="J183" s="47"/>
      <c r="K183" s="45"/>
      <c r="L183" s="45"/>
      <c r="M183" s="49"/>
      <c r="N183" s="38"/>
      <c r="O183" s="38"/>
    </row>
    <row r="184" spans="1:15" s="4" customFormat="1" ht="18.75" x14ac:dyDescent="0.3">
      <c r="A184" s="5"/>
      <c r="B184" s="8">
        <f>B181+B159+B154</f>
        <v>170</v>
      </c>
      <c r="C184" s="30" t="s">
        <v>279</v>
      </c>
      <c r="D184" s="17">
        <f>D161+D182+D155</f>
        <v>50950000</v>
      </c>
      <c r="E184" s="17">
        <f>E161+E182+E155</f>
        <v>6734982.4199999999</v>
      </c>
      <c r="F184" s="17">
        <f>F161+F182+F155</f>
        <v>57684982.420000002</v>
      </c>
      <c r="G184" s="17"/>
      <c r="H184" s="17">
        <f>H182+H161+H155</f>
        <v>1176619.0700000024</v>
      </c>
      <c r="I184" s="17"/>
      <c r="J184" s="17"/>
      <c r="K184" s="17">
        <f>K161+K182+K155</f>
        <v>29486281.640000064</v>
      </c>
      <c r="L184" s="17">
        <f>L161+L182+L155</f>
        <v>28259898.979999937</v>
      </c>
      <c r="M184" s="9"/>
      <c r="N184" s="5"/>
      <c r="O184" s="5"/>
    </row>
    <row r="185" spans="1:15" ht="18.75" x14ac:dyDescent="0.3">
      <c r="A185" s="5"/>
      <c r="B185" s="5"/>
      <c r="D185" s="55"/>
      <c r="E185" s="55"/>
      <c r="F185" s="55"/>
      <c r="G185" s="55"/>
      <c r="H185" s="55"/>
      <c r="I185" s="55"/>
      <c r="J185" s="55"/>
      <c r="K185" s="55"/>
      <c r="L185" s="55"/>
      <c r="M185" s="55"/>
      <c r="N185" s="5"/>
      <c r="O185" s="5"/>
    </row>
  </sheetData>
  <sortState ref="C164:L181">
    <sortCondition descending="1" ref="D164:D181"/>
  </sortState>
  <pageMargins left="0.7" right="0.7" top="0.75" bottom="0.75" header="0.3" footer="0.3"/>
  <pageSetup paperSize="5" scale="55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P13"/>
  <sheetViews>
    <sheetView workbookViewId="0">
      <selection activeCell="D6" sqref="D6"/>
    </sheetView>
  </sheetViews>
  <sheetFormatPr defaultRowHeight="15" x14ac:dyDescent="0.25"/>
  <cols>
    <col min="4" max="4" width="32.140625" customWidth="1"/>
    <col min="5" max="5" width="18.7109375" customWidth="1"/>
    <col min="6" max="6" width="17.5703125" customWidth="1"/>
    <col min="7" max="7" width="18.5703125" customWidth="1"/>
    <col min="9" max="9" width="21.140625" customWidth="1"/>
    <col min="12" max="12" width="16.140625" customWidth="1"/>
    <col min="13" max="13" width="23.140625" customWidth="1"/>
    <col min="14" max="14" width="19.28515625" customWidth="1"/>
  </cols>
  <sheetData>
    <row r="1" spans="2:16" ht="18.75" x14ac:dyDescent="0.3">
      <c r="C1" s="5"/>
      <c r="D1" s="6" t="s">
        <v>12</v>
      </c>
      <c r="E1" s="5"/>
      <c r="F1" s="6"/>
      <c r="G1" s="6"/>
      <c r="H1" s="5"/>
      <c r="I1" s="5"/>
      <c r="J1" s="5"/>
      <c r="K1" s="5"/>
      <c r="L1" s="5"/>
      <c r="M1" s="5"/>
      <c r="N1" s="5"/>
    </row>
    <row r="2" spans="2:16" ht="18.75" x14ac:dyDescent="0.3">
      <c r="C2" s="5"/>
      <c r="D2" s="6" t="s">
        <v>39</v>
      </c>
      <c r="E2" s="5"/>
      <c r="F2" s="6"/>
      <c r="G2" s="6"/>
      <c r="H2" s="6"/>
      <c r="I2" s="5"/>
      <c r="J2" s="5"/>
      <c r="K2" s="5"/>
      <c r="L2" s="5"/>
      <c r="M2" s="5"/>
      <c r="N2" s="5"/>
    </row>
    <row r="3" spans="2:16" ht="19.5" thickBot="1" x14ac:dyDescent="0.35"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</row>
    <row r="4" spans="2:16" ht="57" thickBot="1" x14ac:dyDescent="0.35">
      <c r="C4" s="24" t="s">
        <v>2</v>
      </c>
      <c r="D4" s="25" t="s">
        <v>0</v>
      </c>
      <c r="E4" s="26" t="s">
        <v>3</v>
      </c>
      <c r="F4" s="26" t="s">
        <v>4</v>
      </c>
      <c r="G4" s="26" t="s">
        <v>1</v>
      </c>
      <c r="H4" s="27" t="s">
        <v>11</v>
      </c>
      <c r="I4" s="27" t="s">
        <v>10</v>
      </c>
      <c r="J4" s="28" t="s">
        <v>5</v>
      </c>
      <c r="K4" s="28" t="s">
        <v>6</v>
      </c>
      <c r="L4" s="27" t="s">
        <v>7</v>
      </c>
      <c r="M4" s="27" t="s">
        <v>8</v>
      </c>
      <c r="N4" s="27" t="s">
        <v>9</v>
      </c>
    </row>
    <row r="5" spans="2:16" ht="18.75" x14ac:dyDescent="0.3">
      <c r="B5" s="5"/>
      <c r="C5" s="34">
        <v>1</v>
      </c>
      <c r="D5" s="39" t="s">
        <v>106</v>
      </c>
      <c r="E5" s="13">
        <v>200000</v>
      </c>
      <c r="F5" s="13">
        <v>26660</v>
      </c>
      <c r="G5" s="12">
        <f t="shared" ref="G5:G13" si="0">E5+F5</f>
        <v>226660</v>
      </c>
      <c r="H5" s="14">
        <v>40</v>
      </c>
      <c r="I5" s="12">
        <v>5666.5</v>
      </c>
      <c r="J5" s="9">
        <v>34</v>
      </c>
      <c r="K5" s="15">
        <f t="shared" ref="K5:K13" si="1">H5-J5</f>
        <v>6</v>
      </c>
      <c r="L5" s="16">
        <f t="shared" ref="L5:L13" si="2">I5*J5</f>
        <v>192661</v>
      </c>
      <c r="M5" s="12">
        <f t="shared" ref="M5:M13" si="3">G5-L5</f>
        <v>33999</v>
      </c>
      <c r="N5" s="9"/>
      <c r="O5" s="5"/>
      <c r="P5" s="5"/>
    </row>
    <row r="6" spans="2:16" ht="18.75" x14ac:dyDescent="0.3">
      <c r="B6" s="5"/>
      <c r="C6" s="34">
        <v>2</v>
      </c>
      <c r="D6" s="39" t="s">
        <v>125</v>
      </c>
      <c r="E6" s="13">
        <v>150000</v>
      </c>
      <c r="F6" s="13">
        <v>19995</v>
      </c>
      <c r="G6" s="12">
        <f t="shared" si="0"/>
        <v>169995</v>
      </c>
      <c r="H6" s="14">
        <v>50</v>
      </c>
      <c r="I6" s="12">
        <v>3399.9</v>
      </c>
      <c r="J6" s="9">
        <v>31</v>
      </c>
      <c r="K6" s="15">
        <f t="shared" si="1"/>
        <v>19</v>
      </c>
      <c r="L6" s="16">
        <f t="shared" si="2"/>
        <v>105396.90000000001</v>
      </c>
      <c r="M6" s="12">
        <f t="shared" si="3"/>
        <v>64598.099999999991</v>
      </c>
      <c r="N6" s="9"/>
      <c r="O6" s="5"/>
      <c r="P6" s="5"/>
    </row>
    <row r="7" spans="2:16" ht="18.75" x14ac:dyDescent="0.3">
      <c r="B7" s="5"/>
      <c r="C7" s="34">
        <v>3</v>
      </c>
      <c r="D7" s="39" t="s">
        <v>128</v>
      </c>
      <c r="E7" s="12">
        <v>330000</v>
      </c>
      <c r="F7" s="13">
        <v>43989</v>
      </c>
      <c r="G7" s="12">
        <f t="shared" si="0"/>
        <v>373989</v>
      </c>
      <c r="H7" s="14">
        <v>50</v>
      </c>
      <c r="I7" s="12">
        <v>7479.78</v>
      </c>
      <c r="J7" s="9">
        <v>39</v>
      </c>
      <c r="K7" s="15">
        <f t="shared" si="1"/>
        <v>11</v>
      </c>
      <c r="L7" s="16">
        <f t="shared" si="2"/>
        <v>291711.42</v>
      </c>
      <c r="M7" s="12">
        <f t="shared" si="3"/>
        <v>82277.580000000016</v>
      </c>
      <c r="N7" s="9"/>
      <c r="O7" s="5"/>
      <c r="P7" s="5"/>
    </row>
    <row r="8" spans="2:16" ht="18.75" x14ac:dyDescent="0.3">
      <c r="B8" s="5"/>
      <c r="C8" s="34">
        <v>4</v>
      </c>
      <c r="D8" s="39" t="s">
        <v>142</v>
      </c>
      <c r="E8" s="12">
        <v>330000</v>
      </c>
      <c r="F8" s="13">
        <v>43989</v>
      </c>
      <c r="G8" s="12">
        <f t="shared" si="0"/>
        <v>373989</v>
      </c>
      <c r="H8" s="14">
        <v>50</v>
      </c>
      <c r="I8" s="16">
        <v>7479.78</v>
      </c>
      <c r="J8" s="9">
        <v>27</v>
      </c>
      <c r="K8" s="15">
        <f t="shared" si="1"/>
        <v>23</v>
      </c>
      <c r="L8" s="12">
        <f t="shared" si="2"/>
        <v>201954.06</v>
      </c>
      <c r="M8" s="16">
        <f t="shared" si="3"/>
        <v>172034.94</v>
      </c>
      <c r="N8" s="9"/>
      <c r="O8" s="5"/>
      <c r="P8" s="5"/>
    </row>
    <row r="9" spans="2:16" ht="18.75" x14ac:dyDescent="0.3">
      <c r="B9" s="5"/>
      <c r="C9" s="34">
        <v>5</v>
      </c>
      <c r="D9" s="39" t="s">
        <v>88</v>
      </c>
      <c r="E9" s="13">
        <v>150000</v>
      </c>
      <c r="F9" s="13">
        <v>19995</v>
      </c>
      <c r="G9" s="12">
        <f t="shared" si="0"/>
        <v>169995</v>
      </c>
      <c r="H9" s="14">
        <v>50</v>
      </c>
      <c r="I9" s="12">
        <v>3399.9</v>
      </c>
      <c r="J9" s="9">
        <v>24</v>
      </c>
      <c r="K9" s="15">
        <f t="shared" si="1"/>
        <v>26</v>
      </c>
      <c r="L9" s="16">
        <f t="shared" si="2"/>
        <v>81597.600000000006</v>
      </c>
      <c r="M9" s="12">
        <f t="shared" si="3"/>
        <v>88397.4</v>
      </c>
      <c r="N9" s="9"/>
      <c r="O9" s="5"/>
      <c r="P9" s="5"/>
    </row>
    <row r="10" spans="2:16" ht="18.75" x14ac:dyDescent="0.3">
      <c r="B10" s="5"/>
      <c r="C10" s="34">
        <v>6</v>
      </c>
      <c r="D10" s="39" t="s">
        <v>90</v>
      </c>
      <c r="E10" s="13">
        <v>500000</v>
      </c>
      <c r="F10" s="13">
        <v>66650</v>
      </c>
      <c r="G10" s="12">
        <f t="shared" si="0"/>
        <v>566650</v>
      </c>
      <c r="H10" s="14">
        <v>50</v>
      </c>
      <c r="I10" s="12">
        <v>11333</v>
      </c>
      <c r="J10" s="9">
        <v>39</v>
      </c>
      <c r="K10" s="15">
        <f t="shared" si="1"/>
        <v>11</v>
      </c>
      <c r="L10" s="16">
        <f t="shared" si="2"/>
        <v>441987</v>
      </c>
      <c r="M10" s="12">
        <f t="shared" si="3"/>
        <v>124663</v>
      </c>
      <c r="N10" s="9"/>
      <c r="O10" s="5"/>
      <c r="P10" s="5"/>
    </row>
    <row r="11" spans="2:16" ht="18.75" x14ac:dyDescent="0.3">
      <c r="B11" s="5"/>
      <c r="C11" s="34">
        <v>7</v>
      </c>
      <c r="D11" s="39" t="s">
        <v>98</v>
      </c>
      <c r="E11" s="13">
        <v>60000</v>
      </c>
      <c r="F11" s="13">
        <v>7998</v>
      </c>
      <c r="G11" s="12">
        <f t="shared" si="0"/>
        <v>67998</v>
      </c>
      <c r="H11" s="14">
        <v>40</v>
      </c>
      <c r="I11" s="12">
        <v>1699.95</v>
      </c>
      <c r="J11" s="9">
        <v>39</v>
      </c>
      <c r="K11" s="15">
        <f t="shared" si="1"/>
        <v>1</v>
      </c>
      <c r="L11" s="16">
        <f t="shared" si="2"/>
        <v>66298.05</v>
      </c>
      <c r="M11" s="12">
        <f t="shared" si="3"/>
        <v>1699.9499999999971</v>
      </c>
      <c r="N11" s="9"/>
      <c r="O11" s="5"/>
      <c r="P11" s="5"/>
    </row>
    <row r="12" spans="2:16" ht="18.75" x14ac:dyDescent="0.3">
      <c r="B12" s="5"/>
      <c r="C12" s="34">
        <v>8</v>
      </c>
      <c r="D12" s="39" t="s">
        <v>100</v>
      </c>
      <c r="E12" s="13">
        <v>150000</v>
      </c>
      <c r="F12" s="13">
        <v>19995</v>
      </c>
      <c r="G12" s="12">
        <f t="shared" si="0"/>
        <v>169995</v>
      </c>
      <c r="H12" s="14">
        <v>50</v>
      </c>
      <c r="I12" s="12">
        <v>3399.9</v>
      </c>
      <c r="J12" s="9">
        <v>24</v>
      </c>
      <c r="K12" s="15">
        <f t="shared" si="1"/>
        <v>26</v>
      </c>
      <c r="L12" s="16">
        <f t="shared" si="2"/>
        <v>81597.600000000006</v>
      </c>
      <c r="M12" s="12">
        <f t="shared" si="3"/>
        <v>88397.4</v>
      </c>
      <c r="N12" s="9"/>
      <c r="O12" s="5"/>
      <c r="P12" s="5"/>
    </row>
    <row r="13" spans="2:16" ht="18.75" x14ac:dyDescent="0.3">
      <c r="B13" s="5"/>
      <c r="C13" s="34">
        <v>9</v>
      </c>
      <c r="D13" s="39" t="s">
        <v>107</v>
      </c>
      <c r="E13" s="13">
        <v>60000</v>
      </c>
      <c r="F13" s="13">
        <v>7998</v>
      </c>
      <c r="G13" s="12">
        <f t="shared" si="0"/>
        <v>67998</v>
      </c>
      <c r="H13" s="14">
        <v>40</v>
      </c>
      <c r="I13" s="12">
        <v>1699.95</v>
      </c>
      <c r="J13" s="9">
        <v>34</v>
      </c>
      <c r="K13" s="15">
        <f t="shared" si="1"/>
        <v>6</v>
      </c>
      <c r="L13" s="16">
        <f t="shared" si="2"/>
        <v>57798.3</v>
      </c>
      <c r="M13" s="12">
        <f t="shared" si="3"/>
        <v>10199.699999999997</v>
      </c>
      <c r="N13" s="9"/>
      <c r="O13" s="5"/>
      <c r="P13" s="5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06"/>
  <sheetViews>
    <sheetView topLeftCell="F193" workbookViewId="0">
      <selection activeCell="H208" sqref="H208"/>
    </sheetView>
  </sheetViews>
  <sheetFormatPr defaultRowHeight="15" x14ac:dyDescent="0.25"/>
  <cols>
    <col min="2" max="2" width="11.28515625" bestFit="1" customWidth="1"/>
    <col min="3" max="3" width="38.28515625" customWidth="1"/>
    <col min="4" max="4" width="21.28515625" customWidth="1"/>
    <col min="5" max="5" width="18.140625" customWidth="1"/>
    <col min="6" max="6" width="19.42578125" customWidth="1"/>
    <col min="7" max="7" width="16.28515625" customWidth="1"/>
    <col min="8" max="8" width="18.28515625" bestFit="1" customWidth="1"/>
    <col min="9" max="9" width="15.28515625" customWidth="1"/>
    <col min="10" max="10" width="14.140625" customWidth="1"/>
    <col min="11" max="11" width="21.7109375" customWidth="1"/>
    <col min="12" max="12" width="22.85546875" customWidth="1"/>
    <col min="13" max="13" width="26.42578125" bestFit="1" customWidth="1"/>
  </cols>
  <sheetData>
    <row r="2" spans="2:14" ht="21" x14ac:dyDescent="0.35">
      <c r="B2" s="98"/>
      <c r="C2" s="99" t="s">
        <v>12</v>
      </c>
      <c r="D2" s="98"/>
      <c r="E2" s="99"/>
      <c r="F2" s="99"/>
      <c r="G2" s="98"/>
      <c r="H2" s="9"/>
      <c r="I2" s="9"/>
      <c r="J2" s="9"/>
      <c r="K2" s="9"/>
      <c r="L2" s="9"/>
      <c r="M2" s="9"/>
      <c r="N2" s="5"/>
    </row>
    <row r="3" spans="2:14" ht="21" x14ac:dyDescent="0.35">
      <c r="B3" s="98"/>
      <c r="C3" s="99" t="s">
        <v>43</v>
      </c>
      <c r="D3" s="98"/>
      <c r="E3" s="99"/>
      <c r="F3" s="99"/>
      <c r="G3" s="99"/>
      <c r="H3" s="9"/>
      <c r="I3" s="9"/>
      <c r="J3" s="9"/>
      <c r="K3" s="9"/>
      <c r="L3" s="9"/>
      <c r="M3" s="9"/>
      <c r="N3" s="5"/>
    </row>
    <row r="4" spans="2:14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5"/>
    </row>
    <row r="5" spans="2:14" ht="40.5" customHeight="1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 s="5"/>
    </row>
    <row r="6" spans="2:14" ht="18.75" x14ac:dyDescent="0.3"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7" si="0">D6+E6</f>
        <v>566650</v>
      </c>
      <c r="G6" s="34">
        <v>50</v>
      </c>
      <c r="H6" s="32">
        <v>11333</v>
      </c>
      <c r="I6" s="31">
        <v>25</v>
      </c>
      <c r="J6" s="35">
        <f t="shared" ref="J6:J37" si="1">G6-I6</f>
        <v>25</v>
      </c>
      <c r="K6" s="33">
        <f t="shared" ref="K6:K18" si="2">H6*I6</f>
        <v>283325</v>
      </c>
      <c r="L6" s="36">
        <f t="shared" ref="L6:L37" si="3">F6-K6</f>
        <v>283325</v>
      </c>
      <c r="M6" s="31"/>
      <c r="N6" s="5"/>
    </row>
    <row r="7" spans="2:14" ht="18.75" x14ac:dyDescent="0.3"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25</v>
      </c>
      <c r="J7" s="35">
        <f t="shared" si="1"/>
        <v>25</v>
      </c>
      <c r="K7" s="33">
        <f t="shared" si="2"/>
        <v>283325</v>
      </c>
      <c r="L7" s="36">
        <f t="shared" si="3"/>
        <v>283325</v>
      </c>
      <c r="M7" s="31"/>
      <c r="N7" s="5"/>
    </row>
    <row r="8" spans="2:14" ht="18.75" x14ac:dyDescent="0.3">
      <c r="B8" s="34">
        <v>3</v>
      </c>
      <c r="C8" s="31" t="s">
        <v>219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40</v>
      </c>
      <c r="J8" s="35">
        <f t="shared" si="1"/>
        <v>10</v>
      </c>
      <c r="K8" s="36">
        <f t="shared" si="2"/>
        <v>453320</v>
      </c>
      <c r="L8" s="32">
        <f t="shared" si="3"/>
        <v>113330</v>
      </c>
      <c r="M8" s="31"/>
      <c r="N8" s="5"/>
    </row>
    <row r="9" spans="2:14" ht="18.75" x14ac:dyDescent="0.3">
      <c r="B9" s="34">
        <v>4</v>
      </c>
      <c r="C9" s="31" t="s">
        <v>97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40</v>
      </c>
      <c r="J9" s="35">
        <f t="shared" si="1"/>
        <v>10</v>
      </c>
      <c r="K9" s="36">
        <f t="shared" si="2"/>
        <v>453320</v>
      </c>
      <c r="L9" s="32">
        <f t="shared" si="3"/>
        <v>113330</v>
      </c>
      <c r="M9" s="31"/>
      <c r="N9" s="5"/>
    </row>
    <row r="10" spans="2:14" ht="18.75" x14ac:dyDescent="0.3">
      <c r="B10" s="34">
        <v>5</v>
      </c>
      <c r="C10" s="31" t="s">
        <v>103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49</v>
      </c>
      <c r="J10" s="35">
        <f t="shared" si="1"/>
        <v>1</v>
      </c>
      <c r="K10" s="36">
        <f t="shared" si="2"/>
        <v>555317</v>
      </c>
      <c r="L10" s="32">
        <f t="shared" si="3"/>
        <v>11333</v>
      </c>
      <c r="M10" s="31"/>
      <c r="N10" s="5"/>
    </row>
    <row r="11" spans="2:14" ht="18.75" x14ac:dyDescent="0.3">
      <c r="B11" s="34">
        <v>6</v>
      </c>
      <c r="C11" s="31" t="s">
        <v>105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2">
        <v>11333</v>
      </c>
      <c r="I11" s="31">
        <v>40</v>
      </c>
      <c r="J11" s="35">
        <f t="shared" si="1"/>
        <v>10</v>
      </c>
      <c r="K11" s="36">
        <f t="shared" si="2"/>
        <v>453320</v>
      </c>
      <c r="L11" s="32">
        <f t="shared" si="3"/>
        <v>113330</v>
      </c>
      <c r="M11" s="31"/>
      <c r="N11" s="5"/>
    </row>
    <row r="12" spans="2:14" ht="18.75" x14ac:dyDescent="0.3">
      <c r="B12" s="34">
        <v>7</v>
      </c>
      <c r="C12" s="31" t="s">
        <v>195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2">
        <v>11333</v>
      </c>
      <c r="I12" s="31">
        <v>40</v>
      </c>
      <c r="J12" s="35">
        <f t="shared" si="1"/>
        <v>10</v>
      </c>
      <c r="K12" s="36">
        <f t="shared" si="2"/>
        <v>453320</v>
      </c>
      <c r="L12" s="32">
        <f t="shared" si="3"/>
        <v>113330</v>
      </c>
      <c r="M12" s="31"/>
      <c r="N12" s="5"/>
    </row>
    <row r="13" spans="2:14" ht="18.75" x14ac:dyDescent="0.3">
      <c r="B13" s="34">
        <v>8</v>
      </c>
      <c r="C13" s="31" t="s">
        <v>108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25</v>
      </c>
      <c r="J13" s="35">
        <f t="shared" si="1"/>
        <v>25</v>
      </c>
      <c r="K13" s="36">
        <f t="shared" si="2"/>
        <v>283325</v>
      </c>
      <c r="L13" s="36">
        <f t="shared" si="3"/>
        <v>283325</v>
      </c>
      <c r="M13" s="31"/>
      <c r="N13" s="5"/>
    </row>
    <row r="14" spans="2:14" ht="18.75" x14ac:dyDescent="0.3">
      <c r="B14" s="34">
        <v>9</v>
      </c>
      <c r="C14" s="31" t="s">
        <v>171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6">
        <v>11333</v>
      </c>
      <c r="I14" s="31">
        <v>25</v>
      </c>
      <c r="J14" s="35">
        <f t="shared" si="1"/>
        <v>25</v>
      </c>
      <c r="K14" s="36">
        <f t="shared" si="2"/>
        <v>283325</v>
      </c>
      <c r="L14" s="36">
        <f t="shared" si="3"/>
        <v>283325</v>
      </c>
      <c r="M14" s="31"/>
      <c r="N14" s="5"/>
    </row>
    <row r="15" spans="2:14" ht="18.75" x14ac:dyDescent="0.3">
      <c r="B15" s="34">
        <v>10</v>
      </c>
      <c r="C15" s="31" t="s">
        <v>178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49</v>
      </c>
      <c r="J15" s="35">
        <f t="shared" si="1"/>
        <v>1</v>
      </c>
      <c r="K15" s="36">
        <f t="shared" si="2"/>
        <v>555317</v>
      </c>
      <c r="L15" s="32">
        <f t="shared" si="3"/>
        <v>11333</v>
      </c>
      <c r="M15" s="31"/>
      <c r="N15" s="5"/>
    </row>
    <row r="16" spans="2:14" ht="18.75" x14ac:dyDescent="0.3">
      <c r="B16" s="34">
        <v>11</v>
      </c>
      <c r="C16" s="31" t="s">
        <v>121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2">
        <v>11333</v>
      </c>
      <c r="I16" s="31">
        <v>46</v>
      </c>
      <c r="J16" s="35">
        <f t="shared" si="1"/>
        <v>4</v>
      </c>
      <c r="K16" s="36">
        <f t="shared" si="2"/>
        <v>521318</v>
      </c>
      <c r="L16" s="32">
        <f t="shared" si="3"/>
        <v>45332</v>
      </c>
      <c r="M16" s="31"/>
      <c r="N16" s="5"/>
    </row>
    <row r="17" spans="2:14" ht="18.75" x14ac:dyDescent="0.3">
      <c r="B17" s="34">
        <v>12</v>
      </c>
      <c r="C17" s="31" t="s">
        <v>123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6">
        <v>11333</v>
      </c>
      <c r="I17" s="31">
        <v>25</v>
      </c>
      <c r="J17" s="35">
        <f t="shared" si="1"/>
        <v>25</v>
      </c>
      <c r="K17" s="36">
        <f t="shared" si="2"/>
        <v>283325</v>
      </c>
      <c r="L17" s="36">
        <f t="shared" si="3"/>
        <v>283325</v>
      </c>
      <c r="M17" s="31"/>
      <c r="N17" s="5"/>
    </row>
    <row r="18" spans="2:14" ht="18.75" x14ac:dyDescent="0.3">
      <c r="B18" s="34">
        <v>13</v>
      </c>
      <c r="C18" s="31" t="s">
        <v>198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31">
        <v>40</v>
      </c>
      <c r="J18" s="35">
        <f t="shared" si="1"/>
        <v>10</v>
      </c>
      <c r="K18" s="36">
        <f t="shared" si="2"/>
        <v>453320</v>
      </c>
      <c r="L18" s="32">
        <f t="shared" si="3"/>
        <v>113330</v>
      </c>
      <c r="M18" s="31"/>
      <c r="N18" s="5"/>
    </row>
    <row r="19" spans="2:14" ht="18.75" x14ac:dyDescent="0.3">
      <c r="B19" s="34">
        <v>14</v>
      </c>
      <c r="C19" s="31" t="s">
        <v>144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31">
        <v>20</v>
      </c>
      <c r="J19" s="35">
        <f t="shared" si="1"/>
        <v>30</v>
      </c>
      <c r="K19" s="36">
        <f t="shared" ref="K19:K37" si="4">I19*H19</f>
        <v>226660</v>
      </c>
      <c r="L19" s="36">
        <f t="shared" si="3"/>
        <v>339990</v>
      </c>
      <c r="M19" s="31"/>
      <c r="N19" s="5"/>
    </row>
    <row r="20" spans="2:14" ht="18.75" x14ac:dyDescent="0.3">
      <c r="B20" s="34">
        <v>15</v>
      </c>
      <c r="C20" s="31" t="s">
        <v>145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31">
        <v>20</v>
      </c>
      <c r="J20" s="35">
        <f t="shared" si="1"/>
        <v>30</v>
      </c>
      <c r="K20" s="36">
        <f t="shared" si="4"/>
        <v>226660</v>
      </c>
      <c r="L20" s="36">
        <f t="shared" si="3"/>
        <v>339990</v>
      </c>
      <c r="M20" s="31"/>
      <c r="N20" s="5"/>
    </row>
    <row r="21" spans="2:14" ht="18.75" x14ac:dyDescent="0.3">
      <c r="B21" s="34">
        <v>16</v>
      </c>
      <c r="C21" s="50" t="s">
        <v>154</v>
      </c>
      <c r="D21" s="33">
        <v>500000</v>
      </c>
      <c r="E21" s="33">
        <v>31991.919999999998</v>
      </c>
      <c r="F21" s="32">
        <f t="shared" si="0"/>
        <v>531991.92000000004</v>
      </c>
      <c r="G21" s="34">
        <v>24</v>
      </c>
      <c r="H21" s="32">
        <v>22166.33</v>
      </c>
      <c r="I21" s="50">
        <v>14</v>
      </c>
      <c r="J21" s="35">
        <f t="shared" si="1"/>
        <v>10</v>
      </c>
      <c r="K21" s="36">
        <f t="shared" si="4"/>
        <v>310328.62</v>
      </c>
      <c r="L21" s="36">
        <f t="shared" si="3"/>
        <v>221663.30000000005</v>
      </c>
      <c r="M21" s="31"/>
      <c r="N21" s="5"/>
    </row>
    <row r="22" spans="2:14" ht="18.75" x14ac:dyDescent="0.3">
      <c r="B22" s="34">
        <v>17</v>
      </c>
      <c r="C22" s="50" t="s">
        <v>208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11</v>
      </c>
      <c r="J22" s="35">
        <f t="shared" si="1"/>
        <v>39</v>
      </c>
      <c r="K22" s="36">
        <f t="shared" si="4"/>
        <v>124663</v>
      </c>
      <c r="L22" s="36">
        <f t="shared" si="3"/>
        <v>441987</v>
      </c>
      <c r="M22" s="31"/>
      <c r="N22" s="5"/>
    </row>
    <row r="23" spans="2:14" ht="18.75" x14ac:dyDescent="0.3">
      <c r="B23" s="34">
        <v>18</v>
      </c>
      <c r="C23" s="50" t="s">
        <v>14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50">
        <v>9</v>
      </c>
      <c r="J23" s="35">
        <f t="shared" si="1"/>
        <v>41</v>
      </c>
      <c r="K23" s="36">
        <f t="shared" si="4"/>
        <v>101997</v>
      </c>
      <c r="L23" s="36">
        <f t="shared" si="3"/>
        <v>464653</v>
      </c>
      <c r="M23" s="31"/>
      <c r="N23" s="5"/>
    </row>
    <row r="24" spans="2:14" ht="18.75" x14ac:dyDescent="0.3">
      <c r="B24" s="34">
        <v>19</v>
      </c>
      <c r="C24" s="50" t="s">
        <v>15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9</v>
      </c>
      <c r="J24" s="35">
        <f t="shared" si="1"/>
        <v>41</v>
      </c>
      <c r="K24" s="36">
        <f t="shared" si="4"/>
        <v>101997</v>
      </c>
      <c r="L24" s="36">
        <f t="shared" si="3"/>
        <v>464653</v>
      </c>
      <c r="M24" s="31"/>
      <c r="N24" s="5"/>
    </row>
    <row r="25" spans="2:14" ht="18.75" x14ac:dyDescent="0.3">
      <c r="B25" s="34">
        <v>20</v>
      </c>
      <c r="C25" s="50" t="s">
        <v>16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9</v>
      </c>
      <c r="J25" s="35">
        <f t="shared" si="1"/>
        <v>41</v>
      </c>
      <c r="K25" s="36">
        <f t="shared" si="4"/>
        <v>101997</v>
      </c>
      <c r="L25" s="36">
        <f t="shared" si="3"/>
        <v>464653</v>
      </c>
      <c r="M25" s="31"/>
      <c r="N25" s="5"/>
    </row>
    <row r="26" spans="2:14" ht="18.75" x14ac:dyDescent="0.3">
      <c r="B26" s="34">
        <v>21</v>
      </c>
      <c r="C26" s="50" t="s">
        <v>20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36</v>
      </c>
      <c r="J26" s="35">
        <f t="shared" si="1"/>
        <v>14</v>
      </c>
      <c r="K26" s="36">
        <f t="shared" si="4"/>
        <v>407988</v>
      </c>
      <c r="L26" s="36">
        <f t="shared" si="3"/>
        <v>158662</v>
      </c>
      <c r="M26" s="31" t="s">
        <v>226</v>
      </c>
      <c r="N26" s="5"/>
    </row>
    <row r="27" spans="2:14" ht="18.75" x14ac:dyDescent="0.3">
      <c r="B27" s="34">
        <v>22</v>
      </c>
      <c r="C27" s="50" t="s">
        <v>232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6</v>
      </c>
      <c r="J27" s="35">
        <f t="shared" si="1"/>
        <v>44</v>
      </c>
      <c r="K27" s="36">
        <f t="shared" si="4"/>
        <v>67998</v>
      </c>
      <c r="L27" s="36">
        <f t="shared" si="3"/>
        <v>498652</v>
      </c>
      <c r="M27" s="31"/>
      <c r="N27" s="5"/>
    </row>
    <row r="28" spans="2:14" ht="18.75" x14ac:dyDescent="0.3">
      <c r="B28" s="34">
        <v>23</v>
      </c>
      <c r="C28" s="50" t="s">
        <v>214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6</v>
      </c>
      <c r="J28" s="35">
        <f t="shared" si="1"/>
        <v>44</v>
      </c>
      <c r="K28" s="36">
        <f t="shared" si="4"/>
        <v>67998</v>
      </c>
      <c r="L28" s="36">
        <f t="shared" si="3"/>
        <v>498652</v>
      </c>
      <c r="M28" s="31"/>
      <c r="N28" s="5"/>
    </row>
    <row r="29" spans="2:14" ht="18.75" x14ac:dyDescent="0.3">
      <c r="B29" s="34">
        <v>24</v>
      </c>
      <c r="C29" s="50" t="s">
        <v>31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3</v>
      </c>
      <c r="J29" s="35">
        <f t="shared" si="1"/>
        <v>47</v>
      </c>
      <c r="K29" s="36">
        <f t="shared" si="4"/>
        <v>33999</v>
      </c>
      <c r="L29" s="36">
        <f t="shared" si="3"/>
        <v>532651</v>
      </c>
      <c r="M29" s="31"/>
      <c r="N29" s="5"/>
    </row>
    <row r="30" spans="2:14" ht="18.75" x14ac:dyDescent="0.3">
      <c r="B30" s="34">
        <v>25</v>
      </c>
      <c r="C30" s="29" t="s">
        <v>161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16</v>
      </c>
      <c r="J30" s="35">
        <f t="shared" si="1"/>
        <v>34</v>
      </c>
      <c r="K30" s="36">
        <f t="shared" si="4"/>
        <v>181328</v>
      </c>
      <c r="L30" s="36">
        <f t="shared" si="3"/>
        <v>385322</v>
      </c>
      <c r="M30" s="31" t="s">
        <v>221</v>
      </c>
      <c r="N30" s="5"/>
    </row>
    <row r="31" spans="2:14" ht="18.75" x14ac:dyDescent="0.3">
      <c r="B31" s="34">
        <v>26</v>
      </c>
      <c r="C31" s="29" t="s">
        <v>170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25</v>
      </c>
      <c r="J31" s="35">
        <f t="shared" si="1"/>
        <v>25</v>
      </c>
      <c r="K31" s="36">
        <f t="shared" si="4"/>
        <v>283325</v>
      </c>
      <c r="L31" s="36">
        <f t="shared" si="3"/>
        <v>283325</v>
      </c>
      <c r="M31" s="31" t="s">
        <v>221</v>
      </c>
      <c r="N31" s="5"/>
    </row>
    <row r="32" spans="2:14" ht="18.75" x14ac:dyDescent="0.3">
      <c r="B32" s="34">
        <v>27</v>
      </c>
      <c r="C32" s="29" t="s">
        <v>172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21</v>
      </c>
      <c r="J32" s="35">
        <f t="shared" si="1"/>
        <v>29</v>
      </c>
      <c r="K32" s="36">
        <f t="shared" si="4"/>
        <v>237993</v>
      </c>
      <c r="L32" s="36">
        <f t="shared" si="3"/>
        <v>328657</v>
      </c>
      <c r="M32" s="31" t="s">
        <v>221</v>
      </c>
      <c r="N32" s="5"/>
    </row>
    <row r="33" spans="2:14" ht="18.75" x14ac:dyDescent="0.3">
      <c r="B33" s="34">
        <v>28</v>
      </c>
      <c r="C33" s="29" t="s">
        <v>237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1</v>
      </c>
      <c r="J33" s="35">
        <f t="shared" si="1"/>
        <v>49</v>
      </c>
      <c r="K33" s="36">
        <f t="shared" si="4"/>
        <v>11333</v>
      </c>
      <c r="L33" s="36">
        <f t="shared" si="3"/>
        <v>555317</v>
      </c>
      <c r="M33" s="31" t="s">
        <v>28</v>
      </c>
      <c r="N33" s="5"/>
    </row>
    <row r="34" spans="2:14" ht="18.75" x14ac:dyDescent="0.3">
      <c r="B34" s="34">
        <v>29</v>
      </c>
      <c r="C34" s="29" t="s">
        <v>238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1</v>
      </c>
      <c r="J34" s="35">
        <f t="shared" si="1"/>
        <v>49</v>
      </c>
      <c r="K34" s="36">
        <f t="shared" si="4"/>
        <v>11333</v>
      </c>
      <c r="L34" s="36">
        <f t="shared" si="3"/>
        <v>555317</v>
      </c>
      <c r="M34" s="31" t="s">
        <v>28</v>
      </c>
      <c r="N34" s="5"/>
    </row>
    <row r="35" spans="2:14" ht="18.75" x14ac:dyDescent="0.3">
      <c r="B35" s="34">
        <v>30</v>
      </c>
      <c r="C35" s="29" t="s">
        <v>239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50">
        <v>1</v>
      </c>
      <c r="J35" s="35">
        <f t="shared" si="1"/>
        <v>49</v>
      </c>
      <c r="K35" s="36">
        <f t="shared" si="4"/>
        <v>11333</v>
      </c>
      <c r="L35" s="36">
        <f t="shared" si="3"/>
        <v>555317</v>
      </c>
      <c r="M35" s="31" t="s">
        <v>28</v>
      </c>
      <c r="N35" s="5"/>
    </row>
    <row r="36" spans="2:14" ht="18.75" x14ac:dyDescent="0.3">
      <c r="B36" s="34">
        <v>31</v>
      </c>
      <c r="C36" s="29" t="s">
        <v>240</v>
      </c>
      <c r="D36" s="33">
        <v>500000</v>
      </c>
      <c r="E36" s="33">
        <v>66650</v>
      </c>
      <c r="F36" s="32">
        <f t="shared" si="0"/>
        <v>566650</v>
      </c>
      <c r="G36" s="34">
        <v>50</v>
      </c>
      <c r="H36" s="32">
        <v>11333</v>
      </c>
      <c r="I36" s="50">
        <v>1</v>
      </c>
      <c r="J36" s="35">
        <f t="shared" si="1"/>
        <v>49</v>
      </c>
      <c r="K36" s="36">
        <f t="shared" si="4"/>
        <v>11333</v>
      </c>
      <c r="L36" s="36">
        <f t="shared" si="3"/>
        <v>555317</v>
      </c>
      <c r="M36" s="31" t="s">
        <v>28</v>
      </c>
      <c r="N36" s="5"/>
    </row>
    <row r="37" spans="2:14" ht="18.75" x14ac:dyDescent="0.3">
      <c r="B37" s="34">
        <v>32</v>
      </c>
      <c r="C37" s="31" t="s">
        <v>74</v>
      </c>
      <c r="D37" s="33">
        <v>450000</v>
      </c>
      <c r="E37" s="33">
        <v>59985</v>
      </c>
      <c r="F37" s="32">
        <f t="shared" si="0"/>
        <v>509985</v>
      </c>
      <c r="G37" s="34">
        <v>50</v>
      </c>
      <c r="H37" s="32">
        <v>10199.700000000001</v>
      </c>
      <c r="I37" s="31">
        <v>22</v>
      </c>
      <c r="J37" s="35">
        <f t="shared" si="1"/>
        <v>28</v>
      </c>
      <c r="K37" s="32">
        <f t="shared" si="4"/>
        <v>224393.40000000002</v>
      </c>
      <c r="L37" s="33">
        <f t="shared" si="3"/>
        <v>285591.59999999998</v>
      </c>
      <c r="M37" s="31"/>
      <c r="N37" s="5"/>
    </row>
    <row r="38" spans="2:14" ht="18.75" x14ac:dyDescent="0.3">
      <c r="B38" s="34">
        <v>33</v>
      </c>
      <c r="C38" s="31" t="s">
        <v>77</v>
      </c>
      <c r="D38" s="33">
        <v>450000</v>
      </c>
      <c r="E38" s="33">
        <v>59985</v>
      </c>
      <c r="F38" s="32">
        <f t="shared" ref="F38:F69" si="5">D38+E38</f>
        <v>509985</v>
      </c>
      <c r="G38" s="34">
        <v>50</v>
      </c>
      <c r="H38" s="32">
        <v>10199.700000000001</v>
      </c>
      <c r="I38" s="52">
        <v>21</v>
      </c>
      <c r="J38" s="35">
        <f t="shared" ref="J38:J69" si="6">G38-I38</f>
        <v>29</v>
      </c>
      <c r="K38" s="32">
        <f t="shared" ref="K38:K47" si="7">H38*I38</f>
        <v>214193.7</v>
      </c>
      <c r="L38" s="33">
        <f t="shared" ref="L38:L69" si="8">F38-K38</f>
        <v>295791.3</v>
      </c>
      <c r="M38" s="31"/>
      <c r="N38" s="5"/>
    </row>
    <row r="39" spans="2:14" ht="18.75" x14ac:dyDescent="0.3">
      <c r="B39" s="34">
        <v>34</v>
      </c>
      <c r="C39" s="31" t="s">
        <v>78</v>
      </c>
      <c r="D39" s="33">
        <v>450000</v>
      </c>
      <c r="E39" s="33">
        <v>59985</v>
      </c>
      <c r="F39" s="32">
        <f t="shared" si="5"/>
        <v>509985</v>
      </c>
      <c r="G39" s="34">
        <v>50</v>
      </c>
      <c r="H39" s="32">
        <v>10199.700000000001</v>
      </c>
      <c r="I39" s="52">
        <v>21</v>
      </c>
      <c r="J39" s="35">
        <f t="shared" si="6"/>
        <v>29</v>
      </c>
      <c r="K39" s="32">
        <f t="shared" si="7"/>
        <v>214193.7</v>
      </c>
      <c r="L39" s="32">
        <f t="shared" si="8"/>
        <v>295791.3</v>
      </c>
      <c r="M39" s="31"/>
      <c r="N39" s="5"/>
    </row>
    <row r="40" spans="2:14" ht="18.75" x14ac:dyDescent="0.3">
      <c r="B40" s="34">
        <v>35</v>
      </c>
      <c r="C40" s="31" t="s">
        <v>82</v>
      </c>
      <c r="D40" s="33">
        <v>450000</v>
      </c>
      <c r="E40" s="33">
        <v>59985</v>
      </c>
      <c r="F40" s="32">
        <f t="shared" si="5"/>
        <v>509985</v>
      </c>
      <c r="G40" s="34">
        <v>50</v>
      </c>
      <c r="H40" s="32">
        <v>10199.700000000001</v>
      </c>
      <c r="I40" s="31">
        <v>25</v>
      </c>
      <c r="J40" s="35">
        <f t="shared" si="6"/>
        <v>25</v>
      </c>
      <c r="K40" s="36">
        <f t="shared" si="7"/>
        <v>254992.50000000003</v>
      </c>
      <c r="L40" s="36">
        <f t="shared" si="8"/>
        <v>254992.49999999997</v>
      </c>
      <c r="M40" s="31"/>
      <c r="N40" s="5"/>
    </row>
    <row r="41" spans="2:14" ht="18.75" x14ac:dyDescent="0.3">
      <c r="B41" s="34">
        <v>36</v>
      </c>
      <c r="C41" s="31" t="s">
        <v>92</v>
      </c>
      <c r="D41" s="33">
        <v>450000</v>
      </c>
      <c r="E41" s="33">
        <v>59985</v>
      </c>
      <c r="F41" s="32">
        <f t="shared" si="5"/>
        <v>509985</v>
      </c>
      <c r="G41" s="34">
        <v>50</v>
      </c>
      <c r="H41" s="32">
        <v>10199.700000000001</v>
      </c>
      <c r="I41" s="31">
        <v>49</v>
      </c>
      <c r="J41" s="35">
        <f t="shared" si="6"/>
        <v>1</v>
      </c>
      <c r="K41" s="36">
        <f t="shared" si="7"/>
        <v>499785.30000000005</v>
      </c>
      <c r="L41" s="32">
        <f t="shared" si="8"/>
        <v>10199.699999999953</v>
      </c>
      <c r="M41" s="31"/>
      <c r="N41" s="5"/>
    </row>
    <row r="42" spans="2:14" ht="18.75" x14ac:dyDescent="0.3">
      <c r="B42" s="34">
        <v>37</v>
      </c>
      <c r="C42" s="31" t="s">
        <v>99</v>
      </c>
      <c r="D42" s="33">
        <v>450000</v>
      </c>
      <c r="E42" s="33">
        <v>59985</v>
      </c>
      <c r="F42" s="32">
        <f t="shared" si="5"/>
        <v>509985</v>
      </c>
      <c r="G42" s="34">
        <v>50</v>
      </c>
      <c r="H42" s="36">
        <v>10199.700000000001</v>
      </c>
      <c r="I42" s="31">
        <v>25</v>
      </c>
      <c r="J42" s="35">
        <f t="shared" si="6"/>
        <v>25</v>
      </c>
      <c r="K42" s="36">
        <f t="shared" si="7"/>
        <v>254992.50000000003</v>
      </c>
      <c r="L42" s="36">
        <f t="shared" si="8"/>
        <v>254992.49999999997</v>
      </c>
      <c r="M42" s="31"/>
      <c r="N42" s="5"/>
    </row>
    <row r="43" spans="2:14" ht="18.75" x14ac:dyDescent="0.3">
      <c r="B43" s="34">
        <v>38</v>
      </c>
      <c r="C43" s="31" t="s">
        <v>194</v>
      </c>
      <c r="D43" s="33">
        <v>450000</v>
      </c>
      <c r="E43" s="33">
        <v>59985</v>
      </c>
      <c r="F43" s="32">
        <f t="shared" si="5"/>
        <v>509985</v>
      </c>
      <c r="G43" s="34">
        <v>50</v>
      </c>
      <c r="H43" s="32">
        <v>10199.700000000001</v>
      </c>
      <c r="I43" s="31">
        <v>49</v>
      </c>
      <c r="J43" s="35">
        <f t="shared" si="6"/>
        <v>1</v>
      </c>
      <c r="K43" s="36">
        <f t="shared" si="7"/>
        <v>499785.30000000005</v>
      </c>
      <c r="L43" s="32">
        <f t="shared" si="8"/>
        <v>10199.699999999953</v>
      </c>
      <c r="M43" s="31"/>
      <c r="N43" s="5"/>
    </row>
    <row r="44" spans="2:14" ht="18.75" x14ac:dyDescent="0.3">
      <c r="B44" s="34">
        <v>39</v>
      </c>
      <c r="C44" s="31" t="s">
        <v>115</v>
      </c>
      <c r="D44" s="33">
        <v>450000</v>
      </c>
      <c r="E44" s="33">
        <v>59985</v>
      </c>
      <c r="F44" s="32">
        <f t="shared" si="5"/>
        <v>509985</v>
      </c>
      <c r="G44" s="34">
        <v>50</v>
      </c>
      <c r="H44" s="32">
        <v>10199.700000000001</v>
      </c>
      <c r="I44" s="31">
        <v>49</v>
      </c>
      <c r="J44" s="35">
        <f t="shared" si="6"/>
        <v>1</v>
      </c>
      <c r="K44" s="36">
        <f t="shared" si="7"/>
        <v>499785.30000000005</v>
      </c>
      <c r="L44" s="32">
        <f t="shared" si="8"/>
        <v>10199.699999999953</v>
      </c>
      <c r="M44" s="31"/>
      <c r="N44" s="5"/>
    </row>
    <row r="45" spans="2:14" ht="18.75" x14ac:dyDescent="0.3">
      <c r="B45" s="34">
        <v>40</v>
      </c>
      <c r="C45" s="31" t="s">
        <v>196</v>
      </c>
      <c r="D45" s="33">
        <v>450000</v>
      </c>
      <c r="E45" s="33">
        <v>59985</v>
      </c>
      <c r="F45" s="32">
        <f t="shared" si="5"/>
        <v>509985</v>
      </c>
      <c r="G45" s="34">
        <v>50</v>
      </c>
      <c r="H45" s="32">
        <v>10199.700000000001</v>
      </c>
      <c r="I45" s="31">
        <v>40</v>
      </c>
      <c r="J45" s="35">
        <f t="shared" si="6"/>
        <v>10</v>
      </c>
      <c r="K45" s="36">
        <f t="shared" si="7"/>
        <v>407988</v>
      </c>
      <c r="L45" s="32">
        <f t="shared" si="8"/>
        <v>101997</v>
      </c>
      <c r="M45" s="31"/>
      <c r="N45" s="5"/>
    </row>
    <row r="46" spans="2:14" ht="18.75" x14ac:dyDescent="0.3">
      <c r="B46" s="34">
        <v>41</v>
      </c>
      <c r="C46" s="31" t="s">
        <v>122</v>
      </c>
      <c r="D46" s="33">
        <v>450000</v>
      </c>
      <c r="E46" s="33">
        <v>59985</v>
      </c>
      <c r="F46" s="32">
        <f t="shared" si="5"/>
        <v>509985</v>
      </c>
      <c r="G46" s="34">
        <v>50</v>
      </c>
      <c r="H46" s="36">
        <v>10199.700000000001</v>
      </c>
      <c r="I46" s="31">
        <v>25</v>
      </c>
      <c r="J46" s="35">
        <f t="shared" si="6"/>
        <v>25</v>
      </c>
      <c r="K46" s="36">
        <f t="shared" si="7"/>
        <v>254992.50000000003</v>
      </c>
      <c r="L46" s="36">
        <f t="shared" si="8"/>
        <v>254992.49999999997</v>
      </c>
      <c r="M46" s="31"/>
      <c r="N46" s="5"/>
    </row>
    <row r="47" spans="2:14" ht="18.75" x14ac:dyDescent="0.3">
      <c r="B47" s="34">
        <v>42</v>
      </c>
      <c r="C47" s="31" t="s">
        <v>204</v>
      </c>
      <c r="D47" s="33">
        <v>450000</v>
      </c>
      <c r="E47" s="33">
        <v>59985</v>
      </c>
      <c r="F47" s="32">
        <f t="shared" si="5"/>
        <v>509985</v>
      </c>
      <c r="G47" s="34">
        <v>50</v>
      </c>
      <c r="H47" s="32">
        <v>10199.700000000001</v>
      </c>
      <c r="I47" s="31">
        <v>30</v>
      </c>
      <c r="J47" s="35">
        <f t="shared" si="6"/>
        <v>20</v>
      </c>
      <c r="K47" s="36">
        <f t="shared" si="7"/>
        <v>305991</v>
      </c>
      <c r="L47" s="32">
        <f t="shared" si="8"/>
        <v>203994</v>
      </c>
      <c r="M47" s="31"/>
      <c r="N47" s="5"/>
    </row>
    <row r="48" spans="2:14" ht="18.75" x14ac:dyDescent="0.3">
      <c r="B48" s="34">
        <v>43</v>
      </c>
      <c r="C48" s="31" t="s">
        <v>205</v>
      </c>
      <c r="D48" s="33">
        <v>450000</v>
      </c>
      <c r="E48" s="33">
        <v>59985</v>
      </c>
      <c r="F48" s="32">
        <f t="shared" si="5"/>
        <v>509985</v>
      </c>
      <c r="G48" s="34">
        <v>50</v>
      </c>
      <c r="H48" s="32">
        <v>10199.700000000001</v>
      </c>
      <c r="I48" s="31">
        <v>49</v>
      </c>
      <c r="J48" s="35">
        <f t="shared" si="6"/>
        <v>1</v>
      </c>
      <c r="K48" s="36">
        <f>I48*H48</f>
        <v>499785.30000000005</v>
      </c>
      <c r="L48" s="32">
        <f t="shared" si="8"/>
        <v>10199.699999999953</v>
      </c>
      <c r="M48" s="31"/>
      <c r="N48" s="5"/>
    </row>
    <row r="49" spans="2:14" ht="18.75" x14ac:dyDescent="0.3">
      <c r="B49" s="34">
        <v>44</v>
      </c>
      <c r="C49" s="31" t="s">
        <v>206</v>
      </c>
      <c r="D49" s="33">
        <v>450000</v>
      </c>
      <c r="E49" s="33">
        <v>59985</v>
      </c>
      <c r="F49" s="32">
        <f t="shared" si="5"/>
        <v>509985</v>
      </c>
      <c r="G49" s="34">
        <v>50</v>
      </c>
      <c r="H49" s="32">
        <v>10199.700000000001</v>
      </c>
      <c r="I49" s="31">
        <v>44</v>
      </c>
      <c r="J49" s="35">
        <f t="shared" si="6"/>
        <v>6</v>
      </c>
      <c r="K49" s="32">
        <f>H49*I49</f>
        <v>448786.80000000005</v>
      </c>
      <c r="L49" s="32">
        <f t="shared" si="8"/>
        <v>61198.199999999953</v>
      </c>
      <c r="M49" s="31"/>
      <c r="N49" s="5"/>
    </row>
    <row r="50" spans="2:14" ht="18.75" x14ac:dyDescent="0.3">
      <c r="B50" s="34">
        <v>45</v>
      </c>
      <c r="C50" s="50" t="s">
        <v>146</v>
      </c>
      <c r="D50" s="33">
        <v>450000</v>
      </c>
      <c r="E50" s="33">
        <v>59985</v>
      </c>
      <c r="F50" s="32">
        <f t="shared" si="5"/>
        <v>509985</v>
      </c>
      <c r="G50" s="34">
        <v>50</v>
      </c>
      <c r="H50" s="32">
        <v>10199.700000000001</v>
      </c>
      <c r="I50" s="50">
        <v>14</v>
      </c>
      <c r="J50" s="35">
        <f t="shared" si="6"/>
        <v>36</v>
      </c>
      <c r="K50" s="36">
        <f t="shared" ref="K50:K56" si="9">I50*H50</f>
        <v>142795.80000000002</v>
      </c>
      <c r="L50" s="36">
        <f t="shared" si="8"/>
        <v>367189.19999999995</v>
      </c>
      <c r="M50" s="31"/>
      <c r="N50" s="5"/>
    </row>
    <row r="51" spans="2:14" ht="18.75" x14ac:dyDescent="0.3">
      <c r="B51" s="34">
        <v>46</v>
      </c>
      <c r="C51" s="50" t="s">
        <v>231</v>
      </c>
      <c r="D51" s="33">
        <v>450000</v>
      </c>
      <c r="E51" s="33">
        <v>59985</v>
      </c>
      <c r="F51" s="32">
        <f t="shared" si="5"/>
        <v>509985</v>
      </c>
      <c r="G51" s="34">
        <v>50</v>
      </c>
      <c r="H51" s="32">
        <v>10199.700000000001</v>
      </c>
      <c r="I51" s="50">
        <v>14</v>
      </c>
      <c r="J51" s="35">
        <f t="shared" si="6"/>
        <v>36</v>
      </c>
      <c r="K51" s="36">
        <f t="shared" si="9"/>
        <v>142795.80000000002</v>
      </c>
      <c r="L51" s="36">
        <f t="shared" si="8"/>
        <v>367189.19999999995</v>
      </c>
      <c r="M51" s="31"/>
      <c r="N51" s="5"/>
    </row>
    <row r="52" spans="2:14" ht="18.75" x14ac:dyDescent="0.3">
      <c r="B52" s="34">
        <v>47</v>
      </c>
      <c r="C52" s="50" t="s">
        <v>17</v>
      </c>
      <c r="D52" s="33">
        <v>450000</v>
      </c>
      <c r="E52" s="33">
        <v>59985</v>
      </c>
      <c r="F52" s="32">
        <f t="shared" si="5"/>
        <v>509985</v>
      </c>
      <c r="G52" s="34">
        <v>50</v>
      </c>
      <c r="H52" s="32">
        <v>10199.700000000001</v>
      </c>
      <c r="I52" s="50">
        <v>9</v>
      </c>
      <c r="J52" s="35">
        <f t="shared" si="6"/>
        <v>41</v>
      </c>
      <c r="K52" s="36">
        <f t="shared" si="9"/>
        <v>91797.3</v>
      </c>
      <c r="L52" s="36">
        <f t="shared" si="8"/>
        <v>418187.7</v>
      </c>
      <c r="M52" s="31"/>
      <c r="N52" s="5"/>
    </row>
    <row r="53" spans="2:14" ht="18.75" x14ac:dyDescent="0.3">
      <c r="B53" s="34">
        <v>48</v>
      </c>
      <c r="C53" s="50" t="s">
        <v>22</v>
      </c>
      <c r="D53" s="33">
        <v>450000</v>
      </c>
      <c r="E53" s="33">
        <v>59985</v>
      </c>
      <c r="F53" s="32">
        <f t="shared" si="5"/>
        <v>509985</v>
      </c>
      <c r="G53" s="34">
        <v>50</v>
      </c>
      <c r="H53" s="32">
        <v>10199.700000000001</v>
      </c>
      <c r="I53" s="50">
        <v>6</v>
      </c>
      <c r="J53" s="35">
        <f t="shared" si="6"/>
        <v>44</v>
      </c>
      <c r="K53" s="36">
        <f t="shared" si="9"/>
        <v>61198.200000000004</v>
      </c>
      <c r="L53" s="36">
        <f t="shared" si="8"/>
        <v>448786.8</v>
      </c>
      <c r="M53" s="31"/>
      <c r="N53" s="5"/>
    </row>
    <row r="54" spans="2:14" ht="18.75" x14ac:dyDescent="0.3">
      <c r="B54" s="34">
        <v>49</v>
      </c>
      <c r="C54" s="50" t="s">
        <v>29</v>
      </c>
      <c r="D54" s="33">
        <v>450000</v>
      </c>
      <c r="E54" s="33">
        <v>59985</v>
      </c>
      <c r="F54" s="32">
        <f t="shared" si="5"/>
        <v>509985</v>
      </c>
      <c r="G54" s="34">
        <v>50</v>
      </c>
      <c r="H54" s="32">
        <v>10199.700000000001</v>
      </c>
      <c r="I54" s="50">
        <v>3</v>
      </c>
      <c r="J54" s="35">
        <f t="shared" si="6"/>
        <v>47</v>
      </c>
      <c r="K54" s="36">
        <f t="shared" si="9"/>
        <v>30599.100000000002</v>
      </c>
      <c r="L54" s="36">
        <f t="shared" si="8"/>
        <v>479385.9</v>
      </c>
      <c r="M54" s="31"/>
      <c r="N54" s="5"/>
    </row>
    <row r="55" spans="2:14" ht="18.75" x14ac:dyDescent="0.3">
      <c r="B55" s="34">
        <v>50</v>
      </c>
      <c r="C55" s="29" t="s">
        <v>35</v>
      </c>
      <c r="D55" s="33">
        <v>450000</v>
      </c>
      <c r="E55" s="33">
        <v>59985</v>
      </c>
      <c r="F55" s="32">
        <f t="shared" si="5"/>
        <v>509985</v>
      </c>
      <c r="G55" s="34">
        <v>50</v>
      </c>
      <c r="H55" s="32">
        <v>10199.700000000001</v>
      </c>
      <c r="I55" s="50">
        <v>4</v>
      </c>
      <c r="J55" s="35">
        <f t="shared" si="6"/>
        <v>46</v>
      </c>
      <c r="K55" s="36">
        <f t="shared" si="9"/>
        <v>40798.800000000003</v>
      </c>
      <c r="L55" s="36">
        <f t="shared" si="8"/>
        <v>469186.2</v>
      </c>
      <c r="M55" s="31"/>
      <c r="N55" s="5"/>
    </row>
    <row r="56" spans="2:14" ht="18.75" x14ac:dyDescent="0.3">
      <c r="B56" s="34">
        <v>51</v>
      </c>
      <c r="C56" s="29" t="s">
        <v>241</v>
      </c>
      <c r="D56" s="33">
        <v>450000</v>
      </c>
      <c r="E56" s="33">
        <v>59985</v>
      </c>
      <c r="F56" s="32">
        <f t="shared" si="5"/>
        <v>509985</v>
      </c>
      <c r="G56" s="34">
        <v>50</v>
      </c>
      <c r="H56" s="32">
        <v>10199.700000000001</v>
      </c>
      <c r="I56" s="50">
        <v>1</v>
      </c>
      <c r="J56" s="35">
        <f t="shared" si="6"/>
        <v>49</v>
      </c>
      <c r="K56" s="36">
        <f t="shared" si="9"/>
        <v>10199.700000000001</v>
      </c>
      <c r="L56" s="36">
        <f t="shared" si="8"/>
        <v>499785.3</v>
      </c>
      <c r="M56" s="31" t="s">
        <v>28</v>
      </c>
      <c r="N56" s="5"/>
    </row>
    <row r="57" spans="2:14" ht="18.75" x14ac:dyDescent="0.3">
      <c r="B57" s="34">
        <v>52</v>
      </c>
      <c r="C57" s="31" t="s">
        <v>189</v>
      </c>
      <c r="D57" s="32">
        <v>330000</v>
      </c>
      <c r="E57" s="33">
        <v>43989</v>
      </c>
      <c r="F57" s="32">
        <f t="shared" si="5"/>
        <v>373989</v>
      </c>
      <c r="G57" s="34">
        <v>50</v>
      </c>
      <c r="H57" s="32">
        <v>7479.78</v>
      </c>
      <c r="I57" s="31">
        <v>40</v>
      </c>
      <c r="J57" s="35">
        <f t="shared" si="6"/>
        <v>10</v>
      </c>
      <c r="K57" s="33">
        <f t="shared" ref="K57:K70" si="10">H57*I57</f>
        <v>299191.2</v>
      </c>
      <c r="L57" s="32">
        <f t="shared" si="8"/>
        <v>74797.799999999988</v>
      </c>
      <c r="M57" s="53"/>
      <c r="N57" s="5"/>
    </row>
    <row r="58" spans="2:14" ht="18.75" x14ac:dyDescent="0.3">
      <c r="B58" s="34">
        <v>53</v>
      </c>
      <c r="C58" s="31" t="s">
        <v>79</v>
      </c>
      <c r="D58" s="32">
        <v>330000</v>
      </c>
      <c r="E58" s="33">
        <v>43989</v>
      </c>
      <c r="F58" s="32">
        <f t="shared" si="5"/>
        <v>373989</v>
      </c>
      <c r="G58" s="34">
        <v>50</v>
      </c>
      <c r="H58" s="32">
        <v>7479.78</v>
      </c>
      <c r="I58" s="31">
        <v>21</v>
      </c>
      <c r="J58" s="35">
        <f t="shared" si="6"/>
        <v>29</v>
      </c>
      <c r="K58" s="32">
        <f t="shared" si="10"/>
        <v>157075.38</v>
      </c>
      <c r="L58" s="36">
        <f t="shared" si="8"/>
        <v>216913.62</v>
      </c>
      <c r="M58" s="31"/>
      <c r="N58" s="5"/>
    </row>
    <row r="59" spans="2:14" ht="18.75" x14ac:dyDescent="0.3">
      <c r="B59" s="34">
        <v>54</v>
      </c>
      <c r="C59" s="31" t="s">
        <v>83</v>
      </c>
      <c r="D59" s="32">
        <v>330000</v>
      </c>
      <c r="E59" s="33">
        <v>43989</v>
      </c>
      <c r="F59" s="32">
        <f t="shared" si="5"/>
        <v>373989</v>
      </c>
      <c r="G59" s="34">
        <v>50</v>
      </c>
      <c r="H59" s="32">
        <v>7479.78</v>
      </c>
      <c r="I59" s="31">
        <v>25</v>
      </c>
      <c r="J59" s="35">
        <f t="shared" si="6"/>
        <v>25</v>
      </c>
      <c r="K59" s="36">
        <f t="shared" si="10"/>
        <v>186994.5</v>
      </c>
      <c r="L59" s="36">
        <f t="shared" si="8"/>
        <v>186994.5</v>
      </c>
      <c r="M59" s="31"/>
      <c r="N59" s="5"/>
    </row>
    <row r="60" spans="2:14" ht="18.75" x14ac:dyDescent="0.3">
      <c r="B60" s="34">
        <v>55</v>
      </c>
      <c r="C60" s="31" t="s">
        <v>95</v>
      </c>
      <c r="D60" s="32">
        <v>330000</v>
      </c>
      <c r="E60" s="33">
        <v>43989</v>
      </c>
      <c r="F60" s="32">
        <f t="shared" si="5"/>
        <v>373989</v>
      </c>
      <c r="G60" s="34">
        <v>50</v>
      </c>
      <c r="H60" s="32">
        <v>7479.78</v>
      </c>
      <c r="I60" s="31">
        <v>21</v>
      </c>
      <c r="J60" s="35">
        <f t="shared" si="6"/>
        <v>29</v>
      </c>
      <c r="K60" s="36">
        <f t="shared" si="10"/>
        <v>157075.38</v>
      </c>
      <c r="L60" s="32">
        <f t="shared" si="8"/>
        <v>216913.62</v>
      </c>
      <c r="M60" s="31"/>
      <c r="N60" s="5"/>
    </row>
    <row r="61" spans="2:14" ht="18.75" x14ac:dyDescent="0.3">
      <c r="B61" s="34">
        <v>56</v>
      </c>
      <c r="C61" s="31" t="s">
        <v>96</v>
      </c>
      <c r="D61" s="32">
        <v>330000</v>
      </c>
      <c r="E61" s="33">
        <v>43989</v>
      </c>
      <c r="F61" s="32">
        <f t="shared" si="5"/>
        <v>373989</v>
      </c>
      <c r="G61" s="34">
        <v>50</v>
      </c>
      <c r="H61" s="36">
        <v>7479.78</v>
      </c>
      <c r="I61" s="31">
        <v>25</v>
      </c>
      <c r="J61" s="35">
        <f t="shared" si="6"/>
        <v>25</v>
      </c>
      <c r="K61" s="36">
        <f t="shared" si="10"/>
        <v>186994.5</v>
      </c>
      <c r="L61" s="36">
        <f t="shared" si="8"/>
        <v>186994.5</v>
      </c>
      <c r="M61" s="31"/>
      <c r="N61" s="5"/>
    </row>
    <row r="62" spans="2:14" ht="18.75" x14ac:dyDescent="0.3">
      <c r="B62" s="34">
        <v>57</v>
      </c>
      <c r="C62" s="31" t="s">
        <v>109</v>
      </c>
      <c r="D62" s="32">
        <v>330000</v>
      </c>
      <c r="E62" s="33">
        <v>43989</v>
      </c>
      <c r="F62" s="32">
        <f t="shared" si="5"/>
        <v>373989</v>
      </c>
      <c r="G62" s="34">
        <v>50</v>
      </c>
      <c r="H62" s="32">
        <v>7479.78</v>
      </c>
      <c r="I62" s="31">
        <v>49</v>
      </c>
      <c r="J62" s="35">
        <f t="shared" si="6"/>
        <v>1</v>
      </c>
      <c r="K62" s="36">
        <f t="shared" si="10"/>
        <v>366509.22</v>
      </c>
      <c r="L62" s="32">
        <f t="shared" si="8"/>
        <v>7479.7800000000279</v>
      </c>
      <c r="M62" s="31"/>
      <c r="N62" s="5"/>
    </row>
    <row r="63" spans="2:14" ht="18.75" x14ac:dyDescent="0.3">
      <c r="B63" s="34">
        <v>58</v>
      </c>
      <c r="C63" s="31" t="s">
        <v>233</v>
      </c>
      <c r="D63" s="32">
        <v>330000</v>
      </c>
      <c r="E63" s="33">
        <v>43989</v>
      </c>
      <c r="F63" s="32">
        <f t="shared" si="5"/>
        <v>373989</v>
      </c>
      <c r="G63" s="34">
        <v>50</v>
      </c>
      <c r="H63" s="36">
        <v>7479.78</v>
      </c>
      <c r="I63" s="31">
        <v>25</v>
      </c>
      <c r="J63" s="35">
        <f t="shared" si="6"/>
        <v>25</v>
      </c>
      <c r="K63" s="36">
        <f t="shared" si="10"/>
        <v>186994.5</v>
      </c>
      <c r="L63" s="36">
        <f t="shared" si="8"/>
        <v>186994.5</v>
      </c>
      <c r="M63" s="31"/>
      <c r="N63" s="5"/>
    </row>
    <row r="64" spans="2:14" ht="18.75" x14ac:dyDescent="0.3">
      <c r="B64" s="34">
        <v>59</v>
      </c>
      <c r="C64" s="31" t="s">
        <v>220</v>
      </c>
      <c r="D64" s="32">
        <v>330000</v>
      </c>
      <c r="E64" s="33">
        <v>43989</v>
      </c>
      <c r="F64" s="32">
        <f t="shared" si="5"/>
        <v>373989</v>
      </c>
      <c r="G64" s="34">
        <v>50</v>
      </c>
      <c r="H64" s="32">
        <v>7479.78</v>
      </c>
      <c r="I64" s="31">
        <v>25</v>
      </c>
      <c r="J64" s="35">
        <f t="shared" si="6"/>
        <v>25</v>
      </c>
      <c r="K64" s="36">
        <f t="shared" si="10"/>
        <v>186994.5</v>
      </c>
      <c r="L64" s="32">
        <f t="shared" si="8"/>
        <v>186994.5</v>
      </c>
      <c r="M64" s="31"/>
      <c r="N64" s="5"/>
    </row>
    <row r="65" spans="2:14" ht="18.75" x14ac:dyDescent="0.3">
      <c r="B65" s="34">
        <v>60</v>
      </c>
      <c r="C65" s="31" t="s">
        <v>119</v>
      </c>
      <c r="D65" s="32">
        <v>330000</v>
      </c>
      <c r="E65" s="33">
        <v>43989</v>
      </c>
      <c r="F65" s="32">
        <f t="shared" si="5"/>
        <v>373989</v>
      </c>
      <c r="G65" s="34">
        <v>50</v>
      </c>
      <c r="H65" s="32">
        <v>7479.78</v>
      </c>
      <c r="I65" s="31">
        <v>49</v>
      </c>
      <c r="J65" s="35">
        <f t="shared" si="6"/>
        <v>1</v>
      </c>
      <c r="K65" s="36">
        <f t="shared" si="10"/>
        <v>366509.22</v>
      </c>
      <c r="L65" s="32">
        <f t="shared" si="8"/>
        <v>7479.7800000000279</v>
      </c>
      <c r="M65" s="31"/>
      <c r="N65" s="5"/>
    </row>
    <row r="66" spans="2:14" ht="18.75" x14ac:dyDescent="0.3">
      <c r="B66" s="34">
        <v>61</v>
      </c>
      <c r="C66" s="31" t="s">
        <v>132</v>
      </c>
      <c r="D66" s="32">
        <v>330000</v>
      </c>
      <c r="E66" s="33">
        <v>21994.5</v>
      </c>
      <c r="F66" s="32">
        <f t="shared" si="5"/>
        <v>351994.5</v>
      </c>
      <c r="G66" s="34">
        <v>25</v>
      </c>
      <c r="H66" s="32">
        <v>14079.78</v>
      </c>
      <c r="I66" s="31">
        <v>25</v>
      </c>
      <c r="J66" s="35">
        <f t="shared" si="6"/>
        <v>0</v>
      </c>
      <c r="K66" s="36">
        <f t="shared" si="10"/>
        <v>351994.5</v>
      </c>
      <c r="L66" s="32">
        <f t="shared" si="8"/>
        <v>0</v>
      </c>
      <c r="M66" s="31"/>
      <c r="N66" s="5"/>
    </row>
    <row r="67" spans="2:14" ht="18.75" x14ac:dyDescent="0.3">
      <c r="B67" s="34">
        <v>62</v>
      </c>
      <c r="C67" s="31" t="s">
        <v>135</v>
      </c>
      <c r="D67" s="32">
        <v>330000</v>
      </c>
      <c r="E67" s="33">
        <v>43989</v>
      </c>
      <c r="F67" s="32">
        <f t="shared" si="5"/>
        <v>373989</v>
      </c>
      <c r="G67" s="34">
        <v>50</v>
      </c>
      <c r="H67" s="32">
        <v>7479.78</v>
      </c>
      <c r="I67" s="31">
        <v>46</v>
      </c>
      <c r="J67" s="35">
        <f t="shared" si="6"/>
        <v>4</v>
      </c>
      <c r="K67" s="36">
        <f t="shared" si="10"/>
        <v>344069.88</v>
      </c>
      <c r="L67" s="32">
        <f t="shared" si="8"/>
        <v>29919.119999999995</v>
      </c>
      <c r="M67" s="31"/>
      <c r="N67" s="5"/>
    </row>
    <row r="68" spans="2:14" ht="18.75" x14ac:dyDescent="0.3">
      <c r="B68" s="34">
        <v>63</v>
      </c>
      <c r="C68" s="31" t="s">
        <v>140</v>
      </c>
      <c r="D68" s="32">
        <v>330000</v>
      </c>
      <c r="E68" s="33">
        <v>43989</v>
      </c>
      <c r="F68" s="32">
        <f t="shared" si="5"/>
        <v>373989</v>
      </c>
      <c r="G68" s="34">
        <v>50</v>
      </c>
      <c r="H68" s="36">
        <v>7479.78</v>
      </c>
      <c r="I68" s="31">
        <v>25</v>
      </c>
      <c r="J68" s="35">
        <f t="shared" si="6"/>
        <v>25</v>
      </c>
      <c r="K68" s="36">
        <f t="shared" si="10"/>
        <v>186994.5</v>
      </c>
      <c r="L68" s="36">
        <f t="shared" si="8"/>
        <v>186994.5</v>
      </c>
      <c r="M68" s="31"/>
      <c r="N68" s="5"/>
    </row>
    <row r="69" spans="2:14" ht="18.75" x14ac:dyDescent="0.3">
      <c r="B69" s="34">
        <v>64</v>
      </c>
      <c r="C69" s="31" t="s">
        <v>141</v>
      </c>
      <c r="D69" s="32">
        <v>330000</v>
      </c>
      <c r="E69" s="33">
        <v>43989</v>
      </c>
      <c r="F69" s="32">
        <f t="shared" si="5"/>
        <v>373989</v>
      </c>
      <c r="G69" s="34">
        <v>50</v>
      </c>
      <c r="H69" s="36">
        <v>7479.78</v>
      </c>
      <c r="I69" s="31">
        <v>49</v>
      </c>
      <c r="J69" s="35">
        <f t="shared" si="6"/>
        <v>1</v>
      </c>
      <c r="K69" s="31">
        <f t="shared" si="10"/>
        <v>366509.22</v>
      </c>
      <c r="L69" s="36">
        <f t="shared" si="8"/>
        <v>7479.7800000000279</v>
      </c>
      <c r="M69" s="31"/>
      <c r="N69" s="5"/>
    </row>
    <row r="70" spans="2:14" ht="18.75" x14ac:dyDescent="0.3">
      <c r="B70" s="34">
        <v>65</v>
      </c>
      <c r="C70" s="31" t="s">
        <v>175</v>
      </c>
      <c r="D70" s="32">
        <v>330000</v>
      </c>
      <c r="E70" s="33">
        <v>43989</v>
      </c>
      <c r="F70" s="32">
        <f t="shared" ref="F70" si="11">D70+E70</f>
        <v>373989</v>
      </c>
      <c r="G70" s="34">
        <v>50</v>
      </c>
      <c r="H70" s="36">
        <v>7479.78</v>
      </c>
      <c r="I70" s="31">
        <v>20</v>
      </c>
      <c r="J70" s="35">
        <f t="shared" ref="J70:J101" si="12">G70-I70</f>
        <v>30</v>
      </c>
      <c r="K70" s="36">
        <f t="shared" si="10"/>
        <v>149595.6</v>
      </c>
      <c r="L70" s="36">
        <f t="shared" ref="L70:L101" si="13">F70-K70</f>
        <v>224393.4</v>
      </c>
      <c r="M70" s="31"/>
      <c r="N70" s="5"/>
    </row>
    <row r="71" spans="2:14" ht="18.75" x14ac:dyDescent="0.3">
      <c r="B71" s="34">
        <v>66</v>
      </c>
      <c r="C71" s="50" t="s">
        <v>149</v>
      </c>
      <c r="D71" s="33">
        <v>330000</v>
      </c>
      <c r="E71" s="33">
        <v>43989</v>
      </c>
      <c r="F71" s="32">
        <v>373989</v>
      </c>
      <c r="G71" s="34">
        <v>50</v>
      </c>
      <c r="H71" s="32">
        <v>7478.78</v>
      </c>
      <c r="I71" s="50">
        <v>14</v>
      </c>
      <c r="J71" s="35">
        <f t="shared" si="12"/>
        <v>36</v>
      </c>
      <c r="K71" s="36">
        <f t="shared" ref="K71:K90" si="14">I71*H71</f>
        <v>104702.92</v>
      </c>
      <c r="L71" s="36">
        <f t="shared" si="13"/>
        <v>269286.08</v>
      </c>
      <c r="M71" s="31"/>
      <c r="N71" s="5"/>
    </row>
    <row r="72" spans="2:14" ht="18.75" x14ac:dyDescent="0.3">
      <c r="B72" s="34">
        <v>67</v>
      </c>
      <c r="C72" s="50" t="s">
        <v>150</v>
      </c>
      <c r="D72" s="33">
        <v>330000</v>
      </c>
      <c r="E72" s="33">
        <v>43989</v>
      </c>
      <c r="F72" s="32">
        <f t="shared" ref="F72:F103" si="15">D72+E72</f>
        <v>373989</v>
      </c>
      <c r="G72" s="34">
        <v>50</v>
      </c>
      <c r="H72" s="32">
        <v>7479.78</v>
      </c>
      <c r="I72" s="50">
        <v>14</v>
      </c>
      <c r="J72" s="35">
        <f t="shared" si="12"/>
        <v>36</v>
      </c>
      <c r="K72" s="36">
        <f t="shared" si="14"/>
        <v>104716.92</v>
      </c>
      <c r="L72" s="36">
        <f t="shared" si="13"/>
        <v>269272.08</v>
      </c>
      <c r="M72" s="31"/>
      <c r="N72" s="5"/>
    </row>
    <row r="73" spans="2:14" ht="18.75" x14ac:dyDescent="0.3">
      <c r="B73" s="34">
        <v>68</v>
      </c>
      <c r="C73" s="50" t="s">
        <v>209</v>
      </c>
      <c r="D73" s="33">
        <v>330000</v>
      </c>
      <c r="E73" s="33">
        <v>43989</v>
      </c>
      <c r="F73" s="32">
        <f t="shared" si="15"/>
        <v>373989</v>
      </c>
      <c r="G73" s="34">
        <v>50</v>
      </c>
      <c r="H73" s="32">
        <v>7479.78</v>
      </c>
      <c r="I73" s="50">
        <v>11</v>
      </c>
      <c r="J73" s="35">
        <f t="shared" si="12"/>
        <v>39</v>
      </c>
      <c r="K73" s="36">
        <f t="shared" si="14"/>
        <v>82277.58</v>
      </c>
      <c r="L73" s="36">
        <f t="shared" si="13"/>
        <v>291711.42</v>
      </c>
      <c r="M73" s="31"/>
      <c r="N73" s="5"/>
    </row>
    <row r="74" spans="2:14" ht="18.75" x14ac:dyDescent="0.3">
      <c r="B74" s="34">
        <v>69</v>
      </c>
      <c r="C74" s="50" t="s">
        <v>210</v>
      </c>
      <c r="D74" s="33">
        <v>330000</v>
      </c>
      <c r="E74" s="33">
        <v>43989</v>
      </c>
      <c r="F74" s="32">
        <f t="shared" si="15"/>
        <v>373989</v>
      </c>
      <c r="G74" s="34">
        <v>50</v>
      </c>
      <c r="H74" s="32">
        <v>7479.78</v>
      </c>
      <c r="I74" s="50">
        <v>11</v>
      </c>
      <c r="J74" s="35">
        <f t="shared" si="12"/>
        <v>39</v>
      </c>
      <c r="K74" s="36">
        <f t="shared" si="14"/>
        <v>82277.58</v>
      </c>
      <c r="L74" s="36">
        <f t="shared" si="13"/>
        <v>291711.42</v>
      </c>
      <c r="M74" s="31"/>
      <c r="N74" s="5"/>
    </row>
    <row r="75" spans="2:14" ht="18.75" x14ac:dyDescent="0.3">
      <c r="B75" s="34">
        <v>70</v>
      </c>
      <c r="C75" s="50" t="s">
        <v>211</v>
      </c>
      <c r="D75" s="33">
        <v>330000</v>
      </c>
      <c r="E75" s="33">
        <v>43989</v>
      </c>
      <c r="F75" s="32">
        <f t="shared" si="15"/>
        <v>373989</v>
      </c>
      <c r="G75" s="34">
        <v>50</v>
      </c>
      <c r="H75" s="32">
        <v>7479.78</v>
      </c>
      <c r="I75" s="50">
        <v>11</v>
      </c>
      <c r="J75" s="35">
        <f t="shared" si="12"/>
        <v>39</v>
      </c>
      <c r="K75" s="36">
        <f t="shared" si="14"/>
        <v>82277.58</v>
      </c>
      <c r="L75" s="36">
        <f t="shared" si="13"/>
        <v>291711.42</v>
      </c>
      <c r="M75" s="31"/>
      <c r="N75" s="5"/>
    </row>
    <row r="76" spans="2:14" ht="18.75" x14ac:dyDescent="0.3">
      <c r="B76" s="34">
        <v>71</v>
      </c>
      <c r="C76" s="50" t="s">
        <v>212</v>
      </c>
      <c r="D76" s="33">
        <v>330000</v>
      </c>
      <c r="E76" s="33">
        <v>43989</v>
      </c>
      <c r="F76" s="32">
        <f t="shared" si="15"/>
        <v>373989</v>
      </c>
      <c r="G76" s="34">
        <v>50</v>
      </c>
      <c r="H76" s="32">
        <v>7479.78</v>
      </c>
      <c r="I76" s="50">
        <v>10</v>
      </c>
      <c r="J76" s="35">
        <f t="shared" si="12"/>
        <v>40</v>
      </c>
      <c r="K76" s="36">
        <f t="shared" si="14"/>
        <v>74797.8</v>
      </c>
      <c r="L76" s="36">
        <f t="shared" si="13"/>
        <v>299191.2</v>
      </c>
      <c r="M76" s="31"/>
      <c r="N76" s="5"/>
    </row>
    <row r="77" spans="2:14" ht="18.75" x14ac:dyDescent="0.3">
      <c r="B77" s="34">
        <v>72</v>
      </c>
      <c r="C77" s="50" t="s">
        <v>13</v>
      </c>
      <c r="D77" s="33">
        <v>330000</v>
      </c>
      <c r="E77" s="33">
        <v>43989</v>
      </c>
      <c r="F77" s="32">
        <f t="shared" si="15"/>
        <v>373989</v>
      </c>
      <c r="G77" s="34">
        <v>50</v>
      </c>
      <c r="H77" s="32">
        <v>7479.78</v>
      </c>
      <c r="I77" s="50">
        <v>11</v>
      </c>
      <c r="J77" s="35">
        <f t="shared" si="12"/>
        <v>39</v>
      </c>
      <c r="K77" s="36">
        <f t="shared" si="14"/>
        <v>82277.58</v>
      </c>
      <c r="L77" s="36">
        <f t="shared" si="13"/>
        <v>291711.42</v>
      </c>
      <c r="M77" s="31"/>
      <c r="N77" s="5"/>
    </row>
    <row r="78" spans="2:14" ht="18.75" x14ac:dyDescent="0.3">
      <c r="B78" s="34">
        <v>73</v>
      </c>
      <c r="C78" s="50" t="s">
        <v>18</v>
      </c>
      <c r="D78" s="32">
        <v>330000</v>
      </c>
      <c r="E78" s="33">
        <v>43989</v>
      </c>
      <c r="F78" s="32">
        <f t="shared" si="15"/>
        <v>373989</v>
      </c>
      <c r="G78" s="34">
        <v>50</v>
      </c>
      <c r="H78" s="36">
        <v>7479.74</v>
      </c>
      <c r="I78" s="50">
        <v>9</v>
      </c>
      <c r="J78" s="35">
        <f t="shared" si="12"/>
        <v>41</v>
      </c>
      <c r="K78" s="36">
        <f t="shared" si="14"/>
        <v>67317.66</v>
      </c>
      <c r="L78" s="36">
        <f t="shared" si="13"/>
        <v>306671.33999999997</v>
      </c>
      <c r="M78" s="31"/>
      <c r="N78" s="5"/>
    </row>
    <row r="79" spans="2:14" ht="18.75" x14ac:dyDescent="0.3">
      <c r="B79" s="34">
        <v>74</v>
      </c>
      <c r="C79" s="50" t="s">
        <v>19</v>
      </c>
      <c r="D79" s="32">
        <v>330000</v>
      </c>
      <c r="E79" s="33">
        <v>43989</v>
      </c>
      <c r="F79" s="32">
        <f t="shared" si="15"/>
        <v>373989</v>
      </c>
      <c r="G79" s="34">
        <v>50</v>
      </c>
      <c r="H79" s="36">
        <v>7479.74</v>
      </c>
      <c r="I79" s="50">
        <v>9</v>
      </c>
      <c r="J79" s="35">
        <f t="shared" si="12"/>
        <v>41</v>
      </c>
      <c r="K79" s="36">
        <f t="shared" si="14"/>
        <v>67317.66</v>
      </c>
      <c r="L79" s="36">
        <f t="shared" si="13"/>
        <v>306671.33999999997</v>
      </c>
      <c r="M79" s="31"/>
      <c r="N79" s="5"/>
    </row>
    <row r="80" spans="2:14" ht="18.75" x14ac:dyDescent="0.3">
      <c r="B80" s="34">
        <v>75</v>
      </c>
      <c r="C80" s="50" t="s">
        <v>215</v>
      </c>
      <c r="D80" s="32">
        <v>330000</v>
      </c>
      <c r="E80" s="33">
        <v>43989</v>
      </c>
      <c r="F80" s="32">
        <f t="shared" si="15"/>
        <v>373989</v>
      </c>
      <c r="G80" s="34">
        <v>50</v>
      </c>
      <c r="H80" s="36">
        <v>7479.78</v>
      </c>
      <c r="I80" s="50">
        <v>6</v>
      </c>
      <c r="J80" s="35">
        <f t="shared" si="12"/>
        <v>44</v>
      </c>
      <c r="K80" s="36">
        <f t="shared" si="14"/>
        <v>44878.68</v>
      </c>
      <c r="L80" s="36">
        <f t="shared" si="13"/>
        <v>329110.32</v>
      </c>
      <c r="M80" s="31"/>
      <c r="N80" s="5"/>
    </row>
    <row r="81" spans="2:14" ht="18.75" x14ac:dyDescent="0.3">
      <c r="B81" s="34">
        <v>76</v>
      </c>
      <c r="C81" s="50" t="s">
        <v>25</v>
      </c>
      <c r="D81" s="32">
        <v>330000</v>
      </c>
      <c r="E81" s="33">
        <v>43989</v>
      </c>
      <c r="F81" s="32">
        <f t="shared" si="15"/>
        <v>373989</v>
      </c>
      <c r="G81" s="34">
        <v>50</v>
      </c>
      <c r="H81" s="36">
        <v>7479.78</v>
      </c>
      <c r="I81" s="50">
        <v>4</v>
      </c>
      <c r="J81" s="35">
        <f t="shared" si="12"/>
        <v>46</v>
      </c>
      <c r="K81" s="36">
        <f t="shared" si="14"/>
        <v>29919.119999999999</v>
      </c>
      <c r="L81" s="36">
        <f t="shared" si="13"/>
        <v>344069.88</v>
      </c>
      <c r="M81" s="31"/>
      <c r="N81" s="5"/>
    </row>
    <row r="82" spans="2:14" ht="18.75" x14ac:dyDescent="0.3">
      <c r="B82" s="34">
        <v>77</v>
      </c>
      <c r="C82" s="50" t="s">
        <v>26</v>
      </c>
      <c r="D82" s="32">
        <v>330000</v>
      </c>
      <c r="E82" s="33">
        <v>43989</v>
      </c>
      <c r="F82" s="32">
        <f t="shared" si="15"/>
        <v>373989</v>
      </c>
      <c r="G82" s="34">
        <v>50</v>
      </c>
      <c r="H82" s="36">
        <v>7479.78</v>
      </c>
      <c r="I82" s="50">
        <v>4</v>
      </c>
      <c r="J82" s="35">
        <f t="shared" si="12"/>
        <v>46</v>
      </c>
      <c r="K82" s="36">
        <f t="shared" si="14"/>
        <v>29919.119999999999</v>
      </c>
      <c r="L82" s="36">
        <f t="shared" si="13"/>
        <v>344069.88</v>
      </c>
      <c r="M82" s="31"/>
      <c r="N82" s="5"/>
    </row>
    <row r="83" spans="2:14" ht="18.75" x14ac:dyDescent="0.3">
      <c r="B83" s="34">
        <v>78</v>
      </c>
      <c r="C83" s="50" t="s">
        <v>30</v>
      </c>
      <c r="D83" s="32">
        <v>330000</v>
      </c>
      <c r="E83" s="33">
        <v>43989</v>
      </c>
      <c r="F83" s="32">
        <f t="shared" si="15"/>
        <v>373989</v>
      </c>
      <c r="G83" s="34">
        <v>50</v>
      </c>
      <c r="H83" s="36">
        <v>7479.78</v>
      </c>
      <c r="I83" s="50">
        <v>3</v>
      </c>
      <c r="J83" s="35">
        <f t="shared" si="12"/>
        <v>47</v>
      </c>
      <c r="K83" s="36">
        <f t="shared" si="14"/>
        <v>22439.34</v>
      </c>
      <c r="L83" s="36">
        <f t="shared" si="13"/>
        <v>351549.66</v>
      </c>
      <c r="M83" s="31"/>
      <c r="N83" s="5"/>
    </row>
    <row r="84" spans="2:14" ht="18.75" x14ac:dyDescent="0.3">
      <c r="B84" s="34">
        <v>79</v>
      </c>
      <c r="C84" s="29" t="s">
        <v>36</v>
      </c>
      <c r="D84" s="32">
        <v>330000</v>
      </c>
      <c r="E84" s="33">
        <v>43989</v>
      </c>
      <c r="F84" s="32">
        <f t="shared" si="15"/>
        <v>373989</v>
      </c>
      <c r="G84" s="34">
        <v>50</v>
      </c>
      <c r="H84" s="36">
        <v>7479.78</v>
      </c>
      <c r="I84" s="50">
        <v>3</v>
      </c>
      <c r="J84" s="35">
        <f t="shared" si="12"/>
        <v>47</v>
      </c>
      <c r="K84" s="36">
        <f t="shared" si="14"/>
        <v>22439.34</v>
      </c>
      <c r="L84" s="36">
        <f t="shared" si="13"/>
        <v>351549.66</v>
      </c>
      <c r="M84" s="31"/>
      <c r="N84" s="5"/>
    </row>
    <row r="85" spans="2:14" ht="18.75" x14ac:dyDescent="0.3">
      <c r="B85" s="34">
        <v>80</v>
      </c>
      <c r="C85" s="29" t="s">
        <v>37</v>
      </c>
      <c r="D85" s="32">
        <v>330000</v>
      </c>
      <c r="E85" s="33">
        <v>43989</v>
      </c>
      <c r="F85" s="32">
        <f t="shared" si="15"/>
        <v>373989</v>
      </c>
      <c r="G85" s="34">
        <v>50</v>
      </c>
      <c r="H85" s="36">
        <v>7479.78</v>
      </c>
      <c r="I85" s="50">
        <v>4</v>
      </c>
      <c r="J85" s="35">
        <f t="shared" si="12"/>
        <v>46</v>
      </c>
      <c r="K85" s="36">
        <f t="shared" si="14"/>
        <v>29919.119999999999</v>
      </c>
      <c r="L85" s="36">
        <f t="shared" si="13"/>
        <v>344069.88</v>
      </c>
      <c r="M85" s="31"/>
      <c r="N85" s="5"/>
    </row>
    <row r="86" spans="2:14" ht="18.75" x14ac:dyDescent="0.3">
      <c r="B86" s="34">
        <v>81</v>
      </c>
      <c r="C86" s="29" t="s">
        <v>40</v>
      </c>
      <c r="D86" s="32">
        <v>330000</v>
      </c>
      <c r="E86" s="33">
        <v>43989</v>
      </c>
      <c r="F86" s="32">
        <f t="shared" si="15"/>
        <v>373989</v>
      </c>
      <c r="G86" s="34">
        <v>50</v>
      </c>
      <c r="H86" s="36">
        <v>7479.78</v>
      </c>
      <c r="I86" s="50">
        <v>26</v>
      </c>
      <c r="J86" s="35">
        <f t="shared" si="12"/>
        <v>24</v>
      </c>
      <c r="K86" s="36">
        <f t="shared" si="14"/>
        <v>194474.28</v>
      </c>
      <c r="L86" s="36">
        <f t="shared" si="13"/>
        <v>179514.72</v>
      </c>
      <c r="M86" s="31" t="s">
        <v>42</v>
      </c>
      <c r="N86" s="5"/>
    </row>
    <row r="87" spans="2:14" ht="18.75" x14ac:dyDescent="0.3">
      <c r="B87" s="34">
        <v>82</v>
      </c>
      <c r="C87" s="29" t="s">
        <v>173</v>
      </c>
      <c r="D87" s="32">
        <v>330000</v>
      </c>
      <c r="E87" s="33">
        <v>43989</v>
      </c>
      <c r="F87" s="32">
        <f t="shared" si="15"/>
        <v>373989</v>
      </c>
      <c r="G87" s="34">
        <v>50</v>
      </c>
      <c r="H87" s="32">
        <v>7479.78</v>
      </c>
      <c r="I87" s="50">
        <v>15</v>
      </c>
      <c r="J87" s="35">
        <f t="shared" si="12"/>
        <v>35</v>
      </c>
      <c r="K87" s="36">
        <f t="shared" si="14"/>
        <v>112196.7</v>
      </c>
      <c r="L87" s="36">
        <f t="shared" si="13"/>
        <v>261792.3</v>
      </c>
      <c r="M87" s="31" t="s">
        <v>221</v>
      </c>
      <c r="N87" s="5"/>
    </row>
    <row r="88" spans="2:14" ht="18.75" x14ac:dyDescent="0.3">
      <c r="B88" s="34">
        <v>83</v>
      </c>
      <c r="C88" s="29" t="s">
        <v>182</v>
      </c>
      <c r="D88" s="32">
        <v>330000</v>
      </c>
      <c r="E88" s="33">
        <v>43989</v>
      </c>
      <c r="F88" s="32">
        <f t="shared" si="15"/>
        <v>373989</v>
      </c>
      <c r="G88" s="34">
        <v>50</v>
      </c>
      <c r="H88" s="32">
        <v>7479.78</v>
      </c>
      <c r="I88" s="50">
        <v>49</v>
      </c>
      <c r="J88" s="35">
        <f t="shared" si="12"/>
        <v>1</v>
      </c>
      <c r="K88" s="36">
        <f t="shared" si="14"/>
        <v>366509.22</v>
      </c>
      <c r="L88" s="36">
        <f t="shared" si="13"/>
        <v>7479.7800000000279</v>
      </c>
      <c r="M88" s="31" t="s">
        <v>221</v>
      </c>
      <c r="N88" s="5"/>
    </row>
    <row r="89" spans="2:14" ht="18.75" x14ac:dyDescent="0.3">
      <c r="B89" s="34">
        <v>84</v>
      </c>
      <c r="C89" s="29" t="s">
        <v>242</v>
      </c>
      <c r="D89" s="32">
        <v>330000</v>
      </c>
      <c r="E89" s="33">
        <v>43989</v>
      </c>
      <c r="F89" s="32">
        <f t="shared" si="15"/>
        <v>373989</v>
      </c>
      <c r="G89" s="34">
        <v>50</v>
      </c>
      <c r="H89" s="32">
        <v>7479.78</v>
      </c>
      <c r="I89" s="50">
        <v>1</v>
      </c>
      <c r="J89" s="35">
        <f t="shared" si="12"/>
        <v>49</v>
      </c>
      <c r="K89" s="36">
        <f t="shared" si="14"/>
        <v>7479.78</v>
      </c>
      <c r="L89" s="36">
        <f t="shared" si="13"/>
        <v>366509.22</v>
      </c>
      <c r="M89" s="31" t="s">
        <v>28</v>
      </c>
      <c r="N89" s="5"/>
    </row>
    <row r="90" spans="2:14" ht="18.75" x14ac:dyDescent="0.3">
      <c r="B90" s="34">
        <v>85</v>
      </c>
      <c r="C90" s="29" t="s">
        <v>243</v>
      </c>
      <c r="D90" s="32">
        <v>330000</v>
      </c>
      <c r="E90" s="33">
        <v>43989</v>
      </c>
      <c r="F90" s="32">
        <f t="shared" si="15"/>
        <v>373989</v>
      </c>
      <c r="G90" s="34">
        <v>50</v>
      </c>
      <c r="H90" s="32">
        <v>7479.78</v>
      </c>
      <c r="I90" s="50">
        <v>1</v>
      </c>
      <c r="J90" s="35">
        <f t="shared" si="12"/>
        <v>49</v>
      </c>
      <c r="K90" s="36">
        <f t="shared" si="14"/>
        <v>7479.78</v>
      </c>
      <c r="L90" s="36">
        <f t="shared" si="13"/>
        <v>366509.22</v>
      </c>
      <c r="M90" s="31" t="s">
        <v>28</v>
      </c>
      <c r="N90" s="5"/>
    </row>
    <row r="91" spans="2:14" ht="18.75" x14ac:dyDescent="0.3">
      <c r="B91" s="34">
        <v>86</v>
      </c>
      <c r="C91" s="31" t="s">
        <v>219</v>
      </c>
      <c r="D91" s="33">
        <v>200000</v>
      </c>
      <c r="E91" s="33">
        <v>26660</v>
      </c>
      <c r="F91" s="32">
        <f t="shared" si="15"/>
        <v>226660</v>
      </c>
      <c r="G91" s="34">
        <v>20</v>
      </c>
      <c r="H91" s="32">
        <v>11333</v>
      </c>
      <c r="I91" s="31">
        <v>20</v>
      </c>
      <c r="J91" s="35">
        <f t="shared" si="12"/>
        <v>0</v>
      </c>
      <c r="K91" s="36">
        <f>H91*I91</f>
        <v>226660</v>
      </c>
      <c r="L91" s="32">
        <f t="shared" si="13"/>
        <v>0</v>
      </c>
      <c r="M91" s="31"/>
      <c r="N91" s="5"/>
    </row>
    <row r="92" spans="2:14" ht="18.75" x14ac:dyDescent="0.3">
      <c r="B92" s="34">
        <v>87</v>
      </c>
      <c r="C92" s="29" t="s">
        <v>174</v>
      </c>
      <c r="D92" s="33">
        <v>200000</v>
      </c>
      <c r="E92" s="33">
        <v>26660</v>
      </c>
      <c r="F92" s="32">
        <f t="shared" si="15"/>
        <v>226660</v>
      </c>
      <c r="G92" s="34">
        <v>40</v>
      </c>
      <c r="H92" s="32">
        <v>5666.5</v>
      </c>
      <c r="I92" s="50">
        <v>35</v>
      </c>
      <c r="J92" s="35">
        <f t="shared" si="12"/>
        <v>5</v>
      </c>
      <c r="K92" s="36">
        <f>I92*H92</f>
        <v>198327.5</v>
      </c>
      <c r="L92" s="36">
        <f t="shared" si="13"/>
        <v>28332.5</v>
      </c>
      <c r="M92" s="31" t="s">
        <v>221</v>
      </c>
      <c r="N92" s="5"/>
    </row>
    <row r="93" spans="2:14" ht="18.75" x14ac:dyDescent="0.3">
      <c r="B93" s="34">
        <v>88</v>
      </c>
      <c r="C93" s="31" t="s">
        <v>73</v>
      </c>
      <c r="D93" s="33">
        <v>150000</v>
      </c>
      <c r="E93" s="33">
        <v>19995</v>
      </c>
      <c r="F93" s="32">
        <f t="shared" si="15"/>
        <v>169995</v>
      </c>
      <c r="G93" s="34">
        <v>50</v>
      </c>
      <c r="H93" s="32">
        <v>3399.9</v>
      </c>
      <c r="I93" s="52">
        <v>25</v>
      </c>
      <c r="J93" s="35">
        <f t="shared" si="12"/>
        <v>25</v>
      </c>
      <c r="K93" s="32">
        <f>H93*I93</f>
        <v>84997.5</v>
      </c>
      <c r="L93" s="33">
        <f t="shared" si="13"/>
        <v>84997.5</v>
      </c>
      <c r="M93" s="31"/>
      <c r="N93" s="5"/>
    </row>
    <row r="94" spans="2:14" ht="18.75" x14ac:dyDescent="0.3">
      <c r="B94" s="34">
        <v>89</v>
      </c>
      <c r="C94" s="31" t="s">
        <v>75</v>
      </c>
      <c r="D94" s="33">
        <v>150000</v>
      </c>
      <c r="E94" s="33">
        <v>19995</v>
      </c>
      <c r="F94" s="32">
        <f t="shared" si="15"/>
        <v>169995</v>
      </c>
      <c r="G94" s="34">
        <v>50</v>
      </c>
      <c r="H94" s="32">
        <v>3399.9</v>
      </c>
      <c r="I94" s="52">
        <v>49</v>
      </c>
      <c r="J94" s="35">
        <f t="shared" si="12"/>
        <v>1</v>
      </c>
      <c r="K94" s="32">
        <f>I94*H94</f>
        <v>166595.1</v>
      </c>
      <c r="L94" s="33">
        <f t="shared" si="13"/>
        <v>3399.8999999999942</v>
      </c>
      <c r="M94" s="31"/>
      <c r="N94" s="5"/>
    </row>
    <row r="95" spans="2:14" ht="18.75" x14ac:dyDescent="0.3">
      <c r="B95" s="34">
        <v>90</v>
      </c>
      <c r="C95" s="31" t="s">
        <v>76</v>
      </c>
      <c r="D95" s="33">
        <v>150000</v>
      </c>
      <c r="E95" s="33">
        <v>19995</v>
      </c>
      <c r="F95" s="32">
        <f t="shared" si="15"/>
        <v>169995</v>
      </c>
      <c r="G95" s="34">
        <v>50</v>
      </c>
      <c r="H95" s="32">
        <v>3399.9</v>
      </c>
      <c r="I95" s="52">
        <v>25</v>
      </c>
      <c r="J95" s="35">
        <f t="shared" si="12"/>
        <v>25</v>
      </c>
      <c r="K95" s="32">
        <f>H95*I95</f>
        <v>84997.5</v>
      </c>
      <c r="L95" s="32">
        <f t="shared" si="13"/>
        <v>84997.5</v>
      </c>
      <c r="M95" s="31"/>
      <c r="N95" s="5"/>
    </row>
    <row r="96" spans="2:14" ht="18.75" x14ac:dyDescent="0.3">
      <c r="B96" s="34">
        <v>91</v>
      </c>
      <c r="C96" s="31" t="s">
        <v>190</v>
      </c>
      <c r="D96" s="33">
        <v>150000</v>
      </c>
      <c r="E96" s="33">
        <v>19995</v>
      </c>
      <c r="F96" s="32">
        <f t="shared" si="15"/>
        <v>169995</v>
      </c>
      <c r="G96" s="34">
        <v>50</v>
      </c>
      <c r="H96" s="32">
        <v>3399.9</v>
      </c>
      <c r="I96" s="52">
        <v>40</v>
      </c>
      <c r="J96" s="35">
        <f t="shared" si="12"/>
        <v>10</v>
      </c>
      <c r="K96" s="32">
        <f>H96*I96</f>
        <v>135996</v>
      </c>
      <c r="L96" s="33">
        <f t="shared" si="13"/>
        <v>33999</v>
      </c>
      <c r="M96" s="31"/>
      <c r="N96" s="5"/>
    </row>
    <row r="97" spans="2:14" ht="18.75" x14ac:dyDescent="0.3">
      <c r="B97" s="34">
        <v>92</v>
      </c>
      <c r="C97" s="31" t="s">
        <v>80</v>
      </c>
      <c r="D97" s="33">
        <v>150000</v>
      </c>
      <c r="E97" s="33">
        <v>19995</v>
      </c>
      <c r="F97" s="32">
        <f t="shared" si="15"/>
        <v>169995</v>
      </c>
      <c r="G97" s="34">
        <v>50</v>
      </c>
      <c r="H97" s="32">
        <v>3399.9</v>
      </c>
      <c r="I97" s="31">
        <v>49</v>
      </c>
      <c r="J97" s="35">
        <f t="shared" si="12"/>
        <v>1</v>
      </c>
      <c r="K97" s="33">
        <f>I97*H97</f>
        <v>166595.1</v>
      </c>
      <c r="L97" s="36">
        <f t="shared" si="13"/>
        <v>3399.8999999999942</v>
      </c>
      <c r="M97" s="31"/>
      <c r="N97" s="5"/>
    </row>
    <row r="98" spans="2:14" ht="18.75" x14ac:dyDescent="0.3">
      <c r="B98" s="34">
        <v>93</v>
      </c>
      <c r="C98" s="31" t="s">
        <v>81</v>
      </c>
      <c r="D98" s="33">
        <v>150000</v>
      </c>
      <c r="E98" s="33">
        <v>19995</v>
      </c>
      <c r="F98" s="32">
        <f t="shared" si="15"/>
        <v>169995</v>
      </c>
      <c r="G98" s="34">
        <v>50</v>
      </c>
      <c r="H98" s="32">
        <v>3399.9</v>
      </c>
      <c r="I98" s="31">
        <v>25</v>
      </c>
      <c r="J98" s="35">
        <f t="shared" si="12"/>
        <v>25</v>
      </c>
      <c r="K98" s="36">
        <f t="shared" ref="K98:K119" si="16">H98*I98</f>
        <v>84997.5</v>
      </c>
      <c r="L98" s="32">
        <f t="shared" si="13"/>
        <v>84997.5</v>
      </c>
      <c r="M98" s="31"/>
      <c r="N98" s="5"/>
    </row>
    <row r="99" spans="2:14" ht="18.75" x14ac:dyDescent="0.3">
      <c r="B99" s="34">
        <v>94</v>
      </c>
      <c r="C99" s="31" t="s">
        <v>84</v>
      </c>
      <c r="D99" s="33">
        <v>150000</v>
      </c>
      <c r="E99" s="33">
        <v>19995</v>
      </c>
      <c r="F99" s="32">
        <f t="shared" si="15"/>
        <v>169995</v>
      </c>
      <c r="G99" s="34">
        <v>50</v>
      </c>
      <c r="H99" s="32">
        <v>3399.9</v>
      </c>
      <c r="I99" s="31">
        <v>25</v>
      </c>
      <c r="J99" s="35">
        <f t="shared" si="12"/>
        <v>25</v>
      </c>
      <c r="K99" s="36">
        <f t="shared" si="16"/>
        <v>84997.5</v>
      </c>
      <c r="L99" s="32">
        <f t="shared" si="13"/>
        <v>84997.5</v>
      </c>
      <c r="M99" s="31"/>
      <c r="N99" s="5"/>
    </row>
    <row r="100" spans="2:14" ht="18.75" x14ac:dyDescent="0.3">
      <c r="B100" s="34">
        <v>95</v>
      </c>
      <c r="C100" s="31" t="s">
        <v>86</v>
      </c>
      <c r="D100" s="33">
        <v>150000</v>
      </c>
      <c r="E100" s="33">
        <v>19995</v>
      </c>
      <c r="F100" s="32">
        <f t="shared" si="15"/>
        <v>169995</v>
      </c>
      <c r="G100" s="34">
        <v>50</v>
      </c>
      <c r="H100" s="32">
        <v>3399.9</v>
      </c>
      <c r="I100" s="31">
        <v>40</v>
      </c>
      <c r="J100" s="35">
        <f t="shared" si="12"/>
        <v>10</v>
      </c>
      <c r="K100" s="36">
        <f t="shared" si="16"/>
        <v>135996</v>
      </c>
      <c r="L100" s="32">
        <f t="shared" si="13"/>
        <v>33999</v>
      </c>
      <c r="M100" s="31"/>
      <c r="N100" s="5"/>
    </row>
    <row r="101" spans="2:14" ht="18.75" x14ac:dyDescent="0.3">
      <c r="B101" s="34">
        <v>96</v>
      </c>
      <c r="C101" s="31" t="s">
        <v>87</v>
      </c>
      <c r="D101" s="33">
        <v>150000</v>
      </c>
      <c r="E101" s="33">
        <v>19995</v>
      </c>
      <c r="F101" s="32">
        <f t="shared" si="15"/>
        <v>169995</v>
      </c>
      <c r="G101" s="34">
        <v>50</v>
      </c>
      <c r="H101" s="32">
        <v>3399.9</v>
      </c>
      <c r="I101" s="31">
        <v>40</v>
      </c>
      <c r="J101" s="35">
        <f t="shared" si="12"/>
        <v>10</v>
      </c>
      <c r="K101" s="36">
        <f t="shared" si="16"/>
        <v>135996</v>
      </c>
      <c r="L101" s="32">
        <f t="shared" si="13"/>
        <v>33999</v>
      </c>
      <c r="M101" s="31"/>
      <c r="N101" s="5"/>
    </row>
    <row r="102" spans="2:14" ht="18.75" x14ac:dyDescent="0.3">
      <c r="B102" s="34">
        <v>97</v>
      </c>
      <c r="C102" s="31" t="s">
        <v>89</v>
      </c>
      <c r="D102" s="33">
        <v>150000</v>
      </c>
      <c r="E102" s="33">
        <v>19995</v>
      </c>
      <c r="F102" s="32">
        <f t="shared" si="15"/>
        <v>169995</v>
      </c>
      <c r="G102" s="34">
        <v>50</v>
      </c>
      <c r="H102" s="32">
        <v>3399.9</v>
      </c>
      <c r="I102" s="31">
        <v>25</v>
      </c>
      <c r="J102" s="35">
        <f t="shared" ref="J102:J133" si="17">G102-I102</f>
        <v>25</v>
      </c>
      <c r="K102" s="36">
        <f t="shared" si="16"/>
        <v>84997.5</v>
      </c>
      <c r="L102" s="32">
        <f t="shared" ref="L102:L133" si="18">F102-K102</f>
        <v>84997.5</v>
      </c>
      <c r="M102" s="31"/>
      <c r="N102" s="5"/>
    </row>
    <row r="103" spans="2:14" ht="18.75" x14ac:dyDescent="0.3">
      <c r="B103" s="34">
        <v>98</v>
      </c>
      <c r="C103" s="31" t="s">
        <v>91</v>
      </c>
      <c r="D103" s="33">
        <v>150000</v>
      </c>
      <c r="E103" s="33">
        <v>19995</v>
      </c>
      <c r="F103" s="32">
        <f t="shared" si="15"/>
        <v>169995</v>
      </c>
      <c r="G103" s="34">
        <v>50</v>
      </c>
      <c r="H103" s="32">
        <v>3399.9</v>
      </c>
      <c r="I103" s="31">
        <v>40</v>
      </c>
      <c r="J103" s="35">
        <f t="shared" si="17"/>
        <v>10</v>
      </c>
      <c r="K103" s="36">
        <f t="shared" si="16"/>
        <v>135996</v>
      </c>
      <c r="L103" s="32">
        <f t="shared" si="18"/>
        <v>33999</v>
      </c>
      <c r="M103" s="31"/>
      <c r="N103" s="5"/>
    </row>
    <row r="104" spans="2:14" ht="18.75" x14ac:dyDescent="0.3">
      <c r="B104" s="34">
        <v>99</v>
      </c>
      <c r="C104" s="31" t="s">
        <v>94</v>
      </c>
      <c r="D104" s="33">
        <v>150000</v>
      </c>
      <c r="E104" s="33">
        <v>19995</v>
      </c>
      <c r="F104" s="32">
        <f t="shared" ref="F104:F135" si="19">D104+E104</f>
        <v>169995</v>
      </c>
      <c r="G104" s="34">
        <v>50</v>
      </c>
      <c r="H104" s="32">
        <v>3399.9</v>
      </c>
      <c r="I104" s="31">
        <v>25</v>
      </c>
      <c r="J104" s="35">
        <f t="shared" si="17"/>
        <v>25</v>
      </c>
      <c r="K104" s="36">
        <f t="shared" si="16"/>
        <v>84997.5</v>
      </c>
      <c r="L104" s="32">
        <f t="shared" si="18"/>
        <v>84997.5</v>
      </c>
      <c r="M104" s="31"/>
      <c r="N104" s="5"/>
    </row>
    <row r="105" spans="2:14" ht="18.75" x14ac:dyDescent="0.3">
      <c r="B105" s="34">
        <v>100</v>
      </c>
      <c r="C105" s="31" t="s">
        <v>224</v>
      </c>
      <c r="D105" s="33">
        <v>150000</v>
      </c>
      <c r="E105" s="33">
        <v>19995</v>
      </c>
      <c r="F105" s="32">
        <f t="shared" si="19"/>
        <v>169995</v>
      </c>
      <c r="G105" s="34">
        <v>50</v>
      </c>
      <c r="H105" s="32">
        <v>3399.9</v>
      </c>
      <c r="I105" s="31">
        <v>40</v>
      </c>
      <c r="J105" s="35">
        <f t="shared" si="17"/>
        <v>10</v>
      </c>
      <c r="K105" s="36">
        <f t="shared" si="16"/>
        <v>135996</v>
      </c>
      <c r="L105" s="32">
        <f t="shared" si="18"/>
        <v>33999</v>
      </c>
      <c r="M105" s="31"/>
      <c r="N105" s="5"/>
    </row>
    <row r="106" spans="2:14" ht="18.75" x14ac:dyDescent="0.3">
      <c r="B106" s="34">
        <v>101</v>
      </c>
      <c r="C106" s="31" t="s">
        <v>193</v>
      </c>
      <c r="D106" s="33">
        <v>150000</v>
      </c>
      <c r="E106" s="33">
        <v>19995</v>
      </c>
      <c r="F106" s="32">
        <f t="shared" si="19"/>
        <v>169995</v>
      </c>
      <c r="G106" s="34">
        <v>50</v>
      </c>
      <c r="H106" s="32">
        <v>3399.9</v>
      </c>
      <c r="I106" s="31">
        <v>25</v>
      </c>
      <c r="J106" s="35">
        <f t="shared" si="17"/>
        <v>25</v>
      </c>
      <c r="K106" s="36">
        <f t="shared" si="16"/>
        <v>84997.5</v>
      </c>
      <c r="L106" s="32">
        <f t="shared" si="18"/>
        <v>84997.5</v>
      </c>
      <c r="M106" s="31"/>
      <c r="N106" s="5"/>
    </row>
    <row r="107" spans="2:14" ht="18.75" x14ac:dyDescent="0.3">
      <c r="B107" s="34">
        <v>102</v>
      </c>
      <c r="C107" s="31" t="s">
        <v>101</v>
      </c>
      <c r="D107" s="33">
        <v>150000</v>
      </c>
      <c r="E107" s="33">
        <v>19995</v>
      </c>
      <c r="F107" s="32">
        <f t="shared" si="19"/>
        <v>169995</v>
      </c>
      <c r="G107" s="34">
        <v>50</v>
      </c>
      <c r="H107" s="32">
        <v>3399.9</v>
      </c>
      <c r="I107" s="31">
        <v>23</v>
      </c>
      <c r="J107" s="35">
        <f t="shared" si="17"/>
        <v>27</v>
      </c>
      <c r="K107" s="36">
        <f t="shared" si="16"/>
        <v>78197.7</v>
      </c>
      <c r="L107" s="32">
        <f t="shared" si="18"/>
        <v>91797.3</v>
      </c>
      <c r="M107" s="31"/>
      <c r="N107" s="5"/>
    </row>
    <row r="108" spans="2:14" ht="18.75" x14ac:dyDescent="0.3">
      <c r="B108" s="34">
        <v>103</v>
      </c>
      <c r="C108" s="31" t="s">
        <v>102</v>
      </c>
      <c r="D108" s="33">
        <v>150000</v>
      </c>
      <c r="E108" s="33">
        <v>19995</v>
      </c>
      <c r="F108" s="32">
        <f t="shared" si="19"/>
        <v>169995</v>
      </c>
      <c r="G108" s="34">
        <v>50</v>
      </c>
      <c r="H108" s="32">
        <v>3399.9</v>
      </c>
      <c r="I108" s="31">
        <v>25</v>
      </c>
      <c r="J108" s="35">
        <f t="shared" si="17"/>
        <v>25</v>
      </c>
      <c r="K108" s="36">
        <f t="shared" si="16"/>
        <v>84997.5</v>
      </c>
      <c r="L108" s="32">
        <f t="shared" si="18"/>
        <v>84997.5</v>
      </c>
      <c r="M108" s="31"/>
      <c r="N108" s="5"/>
    </row>
    <row r="109" spans="2:14" ht="18.75" x14ac:dyDescent="0.3">
      <c r="B109" s="34">
        <v>104</v>
      </c>
      <c r="C109" s="31" t="s">
        <v>104</v>
      </c>
      <c r="D109" s="33">
        <v>150000</v>
      </c>
      <c r="E109" s="33">
        <v>19995</v>
      </c>
      <c r="F109" s="32">
        <f t="shared" si="19"/>
        <v>169995</v>
      </c>
      <c r="G109" s="34">
        <v>50</v>
      </c>
      <c r="H109" s="32">
        <v>3399.9</v>
      </c>
      <c r="I109" s="31">
        <v>40</v>
      </c>
      <c r="J109" s="35">
        <f t="shared" si="17"/>
        <v>10</v>
      </c>
      <c r="K109" s="36">
        <f t="shared" si="16"/>
        <v>135996</v>
      </c>
      <c r="L109" s="32">
        <f t="shared" si="18"/>
        <v>33999</v>
      </c>
      <c r="M109" s="31"/>
      <c r="N109" s="5"/>
    </row>
    <row r="110" spans="2:14" ht="18.75" x14ac:dyDescent="0.3">
      <c r="B110" s="34">
        <v>105</v>
      </c>
      <c r="C110" s="31" t="s">
        <v>110</v>
      </c>
      <c r="D110" s="33">
        <v>150000</v>
      </c>
      <c r="E110" s="33">
        <v>19995</v>
      </c>
      <c r="F110" s="32">
        <f t="shared" si="19"/>
        <v>169995</v>
      </c>
      <c r="G110" s="34">
        <v>50</v>
      </c>
      <c r="H110" s="32">
        <v>3399.9</v>
      </c>
      <c r="I110" s="31">
        <v>25</v>
      </c>
      <c r="J110" s="35">
        <f t="shared" si="17"/>
        <v>25</v>
      </c>
      <c r="K110" s="36">
        <f t="shared" si="16"/>
        <v>84997.5</v>
      </c>
      <c r="L110" s="32">
        <f t="shared" si="18"/>
        <v>84997.5</v>
      </c>
      <c r="M110" s="31"/>
      <c r="N110" s="5"/>
    </row>
    <row r="111" spans="2:14" ht="18.75" x14ac:dyDescent="0.3">
      <c r="B111" s="34">
        <v>106</v>
      </c>
      <c r="C111" s="31" t="s">
        <v>225</v>
      </c>
      <c r="D111" s="33">
        <v>150000</v>
      </c>
      <c r="E111" s="33">
        <v>19995</v>
      </c>
      <c r="F111" s="32">
        <f t="shared" si="19"/>
        <v>169995</v>
      </c>
      <c r="G111" s="34">
        <v>50</v>
      </c>
      <c r="H111" s="32">
        <v>3399.9</v>
      </c>
      <c r="I111" s="31">
        <v>40</v>
      </c>
      <c r="J111" s="35">
        <f t="shared" si="17"/>
        <v>10</v>
      </c>
      <c r="K111" s="36">
        <f t="shared" si="16"/>
        <v>135996</v>
      </c>
      <c r="L111" s="32">
        <f t="shared" si="18"/>
        <v>33999</v>
      </c>
      <c r="M111" s="31"/>
      <c r="N111" s="5"/>
    </row>
    <row r="112" spans="2:14" ht="18.75" x14ac:dyDescent="0.3">
      <c r="B112" s="34">
        <v>107</v>
      </c>
      <c r="C112" s="31" t="s">
        <v>113</v>
      </c>
      <c r="D112" s="33">
        <v>150000</v>
      </c>
      <c r="E112" s="33">
        <v>19995</v>
      </c>
      <c r="F112" s="32">
        <f t="shared" si="19"/>
        <v>169995</v>
      </c>
      <c r="G112" s="34">
        <v>50</v>
      </c>
      <c r="H112" s="32">
        <v>3399.9</v>
      </c>
      <c r="I112" s="31">
        <v>40</v>
      </c>
      <c r="J112" s="35">
        <f t="shared" si="17"/>
        <v>10</v>
      </c>
      <c r="K112" s="36">
        <f t="shared" si="16"/>
        <v>135996</v>
      </c>
      <c r="L112" s="32">
        <f t="shared" si="18"/>
        <v>33999</v>
      </c>
      <c r="M112" s="31"/>
      <c r="N112" s="5"/>
    </row>
    <row r="113" spans="2:14" ht="18.75" x14ac:dyDescent="0.3">
      <c r="B113" s="34">
        <v>108</v>
      </c>
      <c r="C113" s="31" t="s">
        <v>114</v>
      </c>
      <c r="D113" s="33">
        <v>150000</v>
      </c>
      <c r="E113" s="33">
        <v>19995</v>
      </c>
      <c r="F113" s="32">
        <f t="shared" si="19"/>
        <v>169995</v>
      </c>
      <c r="G113" s="34">
        <v>50</v>
      </c>
      <c r="H113" s="32">
        <v>3399.9</v>
      </c>
      <c r="I113" s="31">
        <v>25</v>
      </c>
      <c r="J113" s="35">
        <f t="shared" si="17"/>
        <v>25</v>
      </c>
      <c r="K113" s="36">
        <f t="shared" si="16"/>
        <v>84997.5</v>
      </c>
      <c r="L113" s="32">
        <f t="shared" si="18"/>
        <v>84997.5</v>
      </c>
      <c r="M113" s="31"/>
      <c r="N113" s="5"/>
    </row>
    <row r="114" spans="2:14" ht="18.75" x14ac:dyDescent="0.3">
      <c r="B114" s="34">
        <v>109</v>
      </c>
      <c r="C114" s="31" t="s">
        <v>236</v>
      </c>
      <c r="D114" s="33">
        <v>150000</v>
      </c>
      <c r="E114" s="33">
        <v>19995</v>
      </c>
      <c r="F114" s="32">
        <f t="shared" si="19"/>
        <v>169995</v>
      </c>
      <c r="G114" s="34">
        <v>50</v>
      </c>
      <c r="H114" s="32">
        <v>3399.9</v>
      </c>
      <c r="I114" s="31">
        <v>25</v>
      </c>
      <c r="J114" s="35">
        <f t="shared" si="17"/>
        <v>25</v>
      </c>
      <c r="K114" s="36">
        <f t="shared" si="16"/>
        <v>84997.5</v>
      </c>
      <c r="L114" s="32">
        <f t="shared" si="18"/>
        <v>84997.5</v>
      </c>
      <c r="M114" s="31"/>
      <c r="N114" s="5"/>
    </row>
    <row r="115" spans="2:14" ht="18.75" x14ac:dyDescent="0.3">
      <c r="B115" s="34">
        <v>110</v>
      </c>
      <c r="C115" s="31" t="s">
        <v>117</v>
      </c>
      <c r="D115" s="33">
        <v>150000</v>
      </c>
      <c r="E115" s="33">
        <v>19995</v>
      </c>
      <c r="F115" s="32">
        <f t="shared" si="19"/>
        <v>169995</v>
      </c>
      <c r="G115" s="34">
        <v>50</v>
      </c>
      <c r="H115" s="32">
        <v>3399.9</v>
      </c>
      <c r="I115" s="31">
        <v>40</v>
      </c>
      <c r="J115" s="35">
        <f t="shared" si="17"/>
        <v>10</v>
      </c>
      <c r="K115" s="36">
        <f t="shared" si="16"/>
        <v>135996</v>
      </c>
      <c r="L115" s="32">
        <f t="shared" si="18"/>
        <v>33999</v>
      </c>
      <c r="M115" s="31"/>
      <c r="N115" s="5"/>
    </row>
    <row r="116" spans="2:14" ht="18.75" x14ac:dyDescent="0.3">
      <c r="B116" s="34">
        <v>111</v>
      </c>
      <c r="C116" s="31" t="s">
        <v>155</v>
      </c>
      <c r="D116" s="33">
        <v>150000</v>
      </c>
      <c r="E116" s="33">
        <v>19995</v>
      </c>
      <c r="F116" s="32">
        <f t="shared" si="19"/>
        <v>169995</v>
      </c>
      <c r="G116" s="34">
        <v>50</v>
      </c>
      <c r="H116" s="32">
        <v>3399.9</v>
      </c>
      <c r="I116" s="31">
        <v>25</v>
      </c>
      <c r="J116" s="35">
        <f t="shared" si="17"/>
        <v>25</v>
      </c>
      <c r="K116" s="36">
        <f t="shared" si="16"/>
        <v>84997.5</v>
      </c>
      <c r="L116" s="32">
        <f t="shared" si="18"/>
        <v>84997.5</v>
      </c>
      <c r="M116" s="31"/>
      <c r="N116" s="5"/>
    </row>
    <row r="117" spans="2:14" ht="18.75" x14ac:dyDescent="0.3">
      <c r="B117" s="34">
        <v>112</v>
      </c>
      <c r="C117" s="31" t="s">
        <v>176</v>
      </c>
      <c r="D117" s="33">
        <v>150000</v>
      </c>
      <c r="E117" s="33">
        <v>19995</v>
      </c>
      <c r="F117" s="32">
        <f t="shared" si="19"/>
        <v>169995</v>
      </c>
      <c r="G117" s="34">
        <v>50</v>
      </c>
      <c r="H117" s="32">
        <v>3399.9</v>
      </c>
      <c r="I117" s="31">
        <v>40</v>
      </c>
      <c r="J117" s="35">
        <f t="shared" si="17"/>
        <v>10</v>
      </c>
      <c r="K117" s="36">
        <f t="shared" si="16"/>
        <v>135996</v>
      </c>
      <c r="L117" s="32">
        <f t="shared" si="18"/>
        <v>33999</v>
      </c>
      <c r="M117" s="31"/>
      <c r="N117" s="5"/>
    </row>
    <row r="118" spans="2:14" ht="18.75" x14ac:dyDescent="0.3">
      <c r="B118" s="34">
        <v>113</v>
      </c>
      <c r="C118" s="31" t="s">
        <v>120</v>
      </c>
      <c r="D118" s="33">
        <v>150000</v>
      </c>
      <c r="E118" s="33">
        <v>19995</v>
      </c>
      <c r="F118" s="32">
        <f t="shared" si="19"/>
        <v>169995</v>
      </c>
      <c r="G118" s="34">
        <v>50</v>
      </c>
      <c r="H118" s="32">
        <v>3399.9</v>
      </c>
      <c r="I118" s="31">
        <v>25</v>
      </c>
      <c r="J118" s="35">
        <f t="shared" si="17"/>
        <v>25</v>
      </c>
      <c r="K118" s="36">
        <f t="shared" si="16"/>
        <v>84997.5</v>
      </c>
      <c r="L118" s="32">
        <f t="shared" si="18"/>
        <v>84997.5</v>
      </c>
      <c r="M118" s="31"/>
      <c r="N118" s="5"/>
    </row>
    <row r="119" spans="2:14" ht="18.75" x14ac:dyDescent="0.3">
      <c r="B119" s="34">
        <v>114</v>
      </c>
      <c r="C119" s="31" t="s">
        <v>197</v>
      </c>
      <c r="D119" s="33">
        <v>150000</v>
      </c>
      <c r="E119" s="33">
        <v>19995</v>
      </c>
      <c r="F119" s="32">
        <f t="shared" si="19"/>
        <v>169995</v>
      </c>
      <c r="G119" s="34">
        <v>50</v>
      </c>
      <c r="H119" s="32">
        <v>3399.9</v>
      </c>
      <c r="I119" s="31">
        <v>25</v>
      </c>
      <c r="J119" s="35">
        <f t="shared" si="17"/>
        <v>25</v>
      </c>
      <c r="K119" s="36">
        <f t="shared" si="16"/>
        <v>84997.5</v>
      </c>
      <c r="L119" s="32">
        <f t="shared" si="18"/>
        <v>84997.5</v>
      </c>
      <c r="M119" s="31"/>
      <c r="N119" s="5"/>
    </row>
    <row r="120" spans="2:14" ht="18.75" x14ac:dyDescent="0.3">
      <c r="B120" s="34">
        <v>115</v>
      </c>
      <c r="C120" s="31" t="s">
        <v>124</v>
      </c>
      <c r="D120" s="33">
        <v>150000</v>
      </c>
      <c r="E120" s="33">
        <v>19995</v>
      </c>
      <c r="F120" s="32">
        <f t="shared" si="19"/>
        <v>169995</v>
      </c>
      <c r="G120" s="34">
        <v>50</v>
      </c>
      <c r="H120" s="32">
        <v>3399.9</v>
      </c>
      <c r="I120" s="31">
        <v>25</v>
      </c>
      <c r="J120" s="35">
        <f t="shared" si="17"/>
        <v>25</v>
      </c>
      <c r="K120" s="36">
        <f>I120*H120</f>
        <v>84997.5</v>
      </c>
      <c r="L120" s="32">
        <f t="shared" si="18"/>
        <v>84997.5</v>
      </c>
      <c r="M120" s="31"/>
      <c r="N120" s="5"/>
    </row>
    <row r="121" spans="2:14" ht="18.75" x14ac:dyDescent="0.3">
      <c r="B121" s="34">
        <v>116</v>
      </c>
      <c r="C121" s="31" t="s">
        <v>126</v>
      </c>
      <c r="D121" s="33">
        <v>150000</v>
      </c>
      <c r="E121" s="33">
        <v>19995</v>
      </c>
      <c r="F121" s="32">
        <f t="shared" si="19"/>
        <v>169995</v>
      </c>
      <c r="G121" s="34">
        <v>50</v>
      </c>
      <c r="H121" s="32">
        <v>3399.9</v>
      </c>
      <c r="I121" s="31">
        <v>49</v>
      </c>
      <c r="J121" s="35">
        <f t="shared" si="17"/>
        <v>1</v>
      </c>
      <c r="K121" s="36">
        <f t="shared" ref="K121:K138" si="20">H121*I121</f>
        <v>166595.1</v>
      </c>
      <c r="L121" s="32">
        <f t="shared" si="18"/>
        <v>3399.8999999999942</v>
      </c>
      <c r="M121" s="31"/>
      <c r="N121" s="5"/>
    </row>
    <row r="122" spans="2:14" ht="18.75" x14ac:dyDescent="0.3">
      <c r="B122" s="34">
        <v>117</v>
      </c>
      <c r="C122" s="31" t="s">
        <v>127</v>
      </c>
      <c r="D122" s="33">
        <v>150000</v>
      </c>
      <c r="E122" s="33">
        <v>19995</v>
      </c>
      <c r="F122" s="32">
        <f t="shared" si="19"/>
        <v>169995</v>
      </c>
      <c r="G122" s="34">
        <v>50</v>
      </c>
      <c r="H122" s="32">
        <v>3399.9</v>
      </c>
      <c r="I122" s="31">
        <v>40</v>
      </c>
      <c r="J122" s="35">
        <f t="shared" si="17"/>
        <v>10</v>
      </c>
      <c r="K122" s="36">
        <f t="shared" si="20"/>
        <v>135996</v>
      </c>
      <c r="L122" s="32">
        <f t="shared" si="18"/>
        <v>33999</v>
      </c>
      <c r="M122" s="31"/>
      <c r="N122" s="5"/>
    </row>
    <row r="123" spans="2:14" ht="18.75" x14ac:dyDescent="0.3">
      <c r="B123" s="34">
        <v>118</v>
      </c>
      <c r="C123" s="31" t="s">
        <v>200</v>
      </c>
      <c r="D123" s="33">
        <v>150000</v>
      </c>
      <c r="E123" s="33">
        <v>19995</v>
      </c>
      <c r="F123" s="32">
        <f t="shared" si="19"/>
        <v>169995</v>
      </c>
      <c r="G123" s="34">
        <v>50</v>
      </c>
      <c r="H123" s="32">
        <v>3399.9</v>
      </c>
      <c r="I123" s="31">
        <v>40</v>
      </c>
      <c r="J123" s="35">
        <f t="shared" si="17"/>
        <v>10</v>
      </c>
      <c r="K123" s="36">
        <f t="shared" si="20"/>
        <v>135996</v>
      </c>
      <c r="L123" s="32">
        <f t="shared" si="18"/>
        <v>33999</v>
      </c>
      <c r="M123" s="31"/>
      <c r="N123" s="5"/>
    </row>
    <row r="124" spans="2:14" ht="18.75" x14ac:dyDescent="0.3">
      <c r="B124" s="34">
        <v>119</v>
      </c>
      <c r="C124" s="31" t="s">
        <v>199</v>
      </c>
      <c r="D124" s="33">
        <v>150000</v>
      </c>
      <c r="E124" s="33">
        <v>19995</v>
      </c>
      <c r="F124" s="32">
        <f t="shared" si="19"/>
        <v>169995</v>
      </c>
      <c r="G124" s="34">
        <v>50</v>
      </c>
      <c r="H124" s="32">
        <v>3399.9</v>
      </c>
      <c r="I124" s="31">
        <v>40</v>
      </c>
      <c r="J124" s="35">
        <f t="shared" si="17"/>
        <v>10</v>
      </c>
      <c r="K124" s="36">
        <f t="shared" si="20"/>
        <v>135996</v>
      </c>
      <c r="L124" s="32">
        <f t="shared" si="18"/>
        <v>33999</v>
      </c>
      <c r="M124" s="31"/>
      <c r="N124" s="5"/>
    </row>
    <row r="125" spans="2:14" ht="18.75" x14ac:dyDescent="0.3">
      <c r="B125" s="34">
        <v>120</v>
      </c>
      <c r="C125" s="31" t="s">
        <v>129</v>
      </c>
      <c r="D125" s="33">
        <v>150000</v>
      </c>
      <c r="E125" s="33">
        <v>19995</v>
      </c>
      <c r="F125" s="32">
        <f t="shared" si="19"/>
        <v>169995</v>
      </c>
      <c r="G125" s="34">
        <v>50</v>
      </c>
      <c r="H125" s="32">
        <v>3399.9</v>
      </c>
      <c r="I125" s="31">
        <v>23</v>
      </c>
      <c r="J125" s="35">
        <f t="shared" si="17"/>
        <v>27</v>
      </c>
      <c r="K125" s="36">
        <f t="shared" si="20"/>
        <v>78197.7</v>
      </c>
      <c r="L125" s="32">
        <f t="shared" si="18"/>
        <v>91797.3</v>
      </c>
      <c r="M125" s="31"/>
      <c r="N125" s="5"/>
    </row>
    <row r="126" spans="2:14" ht="18.75" x14ac:dyDescent="0.3">
      <c r="B126" s="34">
        <v>121</v>
      </c>
      <c r="C126" s="31" t="s">
        <v>130</v>
      </c>
      <c r="D126" s="33">
        <v>150000</v>
      </c>
      <c r="E126" s="33">
        <v>19995</v>
      </c>
      <c r="F126" s="32">
        <f t="shared" si="19"/>
        <v>169995</v>
      </c>
      <c r="G126" s="34">
        <v>50</v>
      </c>
      <c r="H126" s="32">
        <v>3399.9</v>
      </c>
      <c r="I126" s="31">
        <v>25</v>
      </c>
      <c r="J126" s="35">
        <f t="shared" si="17"/>
        <v>25</v>
      </c>
      <c r="K126" s="36">
        <f t="shared" si="20"/>
        <v>84997.5</v>
      </c>
      <c r="L126" s="32">
        <f t="shared" si="18"/>
        <v>84997.5</v>
      </c>
      <c r="M126" s="31"/>
      <c r="N126" s="5"/>
    </row>
    <row r="127" spans="2:14" ht="18.75" x14ac:dyDescent="0.3">
      <c r="B127" s="34">
        <v>122</v>
      </c>
      <c r="C127" s="31" t="s">
        <v>131</v>
      </c>
      <c r="D127" s="33">
        <v>150000</v>
      </c>
      <c r="E127" s="33">
        <v>19995</v>
      </c>
      <c r="F127" s="32">
        <f t="shared" si="19"/>
        <v>169995</v>
      </c>
      <c r="G127" s="34">
        <v>50</v>
      </c>
      <c r="H127" s="32">
        <v>3399.9</v>
      </c>
      <c r="I127" s="31">
        <v>25</v>
      </c>
      <c r="J127" s="35">
        <f t="shared" si="17"/>
        <v>25</v>
      </c>
      <c r="K127" s="36">
        <f t="shared" si="20"/>
        <v>84997.5</v>
      </c>
      <c r="L127" s="32">
        <f t="shared" si="18"/>
        <v>84997.5</v>
      </c>
      <c r="M127" s="31"/>
      <c r="N127" s="5"/>
    </row>
    <row r="128" spans="2:14" ht="18.75" x14ac:dyDescent="0.3">
      <c r="B128" s="34">
        <v>123</v>
      </c>
      <c r="C128" s="31" t="s">
        <v>201</v>
      </c>
      <c r="D128" s="33">
        <v>150000</v>
      </c>
      <c r="E128" s="33">
        <v>19995</v>
      </c>
      <c r="F128" s="32">
        <f t="shared" si="19"/>
        <v>169995</v>
      </c>
      <c r="G128" s="34">
        <v>50</v>
      </c>
      <c r="H128" s="32">
        <v>3399.9</v>
      </c>
      <c r="I128" s="31">
        <v>25</v>
      </c>
      <c r="J128" s="35">
        <f t="shared" si="17"/>
        <v>25</v>
      </c>
      <c r="K128" s="36">
        <f t="shared" si="20"/>
        <v>84997.5</v>
      </c>
      <c r="L128" s="32">
        <f t="shared" si="18"/>
        <v>84997.5</v>
      </c>
      <c r="M128" s="31"/>
      <c r="N128" s="5"/>
    </row>
    <row r="129" spans="2:14" ht="18.75" x14ac:dyDescent="0.3">
      <c r="B129" s="34">
        <v>124</v>
      </c>
      <c r="C129" s="31" t="s">
        <v>202</v>
      </c>
      <c r="D129" s="33">
        <v>150000</v>
      </c>
      <c r="E129" s="33">
        <v>19995</v>
      </c>
      <c r="F129" s="32">
        <f t="shared" si="19"/>
        <v>169995</v>
      </c>
      <c r="G129" s="34">
        <v>50</v>
      </c>
      <c r="H129" s="32">
        <v>3399.9</v>
      </c>
      <c r="I129" s="31">
        <v>50</v>
      </c>
      <c r="J129" s="35">
        <f t="shared" si="17"/>
        <v>0</v>
      </c>
      <c r="K129" s="36">
        <f t="shared" si="20"/>
        <v>169995</v>
      </c>
      <c r="L129" s="32">
        <f t="shared" si="18"/>
        <v>0</v>
      </c>
      <c r="M129" s="31"/>
      <c r="N129" s="5"/>
    </row>
    <row r="130" spans="2:14" ht="18.75" x14ac:dyDescent="0.3">
      <c r="B130" s="34">
        <v>125</v>
      </c>
      <c r="C130" s="31" t="s">
        <v>223</v>
      </c>
      <c r="D130" s="33">
        <v>150000</v>
      </c>
      <c r="E130" s="33">
        <v>19995</v>
      </c>
      <c r="F130" s="32">
        <f t="shared" si="19"/>
        <v>169995</v>
      </c>
      <c r="G130" s="34">
        <v>50</v>
      </c>
      <c r="H130" s="32">
        <v>3399.9</v>
      </c>
      <c r="I130" s="31">
        <v>49</v>
      </c>
      <c r="J130" s="35">
        <f t="shared" si="17"/>
        <v>1</v>
      </c>
      <c r="K130" s="36">
        <f t="shared" si="20"/>
        <v>166595.1</v>
      </c>
      <c r="L130" s="32">
        <f t="shared" si="18"/>
        <v>3399.8999999999942</v>
      </c>
      <c r="M130" s="31"/>
      <c r="N130" s="5"/>
    </row>
    <row r="131" spans="2:14" ht="18.75" x14ac:dyDescent="0.3">
      <c r="B131" s="34">
        <v>126</v>
      </c>
      <c r="C131" s="31" t="s">
        <v>133</v>
      </c>
      <c r="D131" s="33">
        <v>150000</v>
      </c>
      <c r="E131" s="33">
        <v>19995</v>
      </c>
      <c r="F131" s="32">
        <f t="shared" si="19"/>
        <v>169995</v>
      </c>
      <c r="G131" s="34">
        <v>50</v>
      </c>
      <c r="H131" s="32">
        <v>3399.9</v>
      </c>
      <c r="I131" s="31">
        <v>25</v>
      </c>
      <c r="J131" s="35">
        <f t="shared" si="17"/>
        <v>25</v>
      </c>
      <c r="K131" s="36">
        <f t="shared" si="20"/>
        <v>84997.5</v>
      </c>
      <c r="L131" s="32">
        <f t="shared" si="18"/>
        <v>84997.5</v>
      </c>
      <c r="M131" s="31"/>
      <c r="N131" s="5"/>
    </row>
    <row r="132" spans="2:14" ht="18.75" x14ac:dyDescent="0.3">
      <c r="B132" s="34">
        <v>127</v>
      </c>
      <c r="C132" s="31" t="s">
        <v>134</v>
      </c>
      <c r="D132" s="33">
        <v>150000</v>
      </c>
      <c r="E132" s="33">
        <v>19995</v>
      </c>
      <c r="F132" s="32">
        <f t="shared" si="19"/>
        <v>169995</v>
      </c>
      <c r="G132" s="34">
        <v>50</v>
      </c>
      <c r="H132" s="32">
        <v>3399.9</v>
      </c>
      <c r="I132" s="31">
        <v>40</v>
      </c>
      <c r="J132" s="35">
        <f t="shared" si="17"/>
        <v>10</v>
      </c>
      <c r="K132" s="36">
        <f t="shared" si="20"/>
        <v>135996</v>
      </c>
      <c r="L132" s="32">
        <f t="shared" si="18"/>
        <v>33999</v>
      </c>
      <c r="M132" s="31"/>
      <c r="N132" s="5"/>
    </row>
    <row r="133" spans="2:14" ht="18.75" x14ac:dyDescent="0.3">
      <c r="B133" s="34">
        <v>128</v>
      </c>
      <c r="C133" s="31" t="s">
        <v>203</v>
      </c>
      <c r="D133" s="33">
        <v>150000</v>
      </c>
      <c r="E133" s="33">
        <v>19995</v>
      </c>
      <c r="F133" s="32">
        <f t="shared" si="19"/>
        <v>169995</v>
      </c>
      <c r="G133" s="34">
        <v>50</v>
      </c>
      <c r="H133" s="32">
        <v>3399.9</v>
      </c>
      <c r="I133" s="31">
        <v>40</v>
      </c>
      <c r="J133" s="35">
        <f t="shared" si="17"/>
        <v>10</v>
      </c>
      <c r="K133" s="36">
        <f t="shared" si="20"/>
        <v>135996</v>
      </c>
      <c r="L133" s="32">
        <f t="shared" si="18"/>
        <v>33999</v>
      </c>
      <c r="M133" s="31"/>
      <c r="N133" s="5"/>
    </row>
    <row r="134" spans="2:14" ht="18.75" x14ac:dyDescent="0.3">
      <c r="B134" s="34">
        <v>129</v>
      </c>
      <c r="C134" s="31" t="s">
        <v>136</v>
      </c>
      <c r="D134" s="33">
        <v>150000</v>
      </c>
      <c r="E134" s="33">
        <v>19995</v>
      </c>
      <c r="F134" s="32">
        <f t="shared" si="19"/>
        <v>169995</v>
      </c>
      <c r="G134" s="34">
        <v>50</v>
      </c>
      <c r="H134" s="32">
        <v>3399.9</v>
      </c>
      <c r="I134" s="31">
        <v>40</v>
      </c>
      <c r="J134" s="35">
        <f t="shared" ref="J134:J162" si="21">G134-I134</f>
        <v>10</v>
      </c>
      <c r="K134" s="36">
        <f t="shared" si="20"/>
        <v>135996</v>
      </c>
      <c r="L134" s="32">
        <f t="shared" ref="L134:L138" si="22">F134-K134</f>
        <v>33999</v>
      </c>
      <c r="M134" s="31"/>
      <c r="N134" s="5"/>
    </row>
    <row r="135" spans="2:14" ht="18.75" x14ac:dyDescent="0.3">
      <c r="B135" s="34">
        <v>130</v>
      </c>
      <c r="C135" s="31" t="s">
        <v>137</v>
      </c>
      <c r="D135" s="33">
        <v>150000</v>
      </c>
      <c r="E135" s="33">
        <v>19995</v>
      </c>
      <c r="F135" s="32">
        <f t="shared" si="19"/>
        <v>169995</v>
      </c>
      <c r="G135" s="34">
        <v>50</v>
      </c>
      <c r="H135" s="32">
        <v>3399.9</v>
      </c>
      <c r="I135" s="31">
        <v>25</v>
      </c>
      <c r="J135" s="35">
        <f t="shared" si="21"/>
        <v>25</v>
      </c>
      <c r="K135" s="36">
        <f t="shared" si="20"/>
        <v>84997.5</v>
      </c>
      <c r="L135" s="32">
        <f t="shared" si="22"/>
        <v>84997.5</v>
      </c>
      <c r="M135" s="31"/>
      <c r="N135" s="5"/>
    </row>
    <row r="136" spans="2:14" ht="18.75" x14ac:dyDescent="0.3">
      <c r="B136" s="34">
        <v>131</v>
      </c>
      <c r="C136" s="31" t="s">
        <v>230</v>
      </c>
      <c r="D136" s="33">
        <v>150000</v>
      </c>
      <c r="E136" s="33">
        <v>19995</v>
      </c>
      <c r="F136" s="32">
        <f t="shared" ref="F136:F162" si="23">D136+E136</f>
        <v>169995</v>
      </c>
      <c r="G136" s="34">
        <v>50</v>
      </c>
      <c r="H136" s="32">
        <v>3399.9</v>
      </c>
      <c r="I136" s="31">
        <v>30</v>
      </c>
      <c r="J136" s="35">
        <f t="shared" si="21"/>
        <v>20</v>
      </c>
      <c r="K136" s="36">
        <f t="shared" si="20"/>
        <v>101997</v>
      </c>
      <c r="L136" s="32">
        <f t="shared" si="22"/>
        <v>67998</v>
      </c>
      <c r="M136" s="31"/>
      <c r="N136" s="5"/>
    </row>
    <row r="137" spans="2:14" ht="18.75" x14ac:dyDescent="0.3">
      <c r="B137" s="34">
        <v>132</v>
      </c>
      <c r="C137" s="31" t="s">
        <v>139</v>
      </c>
      <c r="D137" s="33">
        <v>150000</v>
      </c>
      <c r="E137" s="33">
        <v>19995</v>
      </c>
      <c r="F137" s="32">
        <f t="shared" si="23"/>
        <v>169995</v>
      </c>
      <c r="G137" s="34">
        <v>50</v>
      </c>
      <c r="H137" s="32">
        <v>3399.9</v>
      </c>
      <c r="I137" s="31">
        <v>25</v>
      </c>
      <c r="J137" s="35">
        <f t="shared" si="21"/>
        <v>25</v>
      </c>
      <c r="K137" s="36">
        <f t="shared" si="20"/>
        <v>84997.5</v>
      </c>
      <c r="L137" s="32">
        <f t="shared" si="22"/>
        <v>84997.5</v>
      </c>
      <c r="M137" s="31"/>
      <c r="N137" s="5"/>
    </row>
    <row r="138" spans="2:14" ht="18.75" x14ac:dyDescent="0.3">
      <c r="B138" s="34">
        <v>133</v>
      </c>
      <c r="C138" s="31" t="s">
        <v>229</v>
      </c>
      <c r="D138" s="33">
        <v>150000</v>
      </c>
      <c r="E138" s="33">
        <v>19995</v>
      </c>
      <c r="F138" s="32">
        <f t="shared" si="23"/>
        <v>169995</v>
      </c>
      <c r="G138" s="34">
        <v>50</v>
      </c>
      <c r="H138" s="32">
        <v>3399.9</v>
      </c>
      <c r="I138" s="31">
        <v>20</v>
      </c>
      <c r="J138" s="35">
        <f t="shared" si="21"/>
        <v>30</v>
      </c>
      <c r="K138" s="36">
        <f t="shared" si="20"/>
        <v>67998</v>
      </c>
      <c r="L138" s="36">
        <f t="shared" si="22"/>
        <v>101997</v>
      </c>
      <c r="M138" s="31"/>
      <c r="N138" s="5"/>
    </row>
    <row r="139" spans="2:14" ht="18.75" x14ac:dyDescent="0.3">
      <c r="B139" s="34">
        <v>134</v>
      </c>
      <c r="C139" s="31" t="s">
        <v>207</v>
      </c>
      <c r="D139" s="33">
        <v>150000</v>
      </c>
      <c r="E139" s="33">
        <v>19995</v>
      </c>
      <c r="F139" s="32">
        <f t="shared" si="23"/>
        <v>169995</v>
      </c>
      <c r="G139" s="34">
        <v>50</v>
      </c>
      <c r="H139" s="32">
        <v>3399.9</v>
      </c>
      <c r="I139" s="31">
        <v>20</v>
      </c>
      <c r="J139" s="35">
        <f t="shared" si="21"/>
        <v>30</v>
      </c>
      <c r="K139" s="36">
        <f t="shared" ref="K139:K162" si="24">I139*H139</f>
        <v>67998</v>
      </c>
      <c r="L139" s="36">
        <f>F139-H139</f>
        <v>166595.1</v>
      </c>
      <c r="M139" s="31"/>
      <c r="N139" s="5"/>
    </row>
    <row r="140" spans="2:14" ht="18.75" x14ac:dyDescent="0.3">
      <c r="B140" s="34">
        <v>135</v>
      </c>
      <c r="C140" s="50" t="s">
        <v>147</v>
      </c>
      <c r="D140" s="33">
        <v>150000</v>
      </c>
      <c r="E140" s="33">
        <v>19995</v>
      </c>
      <c r="F140" s="32">
        <f t="shared" si="23"/>
        <v>169995</v>
      </c>
      <c r="G140" s="34">
        <v>50</v>
      </c>
      <c r="H140" s="32">
        <v>3399.9</v>
      </c>
      <c r="I140" s="50">
        <v>14</v>
      </c>
      <c r="J140" s="35">
        <f t="shared" si="21"/>
        <v>36</v>
      </c>
      <c r="K140" s="36">
        <f t="shared" si="24"/>
        <v>47598.6</v>
      </c>
      <c r="L140" s="36">
        <f t="shared" ref="L140:L162" si="25">F140-K140</f>
        <v>122396.4</v>
      </c>
      <c r="M140" s="31"/>
      <c r="N140" s="5"/>
    </row>
    <row r="141" spans="2:14" ht="18.75" x14ac:dyDescent="0.3">
      <c r="B141" s="34">
        <v>136</v>
      </c>
      <c r="C141" s="50" t="s">
        <v>151</v>
      </c>
      <c r="D141" s="33">
        <v>150000</v>
      </c>
      <c r="E141" s="33">
        <v>19995</v>
      </c>
      <c r="F141" s="32">
        <f t="shared" si="23"/>
        <v>169995</v>
      </c>
      <c r="G141" s="34">
        <v>50</v>
      </c>
      <c r="H141" s="32">
        <v>3399.9</v>
      </c>
      <c r="I141" s="50">
        <v>14</v>
      </c>
      <c r="J141" s="35">
        <f t="shared" si="21"/>
        <v>36</v>
      </c>
      <c r="K141" s="36">
        <f t="shared" si="24"/>
        <v>47598.6</v>
      </c>
      <c r="L141" s="36">
        <f t="shared" si="25"/>
        <v>122396.4</v>
      </c>
      <c r="M141" s="31"/>
      <c r="N141" s="5"/>
    </row>
    <row r="142" spans="2:14" ht="18.75" x14ac:dyDescent="0.3">
      <c r="B142" s="34">
        <v>137</v>
      </c>
      <c r="C142" s="50" t="s">
        <v>152</v>
      </c>
      <c r="D142" s="33">
        <v>150000</v>
      </c>
      <c r="E142" s="33">
        <v>19995</v>
      </c>
      <c r="F142" s="32">
        <f t="shared" si="23"/>
        <v>169995</v>
      </c>
      <c r="G142" s="34">
        <v>50</v>
      </c>
      <c r="H142" s="32">
        <v>3399.9</v>
      </c>
      <c r="I142" s="50">
        <v>14</v>
      </c>
      <c r="J142" s="35">
        <f t="shared" si="21"/>
        <v>36</v>
      </c>
      <c r="K142" s="36">
        <f t="shared" si="24"/>
        <v>47598.6</v>
      </c>
      <c r="L142" s="36">
        <f t="shared" si="25"/>
        <v>122396.4</v>
      </c>
      <c r="M142" s="31"/>
      <c r="N142" s="5"/>
    </row>
    <row r="143" spans="2:14" ht="18.75" x14ac:dyDescent="0.3">
      <c r="B143" s="34">
        <v>138</v>
      </c>
      <c r="C143" s="50" t="s">
        <v>153</v>
      </c>
      <c r="D143" s="33">
        <v>150000</v>
      </c>
      <c r="E143" s="33">
        <v>19995</v>
      </c>
      <c r="F143" s="32">
        <f t="shared" si="23"/>
        <v>169995</v>
      </c>
      <c r="G143" s="34">
        <v>50</v>
      </c>
      <c r="H143" s="32">
        <v>3399.9</v>
      </c>
      <c r="I143" s="50">
        <v>14</v>
      </c>
      <c r="J143" s="35">
        <f t="shared" si="21"/>
        <v>36</v>
      </c>
      <c r="K143" s="36">
        <f t="shared" si="24"/>
        <v>47598.6</v>
      </c>
      <c r="L143" s="36">
        <f t="shared" si="25"/>
        <v>122396.4</v>
      </c>
      <c r="M143" s="31"/>
      <c r="N143" s="5"/>
    </row>
    <row r="144" spans="2:14" ht="18.75" x14ac:dyDescent="0.3">
      <c r="B144" s="34">
        <v>139</v>
      </c>
      <c r="C144" s="50" t="s">
        <v>216</v>
      </c>
      <c r="D144" s="33">
        <v>150000</v>
      </c>
      <c r="E144" s="33">
        <v>19995</v>
      </c>
      <c r="F144" s="32">
        <f t="shared" si="23"/>
        <v>169995</v>
      </c>
      <c r="G144" s="34">
        <v>50</v>
      </c>
      <c r="H144" s="32">
        <v>3399.9</v>
      </c>
      <c r="I144" s="50">
        <v>6</v>
      </c>
      <c r="J144" s="35">
        <f t="shared" si="21"/>
        <v>44</v>
      </c>
      <c r="K144" s="36">
        <f t="shared" si="24"/>
        <v>20399.400000000001</v>
      </c>
      <c r="L144" s="36">
        <f t="shared" si="25"/>
        <v>149595.6</v>
      </c>
      <c r="M144" s="31"/>
      <c r="N144" s="5"/>
    </row>
    <row r="145" spans="2:14" ht="18.75" x14ac:dyDescent="0.3">
      <c r="B145" s="34">
        <v>140</v>
      </c>
      <c r="C145" s="50" t="s">
        <v>213</v>
      </c>
      <c r="D145" s="33">
        <v>150000</v>
      </c>
      <c r="E145" s="33">
        <v>19995</v>
      </c>
      <c r="F145" s="32">
        <f t="shared" si="23"/>
        <v>169995</v>
      </c>
      <c r="G145" s="34">
        <v>50</v>
      </c>
      <c r="H145" s="32">
        <v>3399.9</v>
      </c>
      <c r="I145" s="50">
        <v>6</v>
      </c>
      <c r="J145" s="35">
        <f t="shared" si="21"/>
        <v>44</v>
      </c>
      <c r="K145" s="36">
        <f t="shared" si="24"/>
        <v>20399.400000000001</v>
      </c>
      <c r="L145" s="36">
        <f t="shared" si="25"/>
        <v>149595.6</v>
      </c>
      <c r="M145" s="31"/>
      <c r="N145" s="5"/>
    </row>
    <row r="146" spans="2:14" ht="18.75" x14ac:dyDescent="0.3">
      <c r="B146" s="34">
        <v>141</v>
      </c>
      <c r="C146" s="50" t="s">
        <v>23</v>
      </c>
      <c r="D146" s="33">
        <v>150000</v>
      </c>
      <c r="E146" s="33">
        <v>19995</v>
      </c>
      <c r="F146" s="32">
        <f t="shared" si="23"/>
        <v>169995</v>
      </c>
      <c r="G146" s="34">
        <v>50</v>
      </c>
      <c r="H146" s="32">
        <v>3399.9</v>
      </c>
      <c r="I146" s="50">
        <v>6</v>
      </c>
      <c r="J146" s="35">
        <f t="shared" si="21"/>
        <v>44</v>
      </c>
      <c r="K146" s="36">
        <f t="shared" si="24"/>
        <v>20399.400000000001</v>
      </c>
      <c r="L146" s="36">
        <f t="shared" si="25"/>
        <v>149595.6</v>
      </c>
      <c r="M146" s="31"/>
      <c r="N146" s="5"/>
    </row>
    <row r="147" spans="2:14" ht="18.75" x14ac:dyDescent="0.3">
      <c r="B147" s="34">
        <v>142</v>
      </c>
      <c r="C147" s="50" t="s">
        <v>24</v>
      </c>
      <c r="D147" s="33">
        <v>150000</v>
      </c>
      <c r="E147" s="33">
        <v>19995</v>
      </c>
      <c r="F147" s="32">
        <f t="shared" si="23"/>
        <v>169995</v>
      </c>
      <c r="G147" s="34">
        <v>50</v>
      </c>
      <c r="H147" s="32">
        <v>3399.9</v>
      </c>
      <c r="I147" s="50">
        <v>6</v>
      </c>
      <c r="J147" s="35">
        <f t="shared" si="21"/>
        <v>44</v>
      </c>
      <c r="K147" s="36">
        <f t="shared" si="24"/>
        <v>20399.400000000001</v>
      </c>
      <c r="L147" s="36">
        <f t="shared" si="25"/>
        <v>149595.6</v>
      </c>
      <c r="M147" s="31"/>
      <c r="N147" s="5"/>
    </row>
    <row r="148" spans="2:14" ht="18.75" x14ac:dyDescent="0.3">
      <c r="B148" s="34">
        <v>143</v>
      </c>
      <c r="C148" s="50" t="s">
        <v>27</v>
      </c>
      <c r="D148" s="33">
        <v>150000</v>
      </c>
      <c r="E148" s="33">
        <v>19995</v>
      </c>
      <c r="F148" s="32">
        <f t="shared" si="23"/>
        <v>169995</v>
      </c>
      <c r="G148" s="34">
        <v>50</v>
      </c>
      <c r="H148" s="32">
        <v>3399.9</v>
      </c>
      <c r="I148" s="50">
        <v>4</v>
      </c>
      <c r="J148" s="35">
        <f t="shared" si="21"/>
        <v>46</v>
      </c>
      <c r="K148" s="36">
        <f t="shared" si="24"/>
        <v>13599.6</v>
      </c>
      <c r="L148" s="36">
        <f t="shared" si="25"/>
        <v>156395.4</v>
      </c>
      <c r="M148" s="31"/>
      <c r="N148" s="5"/>
    </row>
    <row r="149" spans="2:14" ht="18.75" x14ac:dyDescent="0.3">
      <c r="B149" s="34">
        <v>144</v>
      </c>
      <c r="C149" s="29" t="s">
        <v>32</v>
      </c>
      <c r="D149" s="33">
        <v>150000</v>
      </c>
      <c r="E149" s="33">
        <v>19995</v>
      </c>
      <c r="F149" s="32">
        <f t="shared" si="23"/>
        <v>169995</v>
      </c>
      <c r="G149" s="34">
        <v>50</v>
      </c>
      <c r="H149" s="32">
        <v>3399.9</v>
      </c>
      <c r="I149" s="50">
        <v>4</v>
      </c>
      <c r="J149" s="35">
        <f t="shared" si="21"/>
        <v>46</v>
      </c>
      <c r="K149" s="36">
        <f t="shared" si="24"/>
        <v>13599.6</v>
      </c>
      <c r="L149" s="36">
        <f t="shared" si="25"/>
        <v>156395.4</v>
      </c>
      <c r="M149" s="31"/>
      <c r="N149" s="5"/>
    </row>
    <row r="150" spans="2:14" ht="18.75" x14ac:dyDescent="0.3">
      <c r="B150" s="34">
        <v>145</v>
      </c>
      <c r="C150" s="29" t="s">
        <v>33</v>
      </c>
      <c r="D150" s="33">
        <v>150000</v>
      </c>
      <c r="E150" s="33">
        <v>19995</v>
      </c>
      <c r="F150" s="32">
        <f t="shared" si="23"/>
        <v>169995</v>
      </c>
      <c r="G150" s="34">
        <v>50</v>
      </c>
      <c r="H150" s="32">
        <v>3399.9</v>
      </c>
      <c r="I150" s="50">
        <v>4</v>
      </c>
      <c r="J150" s="35">
        <f t="shared" si="21"/>
        <v>46</v>
      </c>
      <c r="K150" s="36">
        <f t="shared" si="24"/>
        <v>13599.6</v>
      </c>
      <c r="L150" s="36">
        <f t="shared" si="25"/>
        <v>156395.4</v>
      </c>
      <c r="M150" s="31"/>
      <c r="N150" s="5"/>
    </row>
    <row r="151" spans="2:14" ht="18.75" x14ac:dyDescent="0.3">
      <c r="B151" s="34">
        <v>146</v>
      </c>
      <c r="C151" s="29" t="s">
        <v>34</v>
      </c>
      <c r="D151" s="33">
        <v>150000</v>
      </c>
      <c r="E151" s="33">
        <v>19995</v>
      </c>
      <c r="F151" s="32">
        <f t="shared" si="23"/>
        <v>169995</v>
      </c>
      <c r="G151" s="34">
        <v>50</v>
      </c>
      <c r="H151" s="32">
        <v>3399.9</v>
      </c>
      <c r="I151" s="50">
        <v>4</v>
      </c>
      <c r="J151" s="35">
        <f t="shared" si="21"/>
        <v>46</v>
      </c>
      <c r="K151" s="36">
        <f t="shared" si="24"/>
        <v>13599.6</v>
      </c>
      <c r="L151" s="36">
        <f t="shared" si="25"/>
        <v>156395.4</v>
      </c>
      <c r="M151" s="31"/>
      <c r="N151" s="5"/>
    </row>
    <row r="152" spans="2:14" ht="18.75" x14ac:dyDescent="0.3">
      <c r="B152" s="34">
        <v>147</v>
      </c>
      <c r="C152" s="29" t="s">
        <v>41</v>
      </c>
      <c r="D152" s="33">
        <v>150000</v>
      </c>
      <c r="E152" s="33">
        <v>19995</v>
      </c>
      <c r="F152" s="32">
        <f t="shared" si="23"/>
        <v>169995</v>
      </c>
      <c r="G152" s="34">
        <v>50</v>
      </c>
      <c r="H152" s="32">
        <v>3399.9</v>
      </c>
      <c r="I152" s="50">
        <v>2</v>
      </c>
      <c r="J152" s="35">
        <f t="shared" si="21"/>
        <v>48</v>
      </c>
      <c r="K152" s="36">
        <f t="shared" si="24"/>
        <v>6799.8</v>
      </c>
      <c r="L152" s="36">
        <f t="shared" si="25"/>
        <v>163195.20000000001</v>
      </c>
      <c r="M152" s="31" t="s">
        <v>28</v>
      </c>
      <c r="N152" s="5"/>
    </row>
    <row r="153" spans="2:14" ht="18.75" x14ac:dyDescent="0.3">
      <c r="B153" s="34">
        <v>148</v>
      </c>
      <c r="C153" s="29" t="s">
        <v>157</v>
      </c>
      <c r="D153" s="33">
        <v>150000</v>
      </c>
      <c r="E153" s="33">
        <v>19995</v>
      </c>
      <c r="F153" s="32">
        <f t="shared" si="23"/>
        <v>169995</v>
      </c>
      <c r="G153" s="34">
        <v>50</v>
      </c>
      <c r="H153" s="32">
        <v>3399</v>
      </c>
      <c r="I153" s="50">
        <v>16</v>
      </c>
      <c r="J153" s="35">
        <f t="shared" si="21"/>
        <v>34</v>
      </c>
      <c r="K153" s="36">
        <f t="shared" si="24"/>
        <v>54384</v>
      </c>
      <c r="L153" s="36">
        <f t="shared" si="25"/>
        <v>115611</v>
      </c>
      <c r="M153" s="31" t="s">
        <v>221</v>
      </c>
      <c r="N153" s="5"/>
    </row>
    <row r="154" spans="2:14" ht="18.75" x14ac:dyDescent="0.3">
      <c r="B154" s="34">
        <v>149</v>
      </c>
      <c r="C154" s="29" t="s">
        <v>158</v>
      </c>
      <c r="D154" s="33">
        <v>150000</v>
      </c>
      <c r="E154" s="33">
        <v>19995</v>
      </c>
      <c r="F154" s="32">
        <f t="shared" si="23"/>
        <v>169995</v>
      </c>
      <c r="G154" s="34">
        <v>50</v>
      </c>
      <c r="H154" s="32">
        <v>3399.9</v>
      </c>
      <c r="I154" s="31">
        <v>40</v>
      </c>
      <c r="J154" s="35">
        <f t="shared" si="21"/>
        <v>10</v>
      </c>
      <c r="K154" s="36">
        <f t="shared" si="24"/>
        <v>135996</v>
      </c>
      <c r="L154" s="36">
        <f t="shared" si="25"/>
        <v>33999</v>
      </c>
      <c r="M154" s="31" t="s">
        <v>221</v>
      </c>
      <c r="N154" s="5"/>
    </row>
    <row r="155" spans="2:14" ht="18.75" x14ac:dyDescent="0.3">
      <c r="B155" s="34">
        <v>150</v>
      </c>
      <c r="C155" s="29" t="s">
        <v>165</v>
      </c>
      <c r="D155" s="33">
        <v>150000</v>
      </c>
      <c r="E155" s="33">
        <v>19995</v>
      </c>
      <c r="F155" s="32">
        <f t="shared" si="23"/>
        <v>169995</v>
      </c>
      <c r="G155" s="34">
        <v>50</v>
      </c>
      <c r="H155" s="32">
        <v>3399</v>
      </c>
      <c r="I155" s="50">
        <v>16</v>
      </c>
      <c r="J155" s="35">
        <f t="shared" si="21"/>
        <v>34</v>
      </c>
      <c r="K155" s="36">
        <f t="shared" si="24"/>
        <v>54384</v>
      </c>
      <c r="L155" s="36">
        <f t="shared" si="25"/>
        <v>115611</v>
      </c>
      <c r="M155" s="31" t="s">
        <v>221</v>
      </c>
      <c r="N155" s="5"/>
    </row>
    <row r="156" spans="2:14" ht="18.75" x14ac:dyDescent="0.3">
      <c r="B156" s="34">
        <v>151</v>
      </c>
      <c r="C156" s="29" t="s">
        <v>168</v>
      </c>
      <c r="D156" s="33">
        <v>150000</v>
      </c>
      <c r="E156" s="33">
        <v>19995</v>
      </c>
      <c r="F156" s="32">
        <f t="shared" si="23"/>
        <v>169995</v>
      </c>
      <c r="G156" s="34">
        <v>50</v>
      </c>
      <c r="H156" s="32">
        <v>3399</v>
      </c>
      <c r="I156" s="50">
        <v>16</v>
      </c>
      <c r="J156" s="35">
        <f t="shared" si="21"/>
        <v>34</v>
      </c>
      <c r="K156" s="36">
        <f t="shared" si="24"/>
        <v>54384</v>
      </c>
      <c r="L156" s="36">
        <f t="shared" si="25"/>
        <v>115611</v>
      </c>
      <c r="M156" s="31" t="s">
        <v>221</v>
      </c>
      <c r="N156" s="5"/>
    </row>
    <row r="157" spans="2:14" s="21" customFormat="1" ht="18.75" x14ac:dyDescent="0.3">
      <c r="B157" s="34">
        <v>152</v>
      </c>
      <c r="C157" s="29" t="s">
        <v>181</v>
      </c>
      <c r="D157" s="33">
        <v>150000</v>
      </c>
      <c r="E157" s="33">
        <v>19995</v>
      </c>
      <c r="F157" s="32">
        <f t="shared" si="23"/>
        <v>169995</v>
      </c>
      <c r="G157" s="34">
        <v>50</v>
      </c>
      <c r="H157" s="32">
        <v>3399</v>
      </c>
      <c r="I157" s="50">
        <v>14</v>
      </c>
      <c r="J157" s="35">
        <f t="shared" si="21"/>
        <v>36</v>
      </c>
      <c r="K157" s="36">
        <f t="shared" si="24"/>
        <v>47586</v>
      </c>
      <c r="L157" s="36">
        <f t="shared" si="25"/>
        <v>122409</v>
      </c>
      <c r="M157" s="31" t="s">
        <v>221</v>
      </c>
      <c r="N157" s="37"/>
    </row>
    <row r="158" spans="2:14" ht="18.75" x14ac:dyDescent="0.3">
      <c r="B158" s="34">
        <v>153</v>
      </c>
      <c r="C158" s="29" t="s">
        <v>244</v>
      </c>
      <c r="D158" s="33">
        <v>150000</v>
      </c>
      <c r="E158" s="33">
        <v>19995</v>
      </c>
      <c r="F158" s="32">
        <f t="shared" si="23"/>
        <v>169995</v>
      </c>
      <c r="G158" s="34">
        <v>50</v>
      </c>
      <c r="H158" s="32">
        <v>3399.9</v>
      </c>
      <c r="I158" s="50">
        <v>1</v>
      </c>
      <c r="J158" s="35">
        <f t="shared" si="21"/>
        <v>49</v>
      </c>
      <c r="K158" s="36">
        <f t="shared" si="24"/>
        <v>3399.9</v>
      </c>
      <c r="L158" s="36">
        <f t="shared" si="25"/>
        <v>166595.1</v>
      </c>
      <c r="M158" s="31" t="s">
        <v>28</v>
      </c>
      <c r="N158" s="5"/>
    </row>
    <row r="159" spans="2:14" ht="18.75" x14ac:dyDescent="0.3">
      <c r="B159" s="34">
        <v>154</v>
      </c>
      <c r="C159" s="29" t="s">
        <v>245</v>
      </c>
      <c r="D159" s="33">
        <v>150000</v>
      </c>
      <c r="E159" s="33">
        <v>19995</v>
      </c>
      <c r="F159" s="32">
        <f t="shared" si="23"/>
        <v>169995</v>
      </c>
      <c r="G159" s="34">
        <v>50</v>
      </c>
      <c r="H159" s="32">
        <v>3399.9</v>
      </c>
      <c r="I159" s="50">
        <v>1</v>
      </c>
      <c r="J159" s="35">
        <f t="shared" si="21"/>
        <v>49</v>
      </c>
      <c r="K159" s="36">
        <f t="shared" si="24"/>
        <v>3399.9</v>
      </c>
      <c r="L159" s="36">
        <f t="shared" si="25"/>
        <v>166595.1</v>
      </c>
      <c r="M159" s="31" t="s">
        <v>28</v>
      </c>
      <c r="N159" s="5"/>
    </row>
    <row r="160" spans="2:14" ht="18.75" x14ac:dyDescent="0.3">
      <c r="B160" s="34">
        <v>155</v>
      </c>
      <c r="C160" s="29" t="s">
        <v>246</v>
      </c>
      <c r="D160" s="33">
        <v>150000</v>
      </c>
      <c r="E160" s="33">
        <v>19995</v>
      </c>
      <c r="F160" s="32">
        <f t="shared" si="23"/>
        <v>169995</v>
      </c>
      <c r="G160" s="34">
        <v>50</v>
      </c>
      <c r="H160" s="32">
        <v>3399.9</v>
      </c>
      <c r="I160" s="50">
        <v>1</v>
      </c>
      <c r="J160" s="35">
        <f t="shared" si="21"/>
        <v>49</v>
      </c>
      <c r="K160" s="36">
        <f t="shared" si="24"/>
        <v>3399.9</v>
      </c>
      <c r="L160" s="36">
        <f t="shared" si="25"/>
        <v>166595.1</v>
      </c>
      <c r="M160" s="31" t="s">
        <v>28</v>
      </c>
      <c r="N160" s="5"/>
    </row>
    <row r="161" spans="2:14" ht="18.75" x14ac:dyDescent="0.3">
      <c r="B161" s="34">
        <v>156</v>
      </c>
      <c r="C161" s="29" t="s">
        <v>247</v>
      </c>
      <c r="D161" s="33">
        <v>150000</v>
      </c>
      <c r="E161" s="33">
        <v>19995</v>
      </c>
      <c r="F161" s="32">
        <f t="shared" si="23"/>
        <v>169995</v>
      </c>
      <c r="G161" s="34">
        <v>50</v>
      </c>
      <c r="H161" s="32">
        <v>3339.9</v>
      </c>
      <c r="I161" s="50">
        <v>1</v>
      </c>
      <c r="J161" s="35">
        <f t="shared" si="21"/>
        <v>49</v>
      </c>
      <c r="K161" s="36">
        <f t="shared" si="24"/>
        <v>3339.9</v>
      </c>
      <c r="L161" s="36">
        <f t="shared" si="25"/>
        <v>166655.1</v>
      </c>
      <c r="M161" s="31" t="s">
        <v>28</v>
      </c>
      <c r="N161" s="5"/>
    </row>
    <row r="162" spans="2:14" ht="18.75" x14ac:dyDescent="0.3">
      <c r="B162" s="34">
        <v>157</v>
      </c>
      <c r="C162" s="29" t="s">
        <v>60</v>
      </c>
      <c r="D162" s="33">
        <v>60000</v>
      </c>
      <c r="E162" s="33">
        <v>7998</v>
      </c>
      <c r="F162" s="32">
        <f t="shared" si="23"/>
        <v>67998</v>
      </c>
      <c r="G162" s="34">
        <v>40</v>
      </c>
      <c r="H162" s="32">
        <v>1699.95</v>
      </c>
      <c r="I162" s="50">
        <v>50</v>
      </c>
      <c r="J162" s="35">
        <f t="shared" si="21"/>
        <v>-10</v>
      </c>
      <c r="K162" s="36">
        <f t="shared" si="24"/>
        <v>84997.5</v>
      </c>
      <c r="L162" s="36">
        <f t="shared" si="25"/>
        <v>-16999.5</v>
      </c>
      <c r="M162" s="31" t="s">
        <v>221</v>
      </c>
      <c r="N162" s="5"/>
    </row>
    <row r="163" spans="2:14" s="57" customFormat="1" ht="18.75" x14ac:dyDescent="0.3">
      <c r="B163" s="71"/>
      <c r="C163" s="69" t="s">
        <v>296</v>
      </c>
      <c r="D163" s="72">
        <f>SUM(D6:D162)</f>
        <v>46530000</v>
      </c>
      <c r="E163" s="72">
        <f t="shared" ref="E163:F163" si="26">SUM(E6:E162)</f>
        <v>6145796.4199999999</v>
      </c>
      <c r="F163" s="72">
        <f t="shared" si="26"/>
        <v>52675796.420000002</v>
      </c>
      <c r="G163" s="71"/>
      <c r="H163" s="72">
        <f>SUM(H6:H162)</f>
        <v>1080290.7200000018</v>
      </c>
      <c r="I163" s="73"/>
      <c r="J163" s="74"/>
      <c r="K163" s="72">
        <f t="shared" ref="K163:L163" si="27">SUM(K6:K162)</f>
        <v>24439506.580000013</v>
      </c>
      <c r="L163" s="72">
        <f t="shared" si="27"/>
        <v>28300887.93999999</v>
      </c>
      <c r="M163" s="53"/>
      <c r="N163" s="22"/>
    </row>
    <row r="164" spans="2:14" s="57" customFormat="1" ht="18.75" x14ac:dyDescent="0.3">
      <c r="B164" s="71"/>
      <c r="C164" s="69"/>
      <c r="D164" s="72"/>
      <c r="E164" s="72"/>
      <c r="F164" s="72"/>
      <c r="G164" s="71"/>
      <c r="H164" s="72"/>
      <c r="I164" s="73"/>
      <c r="J164" s="74"/>
      <c r="K164" s="72"/>
      <c r="L164" s="72"/>
      <c r="M164" s="53"/>
      <c r="N164" s="22"/>
    </row>
    <row r="165" spans="2:14" s="57" customFormat="1" ht="18.75" x14ac:dyDescent="0.3">
      <c r="B165" s="71"/>
      <c r="C165" s="69"/>
      <c r="D165" s="72"/>
      <c r="E165" s="72"/>
      <c r="F165" s="72"/>
      <c r="G165" s="71"/>
      <c r="H165" s="72"/>
      <c r="I165" s="73"/>
      <c r="J165" s="74"/>
      <c r="K165" s="72"/>
      <c r="L165" s="72"/>
      <c r="M165" s="53"/>
      <c r="N165" s="22"/>
    </row>
    <row r="166" spans="2:14" s="57" customFormat="1" ht="21" x14ac:dyDescent="0.35">
      <c r="B166" s="41"/>
      <c r="C166" s="51" t="s">
        <v>222</v>
      </c>
      <c r="D166" s="100"/>
      <c r="E166" s="100"/>
      <c r="F166" s="100"/>
      <c r="G166" s="100"/>
      <c r="H166" s="100"/>
      <c r="I166" s="100"/>
      <c r="J166" s="100"/>
      <c r="K166" s="100"/>
      <c r="L166" s="100"/>
      <c r="M166" s="53"/>
      <c r="N166" s="22"/>
    </row>
    <row r="167" spans="2:14" s="57" customFormat="1" ht="18.75" x14ac:dyDescent="0.3">
      <c r="B167" s="34">
        <v>1</v>
      </c>
      <c r="C167" s="29" t="s">
        <v>177</v>
      </c>
      <c r="D167" s="33">
        <v>500000</v>
      </c>
      <c r="E167" s="33">
        <v>66650</v>
      </c>
      <c r="F167" s="32">
        <f>D167+E167</f>
        <v>566650</v>
      </c>
      <c r="G167" s="34">
        <v>50</v>
      </c>
      <c r="H167" s="32">
        <v>11333</v>
      </c>
      <c r="I167" s="50">
        <v>46</v>
      </c>
      <c r="J167" s="35">
        <f>G167-I167</f>
        <v>4</v>
      </c>
      <c r="K167" s="36">
        <f>I167*H167</f>
        <v>521318</v>
      </c>
      <c r="L167" s="36">
        <f>F167-K167</f>
        <v>45332</v>
      </c>
      <c r="M167" s="53"/>
      <c r="N167" s="22"/>
    </row>
    <row r="168" spans="2:14" s="57" customFormat="1" ht="18.75" x14ac:dyDescent="0.3">
      <c r="B168" s="34">
        <v>2</v>
      </c>
      <c r="C168" s="31" t="s">
        <v>111</v>
      </c>
      <c r="D168" s="33">
        <v>500000</v>
      </c>
      <c r="E168" s="33">
        <v>66650</v>
      </c>
      <c r="F168" s="32">
        <f>D168+E168</f>
        <v>566650</v>
      </c>
      <c r="G168" s="34">
        <v>50</v>
      </c>
      <c r="H168" s="36">
        <v>11333</v>
      </c>
      <c r="I168" s="31">
        <v>25</v>
      </c>
      <c r="J168" s="35">
        <f>G168-I168</f>
        <v>25</v>
      </c>
      <c r="K168" s="36">
        <f>H168*I168</f>
        <v>283325</v>
      </c>
      <c r="L168" s="36">
        <f>F168-K168</f>
        <v>283325</v>
      </c>
      <c r="M168" s="53"/>
      <c r="N168" s="22"/>
    </row>
    <row r="169" spans="2:14" s="57" customFormat="1" ht="18.75" x14ac:dyDescent="0.3">
      <c r="B169" s="34">
        <v>3</v>
      </c>
      <c r="C169" s="31" t="s">
        <v>118</v>
      </c>
      <c r="D169" s="32">
        <v>330000</v>
      </c>
      <c r="E169" s="33">
        <v>43989</v>
      </c>
      <c r="F169" s="32">
        <f>D169+E169</f>
        <v>373989</v>
      </c>
      <c r="G169" s="34">
        <v>50</v>
      </c>
      <c r="H169" s="32">
        <v>7479.78</v>
      </c>
      <c r="I169" s="31">
        <v>41</v>
      </c>
      <c r="J169" s="35">
        <f>G169-I169</f>
        <v>9</v>
      </c>
      <c r="K169" s="36">
        <f>H169*I169</f>
        <v>306670.98</v>
      </c>
      <c r="L169" s="32">
        <f>F169-K169</f>
        <v>67318.020000000019</v>
      </c>
      <c r="M169" s="53"/>
      <c r="N169" s="22"/>
    </row>
    <row r="170" spans="2:14" s="57" customFormat="1" ht="18.75" x14ac:dyDescent="0.3">
      <c r="B170" s="41"/>
      <c r="C170" s="69" t="s">
        <v>296</v>
      </c>
      <c r="D170" s="72">
        <f>SUM(D167:D169)</f>
        <v>1330000</v>
      </c>
      <c r="E170" s="72">
        <f t="shared" ref="E170:F170" si="28">SUM(E167:E169)</f>
        <v>177289</v>
      </c>
      <c r="F170" s="72">
        <f t="shared" si="28"/>
        <v>1507289</v>
      </c>
      <c r="G170" s="71"/>
      <c r="H170" s="72">
        <f>SUM(H167:H169)</f>
        <v>30145.78</v>
      </c>
      <c r="I170" s="73"/>
      <c r="J170" s="74"/>
      <c r="K170" s="72">
        <f t="shared" ref="K170:L170" si="29">SUM(K167:K169)</f>
        <v>1111313.98</v>
      </c>
      <c r="L170" s="72">
        <f t="shared" si="29"/>
        <v>395975.02</v>
      </c>
      <c r="M170" s="53"/>
      <c r="N170" s="22"/>
    </row>
    <row r="171" spans="2:14" s="57" customFormat="1" ht="18.75" x14ac:dyDescent="0.3">
      <c r="B171" s="71"/>
      <c r="C171" s="69"/>
      <c r="D171" s="72"/>
      <c r="E171" s="72"/>
      <c r="F171" s="72"/>
      <c r="G171" s="71"/>
      <c r="H171" s="72"/>
      <c r="I171" s="73"/>
      <c r="J171" s="74"/>
      <c r="K171" s="72"/>
      <c r="L171" s="72"/>
      <c r="M171" s="53"/>
      <c r="N171" s="22"/>
    </row>
    <row r="172" spans="2:14" ht="21" x14ac:dyDescent="0.35">
      <c r="B172" s="41"/>
      <c r="C172" s="51" t="s">
        <v>217</v>
      </c>
      <c r="D172" s="100"/>
      <c r="E172" s="100"/>
      <c r="F172" s="100"/>
      <c r="G172" s="100"/>
      <c r="H172" s="100"/>
      <c r="I172" s="46"/>
      <c r="J172" s="47"/>
      <c r="K172" s="45"/>
      <c r="L172" s="45"/>
      <c r="M172" s="49"/>
      <c r="N172" s="5"/>
    </row>
    <row r="173" spans="2:14" ht="18.75" x14ac:dyDescent="0.3">
      <c r="B173" s="34">
        <v>1</v>
      </c>
      <c r="C173" s="29" t="s">
        <v>160</v>
      </c>
      <c r="D173" s="33">
        <v>500000</v>
      </c>
      <c r="E173" s="33">
        <v>66650</v>
      </c>
      <c r="F173" s="32">
        <f t="shared" ref="F173:F189" si="30">D173+E173</f>
        <v>566650</v>
      </c>
      <c r="G173" s="34">
        <v>50</v>
      </c>
      <c r="H173" s="32">
        <v>11333</v>
      </c>
      <c r="I173" s="50">
        <v>20</v>
      </c>
      <c r="J173" s="35">
        <f t="shared" ref="J173:J189" si="31">G173-I173</f>
        <v>30</v>
      </c>
      <c r="K173" s="36">
        <f t="shared" ref="K173:K189" si="32">H173*I173</f>
        <v>226660</v>
      </c>
      <c r="L173" s="32">
        <f t="shared" ref="L173:L189" si="33">F173-K173</f>
        <v>339990</v>
      </c>
      <c r="M173" s="49"/>
      <c r="N173" s="5"/>
    </row>
    <row r="174" spans="2:14" ht="18.75" x14ac:dyDescent="0.3">
      <c r="B174" s="34">
        <v>2</v>
      </c>
      <c r="C174" s="29" t="s">
        <v>179</v>
      </c>
      <c r="D174" s="33">
        <v>500000</v>
      </c>
      <c r="E174" s="33">
        <v>66650</v>
      </c>
      <c r="F174" s="32">
        <f t="shared" si="30"/>
        <v>566650</v>
      </c>
      <c r="G174" s="34">
        <v>50</v>
      </c>
      <c r="H174" s="32">
        <v>11333</v>
      </c>
      <c r="I174" s="50">
        <v>49</v>
      </c>
      <c r="J174" s="35">
        <f t="shared" si="31"/>
        <v>1</v>
      </c>
      <c r="K174" s="36">
        <f t="shared" si="32"/>
        <v>555317</v>
      </c>
      <c r="L174" s="32">
        <f t="shared" si="33"/>
        <v>11333</v>
      </c>
      <c r="M174" s="49"/>
      <c r="N174" s="5"/>
    </row>
    <row r="175" spans="2:14" ht="18.75" x14ac:dyDescent="0.3">
      <c r="B175" s="34">
        <v>3</v>
      </c>
      <c r="C175" s="29" t="s">
        <v>156</v>
      </c>
      <c r="D175" s="33">
        <v>450000</v>
      </c>
      <c r="E175" s="33">
        <v>59985</v>
      </c>
      <c r="F175" s="32">
        <f t="shared" si="30"/>
        <v>509985</v>
      </c>
      <c r="G175" s="34">
        <v>50</v>
      </c>
      <c r="H175" s="32">
        <v>10199.700000000001</v>
      </c>
      <c r="I175" s="50">
        <v>49</v>
      </c>
      <c r="J175" s="35">
        <f t="shared" si="31"/>
        <v>1</v>
      </c>
      <c r="K175" s="36">
        <f t="shared" si="32"/>
        <v>499785.30000000005</v>
      </c>
      <c r="L175" s="32">
        <f t="shared" si="33"/>
        <v>10199.699999999953</v>
      </c>
      <c r="M175" s="49"/>
      <c r="N175" s="5"/>
    </row>
    <row r="176" spans="2:14" ht="18.75" x14ac:dyDescent="0.3">
      <c r="B176" s="34">
        <v>4</v>
      </c>
      <c r="C176" s="29" t="s">
        <v>164</v>
      </c>
      <c r="D176" s="33">
        <v>450000</v>
      </c>
      <c r="E176" s="33">
        <v>59985</v>
      </c>
      <c r="F176" s="32">
        <f t="shared" si="30"/>
        <v>509985</v>
      </c>
      <c r="G176" s="34">
        <v>50</v>
      </c>
      <c r="H176" s="32">
        <v>10199.700000000001</v>
      </c>
      <c r="I176" s="50">
        <v>26</v>
      </c>
      <c r="J176" s="35">
        <f t="shared" si="31"/>
        <v>24</v>
      </c>
      <c r="K176" s="36">
        <f t="shared" si="32"/>
        <v>265192.2</v>
      </c>
      <c r="L176" s="32">
        <f t="shared" si="33"/>
        <v>244792.8</v>
      </c>
      <c r="M176" s="49"/>
      <c r="N176" s="5"/>
    </row>
    <row r="177" spans="2:14" ht="18.75" x14ac:dyDescent="0.3">
      <c r="B177" s="34">
        <v>5</v>
      </c>
      <c r="C177" s="29" t="s">
        <v>183</v>
      </c>
      <c r="D177" s="33">
        <v>450000</v>
      </c>
      <c r="E177" s="33">
        <v>59985</v>
      </c>
      <c r="F177" s="32">
        <f t="shared" si="30"/>
        <v>509985</v>
      </c>
      <c r="G177" s="34">
        <v>50</v>
      </c>
      <c r="H177" s="32">
        <v>10199.700000000001</v>
      </c>
      <c r="I177" s="50">
        <v>11</v>
      </c>
      <c r="J177" s="35">
        <f t="shared" si="31"/>
        <v>39</v>
      </c>
      <c r="K177" s="36">
        <f t="shared" si="32"/>
        <v>112196.70000000001</v>
      </c>
      <c r="L177" s="32">
        <f t="shared" si="33"/>
        <v>397788.3</v>
      </c>
      <c r="M177" s="49"/>
      <c r="N177" s="5"/>
    </row>
    <row r="178" spans="2:14" ht="18.75" x14ac:dyDescent="0.3">
      <c r="B178" s="34">
        <v>6</v>
      </c>
      <c r="C178" s="29" t="s">
        <v>57</v>
      </c>
      <c r="D178" s="32">
        <v>330000</v>
      </c>
      <c r="E178" s="33">
        <v>43989</v>
      </c>
      <c r="F178" s="32">
        <f t="shared" si="30"/>
        <v>373989</v>
      </c>
      <c r="G178" s="34">
        <v>50</v>
      </c>
      <c r="H178" s="32">
        <v>7479.78</v>
      </c>
      <c r="I178" s="50">
        <v>49</v>
      </c>
      <c r="J178" s="35">
        <f t="shared" si="31"/>
        <v>1</v>
      </c>
      <c r="K178" s="36">
        <f t="shared" si="32"/>
        <v>366509.22</v>
      </c>
      <c r="L178" s="32">
        <f t="shared" si="33"/>
        <v>7479.7800000000279</v>
      </c>
      <c r="M178" s="49"/>
      <c r="N178" s="5"/>
    </row>
    <row r="179" spans="2:14" ht="18.75" x14ac:dyDescent="0.3">
      <c r="B179" s="34">
        <v>7</v>
      </c>
      <c r="C179" s="29" t="s">
        <v>184</v>
      </c>
      <c r="D179" s="32">
        <v>330000</v>
      </c>
      <c r="E179" s="33">
        <v>43989</v>
      </c>
      <c r="F179" s="32">
        <f t="shared" si="30"/>
        <v>373989</v>
      </c>
      <c r="G179" s="34">
        <v>50</v>
      </c>
      <c r="H179" s="32">
        <v>7479.78</v>
      </c>
      <c r="I179" s="50">
        <v>38</v>
      </c>
      <c r="J179" s="35">
        <f t="shared" si="31"/>
        <v>12</v>
      </c>
      <c r="K179" s="36">
        <f t="shared" si="32"/>
        <v>284231.64</v>
      </c>
      <c r="L179" s="32">
        <f t="shared" si="33"/>
        <v>89757.359999999986</v>
      </c>
      <c r="M179" s="49"/>
      <c r="N179" s="5"/>
    </row>
    <row r="180" spans="2:14" ht="18.75" x14ac:dyDescent="0.3">
      <c r="B180" s="34">
        <v>8</v>
      </c>
      <c r="C180" s="29" t="s">
        <v>185</v>
      </c>
      <c r="D180" s="32">
        <v>330000</v>
      </c>
      <c r="E180" s="33">
        <v>43989</v>
      </c>
      <c r="F180" s="32">
        <f t="shared" si="30"/>
        <v>373989</v>
      </c>
      <c r="G180" s="34">
        <v>50</v>
      </c>
      <c r="H180" s="32">
        <v>7479.78</v>
      </c>
      <c r="I180" s="50">
        <v>49</v>
      </c>
      <c r="J180" s="35">
        <f t="shared" si="31"/>
        <v>1</v>
      </c>
      <c r="K180" s="36">
        <f t="shared" si="32"/>
        <v>366509.22</v>
      </c>
      <c r="L180" s="32">
        <f t="shared" si="33"/>
        <v>7479.7800000000279</v>
      </c>
      <c r="M180" s="49"/>
      <c r="N180" s="5"/>
    </row>
    <row r="181" spans="2:14" ht="18.75" x14ac:dyDescent="0.3">
      <c r="B181" s="34">
        <v>9</v>
      </c>
      <c r="C181" s="29" t="s">
        <v>180</v>
      </c>
      <c r="D181" s="32">
        <v>330000</v>
      </c>
      <c r="E181" s="33">
        <v>43989</v>
      </c>
      <c r="F181" s="32">
        <f t="shared" si="30"/>
        <v>373989</v>
      </c>
      <c r="G181" s="34">
        <v>50</v>
      </c>
      <c r="H181" s="32">
        <v>7479.78</v>
      </c>
      <c r="I181" s="50">
        <v>20</v>
      </c>
      <c r="J181" s="35">
        <f t="shared" si="31"/>
        <v>30</v>
      </c>
      <c r="K181" s="36">
        <f t="shared" si="32"/>
        <v>149595.6</v>
      </c>
      <c r="L181" s="32">
        <f t="shared" si="33"/>
        <v>224393.4</v>
      </c>
      <c r="M181" s="49"/>
      <c r="N181" s="5"/>
    </row>
    <row r="182" spans="2:14" ht="18.75" x14ac:dyDescent="0.3">
      <c r="B182" s="34">
        <v>10</v>
      </c>
      <c r="C182" s="29" t="s">
        <v>169</v>
      </c>
      <c r="D182" s="33">
        <v>180000</v>
      </c>
      <c r="E182" s="33">
        <v>23994</v>
      </c>
      <c r="F182" s="32">
        <f t="shared" si="30"/>
        <v>203994</v>
      </c>
      <c r="G182" s="34">
        <v>40</v>
      </c>
      <c r="H182" s="32">
        <v>5099.8500000000004</v>
      </c>
      <c r="I182" s="50">
        <v>37</v>
      </c>
      <c r="J182" s="35">
        <f t="shared" si="31"/>
        <v>3</v>
      </c>
      <c r="K182" s="36">
        <f t="shared" si="32"/>
        <v>188694.45</v>
      </c>
      <c r="L182" s="32">
        <f t="shared" si="33"/>
        <v>15299.549999999988</v>
      </c>
      <c r="M182" s="49"/>
      <c r="N182" s="5"/>
    </row>
    <row r="183" spans="2:14" ht="18.75" x14ac:dyDescent="0.3">
      <c r="B183" s="34">
        <v>11</v>
      </c>
      <c r="C183" s="29" t="s">
        <v>159</v>
      </c>
      <c r="D183" s="33">
        <v>150000</v>
      </c>
      <c r="E183" s="33">
        <v>19995</v>
      </c>
      <c r="F183" s="32">
        <f t="shared" si="30"/>
        <v>169995</v>
      </c>
      <c r="G183" s="34">
        <v>50</v>
      </c>
      <c r="H183" s="32">
        <v>3399.9</v>
      </c>
      <c r="I183" s="50">
        <v>49</v>
      </c>
      <c r="J183" s="35">
        <f t="shared" si="31"/>
        <v>1</v>
      </c>
      <c r="K183" s="36">
        <f t="shared" si="32"/>
        <v>166595.1</v>
      </c>
      <c r="L183" s="32">
        <f t="shared" si="33"/>
        <v>3399.8999999999942</v>
      </c>
      <c r="M183" s="49"/>
    </row>
    <row r="184" spans="2:14" ht="18.75" x14ac:dyDescent="0.3">
      <c r="B184" s="34">
        <v>12</v>
      </c>
      <c r="C184" s="29" t="s">
        <v>162</v>
      </c>
      <c r="D184" s="33">
        <v>150000</v>
      </c>
      <c r="E184" s="33">
        <v>19995</v>
      </c>
      <c r="F184" s="32">
        <f t="shared" si="30"/>
        <v>169995</v>
      </c>
      <c r="G184" s="34">
        <v>50</v>
      </c>
      <c r="H184" s="32">
        <v>3399.9</v>
      </c>
      <c r="I184" s="50">
        <v>20</v>
      </c>
      <c r="J184" s="35">
        <f t="shared" si="31"/>
        <v>30</v>
      </c>
      <c r="K184" s="36">
        <f t="shared" si="32"/>
        <v>67998</v>
      </c>
      <c r="L184" s="32">
        <f t="shared" si="33"/>
        <v>101997</v>
      </c>
      <c r="M184" s="49"/>
    </row>
    <row r="185" spans="2:14" ht="18.75" x14ac:dyDescent="0.3">
      <c r="B185" s="34">
        <v>13</v>
      </c>
      <c r="C185" s="29" t="s">
        <v>163</v>
      </c>
      <c r="D185" s="33">
        <v>150000</v>
      </c>
      <c r="E185" s="33">
        <v>19995</v>
      </c>
      <c r="F185" s="32">
        <f t="shared" si="30"/>
        <v>169995</v>
      </c>
      <c r="G185" s="34">
        <v>50</v>
      </c>
      <c r="H185" s="32">
        <v>3399.9</v>
      </c>
      <c r="I185" s="50">
        <v>20</v>
      </c>
      <c r="J185" s="35">
        <f t="shared" si="31"/>
        <v>30</v>
      </c>
      <c r="K185" s="36">
        <f t="shared" si="32"/>
        <v>67998</v>
      </c>
      <c r="L185" s="32">
        <f t="shared" si="33"/>
        <v>101997</v>
      </c>
      <c r="M185" s="49"/>
    </row>
    <row r="186" spans="2:14" ht="18.75" x14ac:dyDescent="0.3">
      <c r="B186" s="34">
        <v>14</v>
      </c>
      <c r="C186" s="29" t="s">
        <v>167</v>
      </c>
      <c r="D186" s="33">
        <v>150000</v>
      </c>
      <c r="E186" s="33">
        <v>19995</v>
      </c>
      <c r="F186" s="32">
        <f t="shared" si="30"/>
        <v>169995</v>
      </c>
      <c r="G186" s="34">
        <v>50</v>
      </c>
      <c r="H186" s="32">
        <v>3399.9</v>
      </c>
      <c r="I186" s="50">
        <v>20</v>
      </c>
      <c r="J186" s="35">
        <f t="shared" si="31"/>
        <v>30</v>
      </c>
      <c r="K186" s="36">
        <f t="shared" si="32"/>
        <v>67998</v>
      </c>
      <c r="L186" s="32">
        <f t="shared" si="33"/>
        <v>101997</v>
      </c>
      <c r="M186" s="49"/>
    </row>
    <row r="187" spans="2:14" ht="18.75" x14ac:dyDescent="0.3">
      <c r="B187" s="34">
        <v>15</v>
      </c>
      <c r="C187" s="29" t="s">
        <v>186</v>
      </c>
      <c r="D187" s="33">
        <v>150000</v>
      </c>
      <c r="E187" s="33">
        <v>19995</v>
      </c>
      <c r="F187" s="32">
        <f t="shared" si="30"/>
        <v>169995</v>
      </c>
      <c r="G187" s="34">
        <v>50</v>
      </c>
      <c r="H187" s="32">
        <v>3399.9</v>
      </c>
      <c r="I187" s="50">
        <v>20</v>
      </c>
      <c r="J187" s="35">
        <f t="shared" si="31"/>
        <v>30</v>
      </c>
      <c r="K187" s="36">
        <f t="shared" si="32"/>
        <v>67998</v>
      </c>
      <c r="L187" s="32">
        <f t="shared" si="33"/>
        <v>101997</v>
      </c>
      <c r="M187" s="49"/>
    </row>
    <row r="188" spans="2:14" ht="18.75" x14ac:dyDescent="0.3">
      <c r="B188" s="34">
        <v>16</v>
      </c>
      <c r="C188" s="29" t="s">
        <v>188</v>
      </c>
      <c r="D188" s="33">
        <v>150000</v>
      </c>
      <c r="E188" s="33">
        <v>19995</v>
      </c>
      <c r="F188" s="32">
        <f t="shared" si="30"/>
        <v>169995</v>
      </c>
      <c r="G188" s="34">
        <v>50</v>
      </c>
      <c r="H188" s="32">
        <v>3399.9</v>
      </c>
      <c r="I188" s="50">
        <v>20</v>
      </c>
      <c r="J188" s="35">
        <f t="shared" si="31"/>
        <v>30</v>
      </c>
      <c r="K188" s="36">
        <f t="shared" si="32"/>
        <v>67998</v>
      </c>
      <c r="L188" s="32">
        <f t="shared" si="33"/>
        <v>101997</v>
      </c>
      <c r="M188" s="42"/>
    </row>
    <row r="189" spans="2:14" s="21" customFormat="1" ht="18.75" x14ac:dyDescent="0.3">
      <c r="B189" s="34">
        <v>17</v>
      </c>
      <c r="C189" s="29" t="s">
        <v>166</v>
      </c>
      <c r="D189" s="33">
        <v>150000</v>
      </c>
      <c r="E189" s="33">
        <v>19995</v>
      </c>
      <c r="F189" s="32">
        <f t="shared" si="30"/>
        <v>169995</v>
      </c>
      <c r="G189" s="34">
        <v>50</v>
      </c>
      <c r="H189" s="32">
        <v>3399.9</v>
      </c>
      <c r="I189" s="31">
        <v>20</v>
      </c>
      <c r="J189" s="35">
        <f t="shared" si="31"/>
        <v>30</v>
      </c>
      <c r="K189" s="36">
        <f t="shared" si="32"/>
        <v>67998</v>
      </c>
      <c r="L189" s="32">
        <f t="shared" si="33"/>
        <v>101997</v>
      </c>
      <c r="M189" s="31"/>
    </row>
    <row r="190" spans="2:14" ht="18.75" x14ac:dyDescent="0.3">
      <c r="B190" s="41"/>
      <c r="C190" s="69" t="s">
        <v>296</v>
      </c>
      <c r="D190" s="72">
        <f>SUM(D173:D189)</f>
        <v>4900000</v>
      </c>
      <c r="E190" s="72">
        <f t="shared" ref="E190:F190" si="34">SUM(E173:E189)</f>
        <v>653170</v>
      </c>
      <c r="F190" s="72">
        <f t="shared" si="34"/>
        <v>5553170</v>
      </c>
      <c r="G190" s="71"/>
      <c r="H190" s="72">
        <f>SUM(H173:H189)</f>
        <v>112083.36999999995</v>
      </c>
      <c r="I190" s="73"/>
      <c r="J190" s="74"/>
      <c r="K190" s="72">
        <f t="shared" ref="K190:L190" si="35">SUM(K173:K189)</f>
        <v>3589274.4300000006</v>
      </c>
      <c r="L190" s="72">
        <f t="shared" si="35"/>
        <v>1963895.5699999998</v>
      </c>
      <c r="M190" s="49"/>
    </row>
    <row r="191" spans="2:14" ht="18.75" x14ac:dyDescent="0.3">
      <c r="B191" s="41"/>
      <c r="C191" s="48"/>
      <c r="D191" s="44"/>
      <c r="E191" s="44"/>
      <c r="F191" s="43"/>
      <c r="G191" s="41"/>
      <c r="H191" s="43"/>
      <c r="I191" s="46"/>
      <c r="J191" s="47"/>
      <c r="K191" s="45"/>
      <c r="L191" s="45"/>
      <c r="M191" s="49"/>
    </row>
    <row r="192" spans="2:14" ht="18.75" x14ac:dyDescent="0.3">
      <c r="B192" s="8">
        <f>B189+B169+B162</f>
        <v>177</v>
      </c>
      <c r="C192" s="30" t="s">
        <v>38</v>
      </c>
      <c r="D192" s="17">
        <f>D190+D170+D163</f>
        <v>52760000</v>
      </c>
      <c r="E192" s="17">
        <f t="shared" ref="E192:F192" si="36">E190+E170+E163</f>
        <v>6976255.4199999999</v>
      </c>
      <c r="F192" s="17">
        <f t="shared" si="36"/>
        <v>59736255.420000002</v>
      </c>
      <c r="G192" s="17"/>
      <c r="H192" s="17">
        <f>H190+H170+H163</f>
        <v>1222519.8700000017</v>
      </c>
      <c r="I192" s="17"/>
      <c r="J192" s="17"/>
      <c r="K192" s="17">
        <f t="shared" ref="K192:L192" si="37">K190+K170+K163</f>
        <v>29140094.990000013</v>
      </c>
      <c r="L192" s="17">
        <f t="shared" si="37"/>
        <v>30660758.52999999</v>
      </c>
      <c r="M192" s="9"/>
    </row>
    <row r="193" spans="2:14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spans="2:14" ht="18.75" x14ac:dyDescent="0.3">
      <c r="B194" s="1"/>
      <c r="C194" s="8" t="s">
        <v>280</v>
      </c>
      <c r="D194" s="12"/>
      <c r="E194" s="12"/>
      <c r="F194" s="12"/>
      <c r="G194" s="12"/>
      <c r="H194" s="12"/>
      <c r="I194" s="12"/>
      <c r="J194" s="12"/>
      <c r="K194" s="12"/>
      <c r="L194" s="12"/>
      <c r="M194" s="1"/>
    </row>
    <row r="195" spans="2:14" ht="34.5" customHeight="1" x14ac:dyDescent="0.3">
      <c r="B195" s="7" t="s">
        <v>2</v>
      </c>
      <c r="C195" s="7" t="s">
        <v>0</v>
      </c>
      <c r="D195" s="8" t="s">
        <v>3</v>
      </c>
      <c r="E195" s="8" t="s">
        <v>4</v>
      </c>
      <c r="F195" s="8" t="s">
        <v>1</v>
      </c>
      <c r="G195" s="10" t="s">
        <v>11</v>
      </c>
      <c r="H195" s="10" t="s">
        <v>10</v>
      </c>
      <c r="I195" s="11" t="s">
        <v>5</v>
      </c>
      <c r="J195" s="11" t="s">
        <v>6</v>
      </c>
      <c r="K195" s="10" t="s">
        <v>7</v>
      </c>
      <c r="L195" s="10" t="s">
        <v>8</v>
      </c>
      <c r="M195" s="97" t="s">
        <v>9</v>
      </c>
      <c r="N195" s="5"/>
    </row>
    <row r="196" spans="2:14" ht="18.75" x14ac:dyDescent="0.3">
      <c r="B196" s="88">
        <v>1</v>
      </c>
      <c r="C196" s="66" t="s">
        <v>281</v>
      </c>
      <c r="D196" s="33">
        <v>450000</v>
      </c>
      <c r="E196" s="33">
        <v>59985</v>
      </c>
      <c r="F196" s="32">
        <f>D196+E196</f>
        <v>509985</v>
      </c>
      <c r="G196" s="34">
        <v>50</v>
      </c>
      <c r="H196" s="96">
        <v>10199.700000000001</v>
      </c>
      <c r="I196" s="9">
        <v>41</v>
      </c>
      <c r="J196" s="9">
        <f>G196-I196</f>
        <v>9</v>
      </c>
      <c r="K196" s="92">
        <f>H196*I196</f>
        <v>418187.7</v>
      </c>
      <c r="L196" s="32">
        <f t="shared" ref="L196" si="38">F196-K196</f>
        <v>91797.299999999988</v>
      </c>
      <c r="M196" s="8" t="s">
        <v>282</v>
      </c>
    </row>
    <row r="197" spans="2:14" x14ac:dyDescent="0.25"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</row>
    <row r="198" spans="2:14" ht="18.75" x14ac:dyDescent="0.3">
      <c r="B198" s="1"/>
      <c r="C198" s="30" t="s">
        <v>279</v>
      </c>
      <c r="D198" s="83">
        <f>D196+D192</f>
        <v>53210000</v>
      </c>
      <c r="E198" s="83">
        <f t="shared" ref="E198:F198" si="39">E196+E192</f>
        <v>7036240.4199999999</v>
      </c>
      <c r="F198" s="83">
        <f t="shared" si="39"/>
        <v>60246240.420000002</v>
      </c>
      <c r="G198" s="1"/>
      <c r="H198" s="83">
        <f>H196+H192</f>
        <v>1232719.5700000017</v>
      </c>
      <c r="I198" s="1"/>
      <c r="J198" s="1"/>
      <c r="K198" s="83">
        <f t="shared" ref="K198:L198" si="40">K196+K192</f>
        <v>29558282.690000013</v>
      </c>
      <c r="L198" s="83">
        <f t="shared" si="40"/>
        <v>30752555.829999991</v>
      </c>
      <c r="M198" s="1"/>
    </row>
    <row r="199" spans="2:14" ht="18.75" x14ac:dyDescent="0.3">
      <c r="B199" s="1"/>
      <c r="C199" s="30"/>
      <c r="D199" s="1"/>
      <c r="E199" s="1"/>
      <c r="F199" s="1"/>
      <c r="G199" s="1"/>
      <c r="H199" s="1"/>
      <c r="I199" s="1"/>
      <c r="J199" s="1"/>
      <c r="K199" s="1"/>
      <c r="L199" s="1"/>
      <c r="M199" s="1"/>
    </row>
    <row r="200" spans="2:14" ht="18.75" x14ac:dyDescent="0.3">
      <c r="B200" s="1"/>
      <c r="C200" s="8" t="s">
        <v>227</v>
      </c>
      <c r="D200" s="1"/>
      <c r="E200" s="1"/>
      <c r="F200" s="1"/>
      <c r="G200" s="1"/>
      <c r="H200" s="1"/>
      <c r="I200" s="1"/>
      <c r="J200" s="1"/>
      <c r="K200" s="1"/>
      <c r="L200" s="1"/>
      <c r="M200" s="1"/>
    </row>
    <row r="201" spans="2:14" ht="18.75" x14ac:dyDescent="0.3">
      <c r="B201" s="34">
        <v>1</v>
      </c>
      <c r="C201" s="31" t="s">
        <v>93</v>
      </c>
      <c r="D201" s="33">
        <v>500000</v>
      </c>
      <c r="E201" s="33">
        <v>66650</v>
      </c>
      <c r="F201" s="32">
        <f>D201+E201</f>
        <v>566650</v>
      </c>
      <c r="G201" s="34">
        <v>50</v>
      </c>
      <c r="H201" s="32">
        <v>11333</v>
      </c>
      <c r="I201" s="31">
        <v>49</v>
      </c>
      <c r="J201" s="35">
        <f>G201-I201</f>
        <v>1</v>
      </c>
      <c r="K201" s="36">
        <f>H201*I201</f>
        <v>555317</v>
      </c>
      <c r="L201" s="32">
        <f>F201-K201</f>
        <v>11333</v>
      </c>
      <c r="M201" s="53" t="s">
        <v>54</v>
      </c>
      <c r="N201" s="5"/>
    </row>
    <row r="202" spans="2:14" ht="18.75" x14ac:dyDescent="0.3">
      <c r="B202" s="34">
        <v>2</v>
      </c>
      <c r="C202" s="31" t="s">
        <v>85</v>
      </c>
      <c r="D202" s="33">
        <v>450000</v>
      </c>
      <c r="E202" s="33">
        <v>59985</v>
      </c>
      <c r="F202" s="32">
        <f>D202+E202</f>
        <v>509985</v>
      </c>
      <c r="G202" s="34">
        <v>50</v>
      </c>
      <c r="H202" s="32">
        <v>5264.36</v>
      </c>
      <c r="I202" s="31">
        <v>23</v>
      </c>
      <c r="J202" s="35">
        <f>G202-I202</f>
        <v>27</v>
      </c>
      <c r="K202" s="36">
        <f>H202*I202</f>
        <v>121080.28</v>
      </c>
      <c r="L202" s="36">
        <f>F202-K202</f>
        <v>388904.72</v>
      </c>
      <c r="M202" s="53" t="s">
        <v>234</v>
      </c>
      <c r="N202" s="5"/>
    </row>
    <row r="203" spans="2:14" s="21" customFormat="1" ht="18.75" x14ac:dyDescent="0.3">
      <c r="B203" s="34">
        <v>3</v>
      </c>
      <c r="C203" s="31" t="s">
        <v>63</v>
      </c>
      <c r="D203" s="33">
        <v>450000</v>
      </c>
      <c r="E203" s="33">
        <v>59985</v>
      </c>
      <c r="F203" s="32">
        <f>D203+E203</f>
        <v>509985</v>
      </c>
      <c r="G203" s="34">
        <v>50</v>
      </c>
      <c r="H203" s="32">
        <v>10199.700000000001</v>
      </c>
      <c r="I203" s="31">
        <v>49</v>
      </c>
      <c r="J203" s="35">
        <f>G203-I203</f>
        <v>1</v>
      </c>
      <c r="K203" s="32">
        <f>H203*I203</f>
        <v>499785.30000000005</v>
      </c>
      <c r="L203" s="32">
        <f>F203-K203</f>
        <v>10199.699999999953</v>
      </c>
      <c r="M203" s="53" t="s">
        <v>54</v>
      </c>
      <c r="N203" s="37"/>
    </row>
    <row r="204" spans="2:14" s="3" customFormat="1" ht="18.75" x14ac:dyDescent="0.3">
      <c r="B204" s="14">
        <v>4</v>
      </c>
      <c r="C204" s="29" t="s">
        <v>187</v>
      </c>
      <c r="D204" s="33">
        <v>500000</v>
      </c>
      <c r="E204" s="33">
        <v>66650</v>
      </c>
      <c r="F204" s="32">
        <f t="shared" ref="F204" si="41">D204+E204</f>
        <v>566650</v>
      </c>
      <c r="G204" s="34">
        <v>50</v>
      </c>
      <c r="H204" s="32">
        <v>11333</v>
      </c>
      <c r="I204" s="50">
        <v>37</v>
      </c>
      <c r="J204" s="35">
        <f t="shared" ref="J204" si="42">G204-I204</f>
        <v>13</v>
      </c>
      <c r="K204" s="36">
        <f t="shared" ref="K204" si="43">H204*I204</f>
        <v>419321</v>
      </c>
      <c r="L204" s="32">
        <f t="shared" ref="L204" si="44">F204-K204</f>
        <v>147329</v>
      </c>
      <c r="M204" s="8" t="s">
        <v>235</v>
      </c>
      <c r="N204" s="22" t="s">
        <v>228</v>
      </c>
    </row>
    <row r="205" spans="2:14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</row>
    <row r="206" spans="2:14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</row>
  </sheetData>
  <sortState ref="C6:M162">
    <sortCondition descending="1" ref="D6:D162"/>
  </sortState>
  <pageMargins left="0.7" right="0.7" top="0.75" bottom="0.75" header="0.3" footer="0.3"/>
  <pageSetup paperSize="5" scale="5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07"/>
  <sheetViews>
    <sheetView topLeftCell="A173" workbookViewId="0">
      <selection activeCell="C184" sqref="C184"/>
    </sheetView>
  </sheetViews>
  <sheetFormatPr defaultRowHeight="15" x14ac:dyDescent="0.25"/>
  <cols>
    <col min="2" max="2" width="11.28515625" bestFit="1" customWidth="1"/>
    <col min="3" max="3" width="44.5703125" customWidth="1"/>
    <col min="4" max="5" width="20" customWidth="1"/>
    <col min="6" max="6" width="21.28515625" customWidth="1"/>
    <col min="7" max="7" width="22.85546875" customWidth="1"/>
    <col min="8" max="8" width="28.5703125" customWidth="1"/>
    <col min="9" max="9" width="18.140625" customWidth="1"/>
    <col min="10" max="10" width="18.28515625" customWidth="1"/>
    <col min="11" max="11" width="21" customWidth="1"/>
    <col min="12" max="12" width="21.42578125" customWidth="1"/>
    <col min="13" max="13" width="17.5703125" customWidth="1"/>
  </cols>
  <sheetData>
    <row r="2" spans="2:14" ht="21" x14ac:dyDescent="0.35">
      <c r="B2" s="98"/>
      <c r="C2" s="99" t="s">
        <v>12</v>
      </c>
      <c r="D2" s="98"/>
      <c r="E2" s="99"/>
      <c r="F2" s="99"/>
      <c r="G2" s="98"/>
      <c r="H2" s="9"/>
      <c r="I2" s="9"/>
      <c r="J2" s="9"/>
      <c r="K2" s="9"/>
      <c r="L2" s="9"/>
      <c r="M2" s="9"/>
      <c r="N2" s="5"/>
    </row>
    <row r="3" spans="2:14" ht="21" x14ac:dyDescent="0.35">
      <c r="B3" s="98"/>
      <c r="C3" s="99" t="s">
        <v>55</v>
      </c>
      <c r="D3" s="98"/>
      <c r="E3" s="99"/>
      <c r="F3" s="99"/>
      <c r="G3" s="99"/>
      <c r="H3" s="9"/>
      <c r="I3" s="9"/>
      <c r="J3" s="9"/>
      <c r="K3" s="9"/>
      <c r="L3" s="9"/>
      <c r="M3" s="9"/>
      <c r="N3" s="5"/>
    </row>
    <row r="4" spans="2:14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5"/>
    </row>
    <row r="5" spans="2:14" ht="37.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 s="5"/>
    </row>
    <row r="6" spans="2:14" ht="18.75" x14ac:dyDescent="0.3"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7" si="0">D6+E6</f>
        <v>566650</v>
      </c>
      <c r="G6" s="34">
        <v>50</v>
      </c>
      <c r="H6" s="32">
        <v>11333</v>
      </c>
      <c r="I6" s="31">
        <v>26</v>
      </c>
      <c r="J6" s="35">
        <f t="shared" ref="J6:J37" si="1">G6-I6</f>
        <v>24</v>
      </c>
      <c r="K6" s="33">
        <f t="shared" ref="K6:K17" si="2">H6*I6</f>
        <v>294658</v>
      </c>
      <c r="L6" s="36">
        <f t="shared" ref="L6:L37" si="3">F6-K6</f>
        <v>271992</v>
      </c>
      <c r="M6" s="31"/>
      <c r="N6" s="5"/>
    </row>
    <row r="7" spans="2:14" ht="18.75" x14ac:dyDescent="0.3"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26</v>
      </c>
      <c r="J7" s="35">
        <f t="shared" si="1"/>
        <v>24</v>
      </c>
      <c r="K7" s="33">
        <f t="shared" si="2"/>
        <v>294658</v>
      </c>
      <c r="L7" s="36">
        <f t="shared" si="3"/>
        <v>271992</v>
      </c>
      <c r="M7" s="31"/>
      <c r="N7" s="5"/>
    </row>
    <row r="8" spans="2:14" ht="18.75" x14ac:dyDescent="0.3"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41</v>
      </c>
      <c r="J8" s="35">
        <f t="shared" si="1"/>
        <v>9</v>
      </c>
      <c r="K8" s="36">
        <f t="shared" si="2"/>
        <v>464653</v>
      </c>
      <c r="L8" s="32">
        <f t="shared" si="3"/>
        <v>101997</v>
      </c>
      <c r="M8" s="31"/>
      <c r="N8" s="5"/>
    </row>
    <row r="9" spans="2:14" ht="18.75" x14ac:dyDescent="0.3">
      <c r="B9" s="34">
        <v>4</v>
      </c>
      <c r="C9" s="31" t="s">
        <v>103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50</v>
      </c>
      <c r="J9" s="35">
        <f t="shared" si="1"/>
        <v>0</v>
      </c>
      <c r="K9" s="36">
        <f t="shared" si="2"/>
        <v>566650</v>
      </c>
      <c r="L9" s="32">
        <f t="shared" si="3"/>
        <v>0</v>
      </c>
      <c r="M9" s="31"/>
      <c r="N9" s="5"/>
    </row>
    <row r="10" spans="2:14" ht="18.75" x14ac:dyDescent="0.3">
      <c r="B10" s="34">
        <v>5</v>
      </c>
      <c r="C10" s="31" t="s">
        <v>105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41</v>
      </c>
      <c r="J10" s="35">
        <f t="shared" si="1"/>
        <v>9</v>
      </c>
      <c r="K10" s="36">
        <f t="shared" si="2"/>
        <v>464653</v>
      </c>
      <c r="L10" s="32">
        <f t="shared" si="3"/>
        <v>101997</v>
      </c>
      <c r="M10" s="31"/>
      <c r="N10" s="5"/>
    </row>
    <row r="11" spans="2:14" ht="18.75" x14ac:dyDescent="0.3">
      <c r="B11" s="34">
        <v>6</v>
      </c>
      <c r="C11" s="31" t="s">
        <v>195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2">
        <v>11333</v>
      </c>
      <c r="I11" s="31">
        <v>41</v>
      </c>
      <c r="J11" s="35">
        <f t="shared" si="1"/>
        <v>9</v>
      </c>
      <c r="K11" s="36">
        <f t="shared" si="2"/>
        <v>464653</v>
      </c>
      <c r="L11" s="32">
        <f t="shared" si="3"/>
        <v>101997</v>
      </c>
      <c r="M11" s="31"/>
      <c r="N11" s="5"/>
    </row>
    <row r="12" spans="2:14" ht="18.75" x14ac:dyDescent="0.3">
      <c r="B12" s="34">
        <v>7</v>
      </c>
      <c r="C12" s="31" t="s">
        <v>108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26</v>
      </c>
      <c r="J12" s="35">
        <f t="shared" si="1"/>
        <v>24</v>
      </c>
      <c r="K12" s="36">
        <f t="shared" si="2"/>
        <v>294658</v>
      </c>
      <c r="L12" s="36">
        <f t="shared" si="3"/>
        <v>271992</v>
      </c>
      <c r="M12" s="31"/>
      <c r="N12" s="5"/>
    </row>
    <row r="13" spans="2:14" ht="18.75" x14ac:dyDescent="0.3">
      <c r="B13" s="34">
        <v>8</v>
      </c>
      <c r="C13" s="31" t="s">
        <v>171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26</v>
      </c>
      <c r="J13" s="35">
        <f t="shared" si="1"/>
        <v>24</v>
      </c>
      <c r="K13" s="36">
        <f t="shared" si="2"/>
        <v>294658</v>
      </c>
      <c r="L13" s="36">
        <f t="shared" si="3"/>
        <v>271992</v>
      </c>
      <c r="M13" s="31"/>
      <c r="N13" s="5"/>
    </row>
    <row r="14" spans="2:14" ht="18.75" x14ac:dyDescent="0.3">
      <c r="B14" s="34">
        <v>9</v>
      </c>
      <c r="C14" s="31" t="s">
        <v>249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50</v>
      </c>
      <c r="J14" s="35">
        <f t="shared" si="1"/>
        <v>0</v>
      </c>
      <c r="K14" s="36">
        <f t="shared" si="2"/>
        <v>566650</v>
      </c>
      <c r="L14" s="32">
        <f t="shared" si="3"/>
        <v>0</v>
      </c>
      <c r="M14" s="31"/>
      <c r="N14" s="5"/>
    </row>
    <row r="15" spans="2:14" ht="18.75" x14ac:dyDescent="0.3">
      <c r="B15" s="34">
        <v>10</v>
      </c>
      <c r="C15" s="31" t="s">
        <v>121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47</v>
      </c>
      <c r="J15" s="35">
        <f t="shared" si="1"/>
        <v>3</v>
      </c>
      <c r="K15" s="36">
        <f t="shared" si="2"/>
        <v>532651</v>
      </c>
      <c r="L15" s="32">
        <f t="shared" si="3"/>
        <v>33999</v>
      </c>
      <c r="M15" s="31"/>
      <c r="N15" s="5"/>
    </row>
    <row r="16" spans="2:14" ht="18.75" x14ac:dyDescent="0.3">
      <c r="B16" s="34">
        <v>11</v>
      </c>
      <c r="C16" s="31" t="s">
        <v>123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6">
        <v>11333</v>
      </c>
      <c r="I16" s="31">
        <v>26</v>
      </c>
      <c r="J16" s="35">
        <f t="shared" si="1"/>
        <v>24</v>
      </c>
      <c r="K16" s="36">
        <f t="shared" si="2"/>
        <v>294658</v>
      </c>
      <c r="L16" s="36">
        <f t="shared" si="3"/>
        <v>271992</v>
      </c>
      <c r="M16" s="31"/>
      <c r="N16" s="5"/>
    </row>
    <row r="17" spans="2:14" ht="18.75" x14ac:dyDescent="0.3">
      <c r="B17" s="34">
        <v>12</v>
      </c>
      <c r="C17" s="31" t="s">
        <v>198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31">
        <v>41</v>
      </c>
      <c r="J17" s="35">
        <f t="shared" si="1"/>
        <v>9</v>
      </c>
      <c r="K17" s="36">
        <f t="shared" si="2"/>
        <v>464653</v>
      </c>
      <c r="L17" s="32">
        <f t="shared" si="3"/>
        <v>101997</v>
      </c>
      <c r="M17" s="31"/>
      <c r="N17" s="5"/>
    </row>
    <row r="18" spans="2:14" ht="18.75" x14ac:dyDescent="0.3">
      <c r="B18" s="34">
        <v>13</v>
      </c>
      <c r="C18" s="31" t="s">
        <v>144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31">
        <v>21</v>
      </c>
      <c r="J18" s="35">
        <f t="shared" si="1"/>
        <v>29</v>
      </c>
      <c r="K18" s="36">
        <f t="shared" ref="K18:K36" si="4">I18*H18</f>
        <v>237993</v>
      </c>
      <c r="L18" s="36">
        <f t="shared" si="3"/>
        <v>328657</v>
      </c>
      <c r="M18" s="31"/>
      <c r="N18" s="5"/>
    </row>
    <row r="19" spans="2:14" ht="18.75" x14ac:dyDescent="0.3">
      <c r="B19" s="34">
        <v>14</v>
      </c>
      <c r="C19" s="31" t="s">
        <v>145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31">
        <v>21</v>
      </c>
      <c r="J19" s="35">
        <f t="shared" si="1"/>
        <v>29</v>
      </c>
      <c r="K19" s="36">
        <f t="shared" si="4"/>
        <v>237993</v>
      </c>
      <c r="L19" s="36">
        <f t="shared" si="3"/>
        <v>328657</v>
      </c>
      <c r="M19" s="31"/>
      <c r="N19" s="5"/>
    </row>
    <row r="20" spans="2:14" ht="18.75" x14ac:dyDescent="0.3">
      <c r="B20" s="34">
        <v>15</v>
      </c>
      <c r="C20" s="50" t="s">
        <v>154</v>
      </c>
      <c r="D20" s="33">
        <v>500000</v>
      </c>
      <c r="E20" s="33">
        <v>31991.919999999998</v>
      </c>
      <c r="F20" s="32">
        <f t="shared" si="0"/>
        <v>531991.92000000004</v>
      </c>
      <c r="G20" s="34">
        <v>24</v>
      </c>
      <c r="H20" s="32">
        <v>22166.33</v>
      </c>
      <c r="I20" s="50">
        <v>15</v>
      </c>
      <c r="J20" s="35">
        <f t="shared" si="1"/>
        <v>9</v>
      </c>
      <c r="K20" s="36">
        <f t="shared" si="4"/>
        <v>332494.95</v>
      </c>
      <c r="L20" s="36">
        <f t="shared" si="3"/>
        <v>199496.97000000003</v>
      </c>
      <c r="M20" s="31"/>
      <c r="N20" s="5"/>
    </row>
    <row r="21" spans="2:14" ht="18.75" x14ac:dyDescent="0.3">
      <c r="B21" s="34">
        <v>16</v>
      </c>
      <c r="C21" s="50" t="s">
        <v>208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12</v>
      </c>
      <c r="J21" s="35">
        <f t="shared" si="1"/>
        <v>38</v>
      </c>
      <c r="K21" s="36">
        <f t="shared" si="4"/>
        <v>135996</v>
      </c>
      <c r="L21" s="36">
        <f t="shared" si="3"/>
        <v>430654</v>
      </c>
      <c r="M21" s="31"/>
      <c r="N21" s="5"/>
    </row>
    <row r="22" spans="2:14" ht="18.75" x14ac:dyDescent="0.3">
      <c r="B22" s="34">
        <v>17</v>
      </c>
      <c r="C22" s="50" t="s">
        <v>14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10</v>
      </c>
      <c r="J22" s="35">
        <f t="shared" si="1"/>
        <v>40</v>
      </c>
      <c r="K22" s="36">
        <f t="shared" si="4"/>
        <v>113330</v>
      </c>
      <c r="L22" s="36">
        <f t="shared" si="3"/>
        <v>453320</v>
      </c>
      <c r="M22" s="31"/>
      <c r="N22" s="5"/>
    </row>
    <row r="23" spans="2:14" ht="18.75" x14ac:dyDescent="0.3">
      <c r="B23" s="34">
        <v>18</v>
      </c>
      <c r="C23" s="50" t="s">
        <v>15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50">
        <v>10</v>
      </c>
      <c r="J23" s="35">
        <f t="shared" si="1"/>
        <v>40</v>
      </c>
      <c r="K23" s="36">
        <f t="shared" si="4"/>
        <v>113330</v>
      </c>
      <c r="L23" s="36">
        <f t="shared" si="3"/>
        <v>453320</v>
      </c>
      <c r="M23" s="31"/>
      <c r="N23" s="5"/>
    </row>
    <row r="24" spans="2:14" ht="18.75" x14ac:dyDescent="0.3">
      <c r="B24" s="34">
        <v>19</v>
      </c>
      <c r="C24" s="50" t="s">
        <v>16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10</v>
      </c>
      <c r="J24" s="35">
        <f t="shared" si="1"/>
        <v>40</v>
      </c>
      <c r="K24" s="36">
        <f t="shared" si="4"/>
        <v>113330</v>
      </c>
      <c r="L24" s="36">
        <f t="shared" si="3"/>
        <v>453320</v>
      </c>
      <c r="M24" s="31"/>
      <c r="N24" s="5"/>
    </row>
    <row r="25" spans="2:14" ht="18.75" x14ac:dyDescent="0.3">
      <c r="B25" s="34">
        <v>20</v>
      </c>
      <c r="C25" s="50" t="s">
        <v>20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37</v>
      </c>
      <c r="J25" s="35">
        <f t="shared" si="1"/>
        <v>13</v>
      </c>
      <c r="K25" s="36">
        <f t="shared" si="4"/>
        <v>419321</v>
      </c>
      <c r="L25" s="36">
        <f t="shared" si="3"/>
        <v>147329</v>
      </c>
      <c r="M25" s="31" t="s">
        <v>226</v>
      </c>
      <c r="N25" s="5"/>
    </row>
    <row r="26" spans="2:14" ht="18.75" x14ac:dyDescent="0.3">
      <c r="B26" s="34">
        <v>21</v>
      </c>
      <c r="C26" s="50" t="s">
        <v>232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7</v>
      </c>
      <c r="J26" s="35">
        <f t="shared" si="1"/>
        <v>43</v>
      </c>
      <c r="K26" s="36">
        <f t="shared" si="4"/>
        <v>79331</v>
      </c>
      <c r="L26" s="36">
        <f t="shared" si="3"/>
        <v>487319</v>
      </c>
      <c r="M26" s="31"/>
      <c r="N26" s="5"/>
    </row>
    <row r="27" spans="2:14" ht="18.75" x14ac:dyDescent="0.3">
      <c r="B27" s="34">
        <v>22</v>
      </c>
      <c r="C27" s="50" t="s">
        <v>214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7</v>
      </c>
      <c r="J27" s="35">
        <f t="shared" si="1"/>
        <v>43</v>
      </c>
      <c r="K27" s="36">
        <f t="shared" si="4"/>
        <v>79331</v>
      </c>
      <c r="L27" s="36">
        <f t="shared" si="3"/>
        <v>487319</v>
      </c>
      <c r="M27" s="31"/>
      <c r="N27" s="5"/>
    </row>
    <row r="28" spans="2:14" ht="18.75" x14ac:dyDescent="0.3">
      <c r="B28" s="34">
        <v>23</v>
      </c>
      <c r="C28" s="50" t="s">
        <v>31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4</v>
      </c>
      <c r="J28" s="35">
        <f t="shared" si="1"/>
        <v>46</v>
      </c>
      <c r="K28" s="36">
        <f t="shared" si="4"/>
        <v>45332</v>
      </c>
      <c r="L28" s="36">
        <f t="shared" si="3"/>
        <v>521318</v>
      </c>
      <c r="M28" s="31"/>
      <c r="N28" s="5"/>
    </row>
    <row r="29" spans="2:14" ht="18.75" x14ac:dyDescent="0.3">
      <c r="B29" s="34">
        <v>24</v>
      </c>
      <c r="C29" s="29" t="s">
        <v>161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17</v>
      </c>
      <c r="J29" s="35">
        <f t="shared" si="1"/>
        <v>33</v>
      </c>
      <c r="K29" s="36">
        <f t="shared" si="4"/>
        <v>192661</v>
      </c>
      <c r="L29" s="36">
        <f t="shared" si="3"/>
        <v>373989</v>
      </c>
      <c r="M29" s="31" t="s">
        <v>221</v>
      </c>
      <c r="N29" s="5"/>
    </row>
    <row r="30" spans="2:14" ht="18.75" x14ac:dyDescent="0.3">
      <c r="B30" s="34">
        <v>25</v>
      </c>
      <c r="C30" s="29" t="s">
        <v>170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26</v>
      </c>
      <c r="J30" s="35">
        <f t="shared" si="1"/>
        <v>24</v>
      </c>
      <c r="K30" s="36">
        <f t="shared" si="4"/>
        <v>294658</v>
      </c>
      <c r="L30" s="36">
        <f t="shared" si="3"/>
        <v>271992</v>
      </c>
      <c r="M30" s="31" t="s">
        <v>221</v>
      </c>
      <c r="N30" s="5"/>
    </row>
    <row r="31" spans="2:14" ht="18.75" x14ac:dyDescent="0.3">
      <c r="B31" s="34">
        <v>26</v>
      </c>
      <c r="C31" s="29" t="s">
        <v>172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22</v>
      </c>
      <c r="J31" s="35">
        <f t="shared" si="1"/>
        <v>28</v>
      </c>
      <c r="K31" s="36">
        <f t="shared" si="4"/>
        <v>249326</v>
      </c>
      <c r="L31" s="36">
        <f t="shared" si="3"/>
        <v>317324</v>
      </c>
      <c r="M31" s="31" t="s">
        <v>221</v>
      </c>
      <c r="N31" s="5"/>
    </row>
    <row r="32" spans="2:14" ht="18.75" x14ac:dyDescent="0.3">
      <c r="B32" s="34">
        <v>27</v>
      </c>
      <c r="C32" s="29" t="s">
        <v>237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2</v>
      </c>
      <c r="J32" s="35">
        <f t="shared" si="1"/>
        <v>48</v>
      </c>
      <c r="K32" s="36">
        <f t="shared" si="4"/>
        <v>22666</v>
      </c>
      <c r="L32" s="36">
        <f t="shared" si="3"/>
        <v>543984</v>
      </c>
      <c r="M32" s="31"/>
      <c r="N32" s="5"/>
    </row>
    <row r="33" spans="2:14" ht="18.75" x14ac:dyDescent="0.3">
      <c r="B33" s="34">
        <v>28</v>
      </c>
      <c r="C33" s="29" t="s">
        <v>238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2</v>
      </c>
      <c r="J33" s="35">
        <f t="shared" si="1"/>
        <v>48</v>
      </c>
      <c r="K33" s="36">
        <f t="shared" si="4"/>
        <v>22666</v>
      </c>
      <c r="L33" s="36">
        <f t="shared" si="3"/>
        <v>543984</v>
      </c>
      <c r="M33" s="31"/>
      <c r="N33" s="5"/>
    </row>
    <row r="34" spans="2:14" ht="18.75" x14ac:dyDescent="0.3">
      <c r="B34" s="34">
        <v>29</v>
      </c>
      <c r="C34" s="29" t="s">
        <v>239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2</v>
      </c>
      <c r="J34" s="35">
        <f t="shared" si="1"/>
        <v>48</v>
      </c>
      <c r="K34" s="36">
        <f t="shared" si="4"/>
        <v>22666</v>
      </c>
      <c r="L34" s="36">
        <f t="shared" si="3"/>
        <v>543984</v>
      </c>
      <c r="M34" s="31"/>
      <c r="N34" s="5"/>
    </row>
    <row r="35" spans="2:14" ht="18.75" x14ac:dyDescent="0.3">
      <c r="B35" s="34">
        <v>30</v>
      </c>
      <c r="C35" s="29" t="s">
        <v>240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50">
        <v>2</v>
      </c>
      <c r="J35" s="35">
        <f t="shared" si="1"/>
        <v>48</v>
      </c>
      <c r="K35" s="36">
        <f t="shared" si="4"/>
        <v>22666</v>
      </c>
      <c r="L35" s="36">
        <f t="shared" si="3"/>
        <v>543984</v>
      </c>
      <c r="M35" s="31"/>
      <c r="N35" s="5"/>
    </row>
    <row r="36" spans="2:14" ht="18.75" x14ac:dyDescent="0.3">
      <c r="B36" s="34">
        <v>31</v>
      </c>
      <c r="C36" s="31" t="s">
        <v>74</v>
      </c>
      <c r="D36" s="33">
        <v>450000</v>
      </c>
      <c r="E36" s="33">
        <v>59985</v>
      </c>
      <c r="F36" s="32">
        <f t="shared" si="0"/>
        <v>509985</v>
      </c>
      <c r="G36" s="34">
        <v>50</v>
      </c>
      <c r="H36" s="32">
        <v>10199.700000000001</v>
      </c>
      <c r="I36" s="31">
        <v>23</v>
      </c>
      <c r="J36" s="35">
        <f t="shared" si="1"/>
        <v>27</v>
      </c>
      <c r="K36" s="32">
        <f t="shared" si="4"/>
        <v>234593.1</v>
      </c>
      <c r="L36" s="33">
        <f t="shared" si="3"/>
        <v>275391.90000000002</v>
      </c>
      <c r="M36" s="31"/>
      <c r="N36" s="5"/>
    </row>
    <row r="37" spans="2:14" ht="18.75" x14ac:dyDescent="0.3">
      <c r="B37" s="34">
        <v>32</v>
      </c>
      <c r="C37" s="31" t="s">
        <v>77</v>
      </c>
      <c r="D37" s="33">
        <v>450000</v>
      </c>
      <c r="E37" s="33">
        <v>59985</v>
      </c>
      <c r="F37" s="32">
        <f t="shared" si="0"/>
        <v>509985</v>
      </c>
      <c r="G37" s="34">
        <v>50</v>
      </c>
      <c r="H37" s="32">
        <v>10199.700000000001</v>
      </c>
      <c r="I37" s="52">
        <v>22</v>
      </c>
      <c r="J37" s="35">
        <f t="shared" si="1"/>
        <v>28</v>
      </c>
      <c r="K37" s="32">
        <f t="shared" ref="K37:K46" si="5">H37*I37</f>
        <v>224393.40000000002</v>
      </c>
      <c r="L37" s="33">
        <f t="shared" si="3"/>
        <v>285591.59999999998</v>
      </c>
      <c r="M37" s="31"/>
      <c r="N37" s="5"/>
    </row>
    <row r="38" spans="2:14" ht="18.75" x14ac:dyDescent="0.3">
      <c r="B38" s="34">
        <v>33</v>
      </c>
      <c r="C38" s="31" t="s">
        <v>78</v>
      </c>
      <c r="D38" s="33">
        <v>450000</v>
      </c>
      <c r="E38" s="33">
        <v>59985</v>
      </c>
      <c r="F38" s="32">
        <f t="shared" ref="F38:F67" si="6">D38+E38</f>
        <v>509985</v>
      </c>
      <c r="G38" s="34">
        <v>50</v>
      </c>
      <c r="H38" s="32">
        <v>10199.700000000001</v>
      </c>
      <c r="I38" s="52">
        <v>22</v>
      </c>
      <c r="J38" s="35">
        <f t="shared" ref="J38:J69" si="7">G38-I38</f>
        <v>28</v>
      </c>
      <c r="K38" s="32">
        <f t="shared" si="5"/>
        <v>224393.40000000002</v>
      </c>
      <c r="L38" s="32">
        <f t="shared" ref="L38:L69" si="8">F38-K38</f>
        <v>285591.59999999998</v>
      </c>
      <c r="M38" s="31"/>
      <c r="N38" s="5"/>
    </row>
    <row r="39" spans="2:14" ht="18.75" x14ac:dyDescent="0.3">
      <c r="B39" s="34">
        <v>34</v>
      </c>
      <c r="C39" s="31" t="s">
        <v>82</v>
      </c>
      <c r="D39" s="33">
        <v>450000</v>
      </c>
      <c r="E39" s="33">
        <v>59985</v>
      </c>
      <c r="F39" s="32">
        <f t="shared" si="6"/>
        <v>509985</v>
      </c>
      <c r="G39" s="34">
        <v>50</v>
      </c>
      <c r="H39" s="32">
        <v>10199.700000000001</v>
      </c>
      <c r="I39" s="31">
        <v>26</v>
      </c>
      <c r="J39" s="35">
        <f t="shared" si="7"/>
        <v>24</v>
      </c>
      <c r="K39" s="36">
        <f t="shared" si="5"/>
        <v>265192.2</v>
      </c>
      <c r="L39" s="36">
        <f t="shared" si="8"/>
        <v>244792.8</v>
      </c>
      <c r="M39" s="31"/>
      <c r="N39" s="5"/>
    </row>
    <row r="40" spans="2:14" ht="18.75" x14ac:dyDescent="0.3">
      <c r="B40" s="34">
        <v>35</v>
      </c>
      <c r="C40" s="31" t="s">
        <v>92</v>
      </c>
      <c r="D40" s="33">
        <v>450000</v>
      </c>
      <c r="E40" s="33">
        <v>59985</v>
      </c>
      <c r="F40" s="32">
        <f t="shared" si="6"/>
        <v>509985</v>
      </c>
      <c r="G40" s="34">
        <v>50</v>
      </c>
      <c r="H40" s="32">
        <v>10199.700000000001</v>
      </c>
      <c r="I40" s="31">
        <v>50</v>
      </c>
      <c r="J40" s="35">
        <f t="shared" si="7"/>
        <v>0</v>
      </c>
      <c r="K40" s="36">
        <f t="shared" si="5"/>
        <v>509985.00000000006</v>
      </c>
      <c r="L40" s="32">
        <f t="shared" si="8"/>
        <v>0</v>
      </c>
      <c r="M40" s="31"/>
      <c r="N40" s="5"/>
    </row>
    <row r="41" spans="2:14" ht="18.75" x14ac:dyDescent="0.3">
      <c r="B41" s="34">
        <v>36</v>
      </c>
      <c r="C41" s="31" t="s">
        <v>99</v>
      </c>
      <c r="D41" s="33">
        <v>450000</v>
      </c>
      <c r="E41" s="33">
        <v>59985</v>
      </c>
      <c r="F41" s="32">
        <f t="shared" si="6"/>
        <v>509985</v>
      </c>
      <c r="G41" s="34">
        <v>50</v>
      </c>
      <c r="H41" s="36">
        <v>10199.700000000001</v>
      </c>
      <c r="I41" s="31">
        <v>26</v>
      </c>
      <c r="J41" s="35">
        <f t="shared" si="7"/>
        <v>24</v>
      </c>
      <c r="K41" s="36">
        <f t="shared" si="5"/>
        <v>265192.2</v>
      </c>
      <c r="L41" s="36">
        <f t="shared" si="8"/>
        <v>244792.8</v>
      </c>
      <c r="M41" s="31"/>
      <c r="N41" s="5"/>
    </row>
    <row r="42" spans="2:14" ht="18.75" x14ac:dyDescent="0.3">
      <c r="B42" s="34">
        <v>37</v>
      </c>
      <c r="C42" s="31" t="s">
        <v>194</v>
      </c>
      <c r="D42" s="33">
        <v>450000</v>
      </c>
      <c r="E42" s="33">
        <v>59985</v>
      </c>
      <c r="F42" s="32">
        <f t="shared" si="6"/>
        <v>509985</v>
      </c>
      <c r="G42" s="34">
        <v>50</v>
      </c>
      <c r="H42" s="32">
        <v>10199.700000000001</v>
      </c>
      <c r="I42" s="31">
        <v>50</v>
      </c>
      <c r="J42" s="35">
        <f t="shared" si="7"/>
        <v>0</v>
      </c>
      <c r="K42" s="36">
        <f t="shared" si="5"/>
        <v>509985.00000000006</v>
      </c>
      <c r="L42" s="32">
        <f t="shared" si="8"/>
        <v>0</v>
      </c>
      <c r="M42" s="31"/>
      <c r="N42" s="5"/>
    </row>
    <row r="43" spans="2:14" ht="18.75" x14ac:dyDescent="0.3">
      <c r="B43" s="34">
        <v>38</v>
      </c>
      <c r="C43" s="31" t="s">
        <v>115</v>
      </c>
      <c r="D43" s="33">
        <v>450000</v>
      </c>
      <c r="E43" s="33">
        <v>59985</v>
      </c>
      <c r="F43" s="32">
        <f t="shared" si="6"/>
        <v>509985</v>
      </c>
      <c r="G43" s="34">
        <v>50</v>
      </c>
      <c r="H43" s="32">
        <v>10199.700000000001</v>
      </c>
      <c r="I43" s="31">
        <v>50</v>
      </c>
      <c r="J43" s="35">
        <f t="shared" si="7"/>
        <v>0</v>
      </c>
      <c r="K43" s="36">
        <f t="shared" si="5"/>
        <v>509985.00000000006</v>
      </c>
      <c r="L43" s="32">
        <f t="shared" si="8"/>
        <v>0</v>
      </c>
      <c r="M43" s="31"/>
      <c r="N43" s="5"/>
    </row>
    <row r="44" spans="2:14" ht="18.75" x14ac:dyDescent="0.3">
      <c r="B44" s="34">
        <v>39</v>
      </c>
      <c r="C44" s="31" t="s">
        <v>196</v>
      </c>
      <c r="D44" s="33">
        <v>450000</v>
      </c>
      <c r="E44" s="33">
        <v>59985</v>
      </c>
      <c r="F44" s="32">
        <f t="shared" si="6"/>
        <v>509985</v>
      </c>
      <c r="G44" s="34">
        <v>50</v>
      </c>
      <c r="H44" s="32">
        <v>10199.700000000001</v>
      </c>
      <c r="I44" s="31">
        <v>41</v>
      </c>
      <c r="J44" s="35">
        <f t="shared" si="7"/>
        <v>9</v>
      </c>
      <c r="K44" s="36">
        <f t="shared" si="5"/>
        <v>418187.7</v>
      </c>
      <c r="L44" s="32">
        <f t="shared" si="8"/>
        <v>91797.299999999988</v>
      </c>
      <c r="M44" s="31"/>
      <c r="N44" s="5"/>
    </row>
    <row r="45" spans="2:14" ht="18.75" x14ac:dyDescent="0.3">
      <c r="B45" s="34">
        <v>40</v>
      </c>
      <c r="C45" s="31" t="s">
        <v>122</v>
      </c>
      <c r="D45" s="33">
        <v>450000</v>
      </c>
      <c r="E45" s="33">
        <v>59985</v>
      </c>
      <c r="F45" s="32">
        <f t="shared" si="6"/>
        <v>509985</v>
      </c>
      <c r="G45" s="34">
        <v>50</v>
      </c>
      <c r="H45" s="36">
        <v>10199.700000000001</v>
      </c>
      <c r="I45" s="31">
        <v>26</v>
      </c>
      <c r="J45" s="35">
        <f t="shared" si="7"/>
        <v>24</v>
      </c>
      <c r="K45" s="36">
        <f t="shared" si="5"/>
        <v>265192.2</v>
      </c>
      <c r="L45" s="36">
        <f t="shared" si="8"/>
        <v>244792.8</v>
      </c>
      <c r="M45" s="31"/>
      <c r="N45" s="5"/>
    </row>
    <row r="46" spans="2:14" ht="18.75" x14ac:dyDescent="0.3">
      <c r="B46" s="34">
        <v>41</v>
      </c>
      <c r="C46" s="31" t="s">
        <v>204</v>
      </c>
      <c r="D46" s="33">
        <v>450000</v>
      </c>
      <c r="E46" s="33">
        <v>59985</v>
      </c>
      <c r="F46" s="32">
        <f t="shared" si="6"/>
        <v>509985</v>
      </c>
      <c r="G46" s="34">
        <v>50</v>
      </c>
      <c r="H46" s="32">
        <v>10199.700000000001</v>
      </c>
      <c r="I46" s="31">
        <v>31</v>
      </c>
      <c r="J46" s="35">
        <f t="shared" si="7"/>
        <v>19</v>
      </c>
      <c r="K46" s="36">
        <f t="shared" si="5"/>
        <v>316190.7</v>
      </c>
      <c r="L46" s="32">
        <f t="shared" si="8"/>
        <v>193794.3</v>
      </c>
      <c r="M46" s="31"/>
      <c r="N46" s="5"/>
    </row>
    <row r="47" spans="2:14" ht="18.75" x14ac:dyDescent="0.3">
      <c r="B47" s="34">
        <v>42</v>
      </c>
      <c r="C47" s="31" t="s">
        <v>205</v>
      </c>
      <c r="D47" s="33">
        <v>450000</v>
      </c>
      <c r="E47" s="33">
        <v>59985</v>
      </c>
      <c r="F47" s="32">
        <f t="shared" si="6"/>
        <v>509985</v>
      </c>
      <c r="G47" s="34">
        <v>50</v>
      </c>
      <c r="H47" s="32">
        <v>10199.700000000001</v>
      </c>
      <c r="I47" s="31">
        <v>50</v>
      </c>
      <c r="J47" s="35">
        <f t="shared" si="7"/>
        <v>0</v>
      </c>
      <c r="K47" s="36">
        <f t="shared" ref="K47:K54" si="9">I47*H47</f>
        <v>509985.00000000006</v>
      </c>
      <c r="L47" s="32">
        <f t="shared" si="8"/>
        <v>0</v>
      </c>
      <c r="M47" s="31"/>
      <c r="N47" s="5"/>
    </row>
    <row r="48" spans="2:14" ht="18.75" x14ac:dyDescent="0.3">
      <c r="B48" s="34">
        <v>43</v>
      </c>
      <c r="C48" s="50" t="s">
        <v>146</v>
      </c>
      <c r="D48" s="33">
        <v>450000</v>
      </c>
      <c r="E48" s="33">
        <v>59985</v>
      </c>
      <c r="F48" s="32">
        <f t="shared" si="6"/>
        <v>509985</v>
      </c>
      <c r="G48" s="34">
        <v>50</v>
      </c>
      <c r="H48" s="32">
        <v>10199.700000000001</v>
      </c>
      <c r="I48" s="50">
        <v>15</v>
      </c>
      <c r="J48" s="35">
        <f t="shared" si="7"/>
        <v>35</v>
      </c>
      <c r="K48" s="36">
        <f t="shared" si="9"/>
        <v>152995.5</v>
      </c>
      <c r="L48" s="36">
        <f t="shared" si="8"/>
        <v>356989.5</v>
      </c>
      <c r="M48" s="31"/>
      <c r="N48" s="5"/>
    </row>
    <row r="49" spans="2:14" ht="18.75" x14ac:dyDescent="0.3">
      <c r="B49" s="34">
        <v>44</v>
      </c>
      <c r="C49" s="50" t="s">
        <v>231</v>
      </c>
      <c r="D49" s="33">
        <v>450000</v>
      </c>
      <c r="E49" s="33">
        <v>59985</v>
      </c>
      <c r="F49" s="32">
        <f t="shared" si="6"/>
        <v>509985</v>
      </c>
      <c r="G49" s="34">
        <v>50</v>
      </c>
      <c r="H49" s="32">
        <v>10199.700000000001</v>
      </c>
      <c r="I49" s="50">
        <v>15</v>
      </c>
      <c r="J49" s="35">
        <f t="shared" si="7"/>
        <v>35</v>
      </c>
      <c r="K49" s="36">
        <f t="shared" si="9"/>
        <v>152995.5</v>
      </c>
      <c r="L49" s="36">
        <f t="shared" si="8"/>
        <v>356989.5</v>
      </c>
      <c r="M49" s="31"/>
      <c r="N49" s="5"/>
    </row>
    <row r="50" spans="2:14" ht="18.75" x14ac:dyDescent="0.3">
      <c r="B50" s="34">
        <v>45</v>
      </c>
      <c r="C50" s="50" t="s">
        <v>17</v>
      </c>
      <c r="D50" s="33">
        <v>450000</v>
      </c>
      <c r="E50" s="33">
        <v>59985</v>
      </c>
      <c r="F50" s="32">
        <f t="shared" si="6"/>
        <v>509985</v>
      </c>
      <c r="G50" s="34">
        <v>50</v>
      </c>
      <c r="H50" s="32">
        <v>10199.700000000001</v>
      </c>
      <c r="I50" s="50">
        <v>10</v>
      </c>
      <c r="J50" s="35">
        <f t="shared" si="7"/>
        <v>40</v>
      </c>
      <c r="K50" s="36">
        <f t="shared" si="9"/>
        <v>101997</v>
      </c>
      <c r="L50" s="36">
        <f t="shared" si="8"/>
        <v>407988</v>
      </c>
      <c r="M50" s="31"/>
      <c r="N50" s="5"/>
    </row>
    <row r="51" spans="2:14" ht="18.75" x14ac:dyDescent="0.3">
      <c r="B51" s="34">
        <v>46</v>
      </c>
      <c r="C51" s="50" t="s">
        <v>22</v>
      </c>
      <c r="D51" s="33">
        <v>450000</v>
      </c>
      <c r="E51" s="33">
        <v>59985</v>
      </c>
      <c r="F51" s="32">
        <f t="shared" si="6"/>
        <v>509985</v>
      </c>
      <c r="G51" s="34">
        <v>50</v>
      </c>
      <c r="H51" s="32">
        <v>10199.700000000001</v>
      </c>
      <c r="I51" s="50">
        <v>7</v>
      </c>
      <c r="J51" s="35">
        <f t="shared" si="7"/>
        <v>43</v>
      </c>
      <c r="K51" s="36">
        <f t="shared" si="9"/>
        <v>71397.900000000009</v>
      </c>
      <c r="L51" s="36">
        <f t="shared" si="8"/>
        <v>438587.1</v>
      </c>
      <c r="M51" s="31"/>
      <c r="N51" s="5"/>
    </row>
    <row r="52" spans="2:14" ht="18.75" x14ac:dyDescent="0.3">
      <c r="B52" s="34">
        <v>47</v>
      </c>
      <c r="C52" s="50" t="s">
        <v>29</v>
      </c>
      <c r="D52" s="33">
        <v>450000</v>
      </c>
      <c r="E52" s="33">
        <v>59985</v>
      </c>
      <c r="F52" s="32">
        <f t="shared" si="6"/>
        <v>509985</v>
      </c>
      <c r="G52" s="34">
        <v>50</v>
      </c>
      <c r="H52" s="32">
        <v>10199.700000000001</v>
      </c>
      <c r="I52" s="50">
        <v>4</v>
      </c>
      <c r="J52" s="35">
        <f t="shared" si="7"/>
        <v>46</v>
      </c>
      <c r="K52" s="36">
        <f t="shared" si="9"/>
        <v>40798.800000000003</v>
      </c>
      <c r="L52" s="36">
        <f t="shared" si="8"/>
        <v>469186.2</v>
      </c>
      <c r="M52" s="31"/>
      <c r="N52" s="5"/>
    </row>
    <row r="53" spans="2:14" ht="18.75" x14ac:dyDescent="0.3">
      <c r="B53" s="34">
        <v>48</v>
      </c>
      <c r="C53" s="29" t="s">
        <v>35</v>
      </c>
      <c r="D53" s="33">
        <v>450000</v>
      </c>
      <c r="E53" s="33">
        <v>59985</v>
      </c>
      <c r="F53" s="32">
        <f t="shared" si="6"/>
        <v>509985</v>
      </c>
      <c r="G53" s="34">
        <v>50</v>
      </c>
      <c r="H53" s="32">
        <v>10199.700000000001</v>
      </c>
      <c r="I53" s="50">
        <v>5</v>
      </c>
      <c r="J53" s="35">
        <f t="shared" si="7"/>
        <v>45</v>
      </c>
      <c r="K53" s="36">
        <f t="shared" si="9"/>
        <v>50998.5</v>
      </c>
      <c r="L53" s="36">
        <f t="shared" si="8"/>
        <v>458986.5</v>
      </c>
      <c r="M53" s="31"/>
      <c r="N53" s="5"/>
    </row>
    <row r="54" spans="2:14" ht="18.75" x14ac:dyDescent="0.3">
      <c r="B54" s="34">
        <v>49</v>
      </c>
      <c r="C54" s="29" t="s">
        <v>241</v>
      </c>
      <c r="D54" s="33">
        <v>450000</v>
      </c>
      <c r="E54" s="33">
        <v>59985</v>
      </c>
      <c r="F54" s="32">
        <f t="shared" si="6"/>
        <v>509985</v>
      </c>
      <c r="G54" s="34">
        <v>50</v>
      </c>
      <c r="H54" s="32">
        <v>10199.700000000001</v>
      </c>
      <c r="I54" s="50">
        <v>2</v>
      </c>
      <c r="J54" s="35">
        <f t="shared" si="7"/>
        <v>48</v>
      </c>
      <c r="K54" s="36">
        <f t="shared" si="9"/>
        <v>20399.400000000001</v>
      </c>
      <c r="L54" s="36">
        <f t="shared" si="8"/>
        <v>489585.6</v>
      </c>
      <c r="M54" s="31"/>
      <c r="N54" s="5"/>
    </row>
    <row r="55" spans="2:14" ht="18.75" x14ac:dyDescent="0.3">
      <c r="B55" s="34">
        <v>50</v>
      </c>
      <c r="C55" s="31" t="s">
        <v>189</v>
      </c>
      <c r="D55" s="32">
        <v>330000</v>
      </c>
      <c r="E55" s="33">
        <v>43989</v>
      </c>
      <c r="F55" s="32">
        <f t="shared" si="6"/>
        <v>373989</v>
      </c>
      <c r="G55" s="34">
        <v>50</v>
      </c>
      <c r="H55" s="32">
        <v>7479.78</v>
      </c>
      <c r="I55" s="31">
        <v>41</v>
      </c>
      <c r="J55" s="35">
        <f t="shared" si="7"/>
        <v>9</v>
      </c>
      <c r="K55" s="33">
        <f t="shared" ref="K55:K67" si="10">H55*I55</f>
        <v>306670.98</v>
      </c>
      <c r="L55" s="32">
        <f t="shared" si="8"/>
        <v>67318.020000000019</v>
      </c>
      <c r="M55" s="53"/>
      <c r="N55" s="5"/>
    </row>
    <row r="56" spans="2:14" ht="18.75" x14ac:dyDescent="0.3">
      <c r="B56" s="34">
        <v>51</v>
      </c>
      <c r="C56" s="31" t="s">
        <v>79</v>
      </c>
      <c r="D56" s="32">
        <v>330000</v>
      </c>
      <c r="E56" s="33">
        <v>43989</v>
      </c>
      <c r="F56" s="32">
        <f t="shared" si="6"/>
        <v>373989</v>
      </c>
      <c r="G56" s="34">
        <v>50</v>
      </c>
      <c r="H56" s="32">
        <v>7479.78</v>
      </c>
      <c r="I56" s="31">
        <v>22</v>
      </c>
      <c r="J56" s="35">
        <f t="shared" si="7"/>
        <v>28</v>
      </c>
      <c r="K56" s="32">
        <f t="shared" si="10"/>
        <v>164555.16</v>
      </c>
      <c r="L56" s="36">
        <f t="shared" si="8"/>
        <v>209433.84</v>
      </c>
      <c r="M56" s="31"/>
      <c r="N56" s="5"/>
    </row>
    <row r="57" spans="2:14" ht="18.75" x14ac:dyDescent="0.3">
      <c r="B57" s="34">
        <v>52</v>
      </c>
      <c r="C57" s="31" t="s">
        <v>83</v>
      </c>
      <c r="D57" s="32">
        <v>330000</v>
      </c>
      <c r="E57" s="33">
        <v>43989</v>
      </c>
      <c r="F57" s="32">
        <f t="shared" si="6"/>
        <v>373989</v>
      </c>
      <c r="G57" s="34">
        <v>50</v>
      </c>
      <c r="H57" s="32">
        <v>7479.78</v>
      </c>
      <c r="I57" s="31">
        <v>26</v>
      </c>
      <c r="J57" s="35">
        <f t="shared" si="7"/>
        <v>24</v>
      </c>
      <c r="K57" s="36">
        <f t="shared" si="10"/>
        <v>194474.28</v>
      </c>
      <c r="L57" s="36">
        <f t="shared" si="8"/>
        <v>179514.72</v>
      </c>
      <c r="M57" s="31"/>
      <c r="N57" s="5"/>
    </row>
    <row r="58" spans="2:14" ht="18.75" x14ac:dyDescent="0.3">
      <c r="B58" s="34">
        <v>53</v>
      </c>
      <c r="C58" s="31" t="s">
        <v>95</v>
      </c>
      <c r="D58" s="32">
        <v>330000</v>
      </c>
      <c r="E58" s="33">
        <v>43989</v>
      </c>
      <c r="F58" s="32">
        <f t="shared" si="6"/>
        <v>373989</v>
      </c>
      <c r="G58" s="34">
        <v>50</v>
      </c>
      <c r="H58" s="32">
        <v>7479.78</v>
      </c>
      <c r="I58" s="31">
        <v>22</v>
      </c>
      <c r="J58" s="35">
        <f t="shared" si="7"/>
        <v>28</v>
      </c>
      <c r="K58" s="36">
        <f t="shared" si="10"/>
        <v>164555.16</v>
      </c>
      <c r="L58" s="32">
        <f t="shared" si="8"/>
        <v>209433.84</v>
      </c>
      <c r="M58" s="31"/>
      <c r="N58" s="5"/>
    </row>
    <row r="59" spans="2:14" ht="18.75" x14ac:dyDescent="0.3">
      <c r="B59" s="34">
        <v>54</v>
      </c>
      <c r="C59" s="31" t="s">
        <v>96</v>
      </c>
      <c r="D59" s="32">
        <v>330000</v>
      </c>
      <c r="E59" s="33">
        <v>43989</v>
      </c>
      <c r="F59" s="32">
        <f t="shared" si="6"/>
        <v>373989</v>
      </c>
      <c r="G59" s="34">
        <v>50</v>
      </c>
      <c r="H59" s="36">
        <v>7479.78</v>
      </c>
      <c r="I59" s="31">
        <v>26</v>
      </c>
      <c r="J59" s="35">
        <f t="shared" si="7"/>
        <v>24</v>
      </c>
      <c r="K59" s="36">
        <f t="shared" si="10"/>
        <v>194474.28</v>
      </c>
      <c r="L59" s="36">
        <f t="shared" si="8"/>
        <v>179514.72</v>
      </c>
      <c r="M59" s="31"/>
      <c r="N59" s="5"/>
    </row>
    <row r="60" spans="2:14" ht="18.75" x14ac:dyDescent="0.3">
      <c r="B60" s="34">
        <v>55</v>
      </c>
      <c r="C60" s="31" t="s">
        <v>109</v>
      </c>
      <c r="D60" s="32">
        <v>330000</v>
      </c>
      <c r="E60" s="33">
        <v>43989</v>
      </c>
      <c r="F60" s="32">
        <f t="shared" si="6"/>
        <v>373989</v>
      </c>
      <c r="G60" s="34">
        <v>50</v>
      </c>
      <c r="H60" s="32">
        <v>7479.78</v>
      </c>
      <c r="I60" s="31">
        <v>50</v>
      </c>
      <c r="J60" s="35">
        <f t="shared" si="7"/>
        <v>0</v>
      </c>
      <c r="K60" s="36">
        <f t="shared" si="10"/>
        <v>373989</v>
      </c>
      <c r="L60" s="32">
        <f t="shared" si="8"/>
        <v>0</v>
      </c>
      <c r="M60" s="31"/>
      <c r="N60" s="5"/>
    </row>
    <row r="61" spans="2:14" ht="18.75" x14ac:dyDescent="0.3">
      <c r="B61" s="34">
        <v>56</v>
      </c>
      <c r="C61" s="31" t="s">
        <v>233</v>
      </c>
      <c r="D61" s="32">
        <v>330000</v>
      </c>
      <c r="E61" s="33">
        <v>43989</v>
      </c>
      <c r="F61" s="32">
        <f t="shared" si="6"/>
        <v>373989</v>
      </c>
      <c r="G61" s="34">
        <v>50</v>
      </c>
      <c r="H61" s="36">
        <v>7479.78</v>
      </c>
      <c r="I61" s="31">
        <v>26</v>
      </c>
      <c r="J61" s="35">
        <f t="shared" si="7"/>
        <v>24</v>
      </c>
      <c r="K61" s="36">
        <f t="shared" si="10"/>
        <v>194474.28</v>
      </c>
      <c r="L61" s="36">
        <f t="shared" si="8"/>
        <v>179514.72</v>
      </c>
      <c r="M61" s="31"/>
      <c r="N61" s="5"/>
    </row>
    <row r="62" spans="2:14" ht="18.75" x14ac:dyDescent="0.3">
      <c r="B62" s="34">
        <v>57</v>
      </c>
      <c r="C62" s="31" t="s">
        <v>220</v>
      </c>
      <c r="D62" s="32">
        <v>330000</v>
      </c>
      <c r="E62" s="33">
        <v>43989</v>
      </c>
      <c r="F62" s="32">
        <f t="shared" si="6"/>
        <v>373989</v>
      </c>
      <c r="G62" s="34">
        <v>50</v>
      </c>
      <c r="H62" s="32">
        <v>7479.78</v>
      </c>
      <c r="I62" s="31">
        <v>26</v>
      </c>
      <c r="J62" s="35">
        <f t="shared" si="7"/>
        <v>24</v>
      </c>
      <c r="K62" s="36">
        <f t="shared" si="10"/>
        <v>194474.28</v>
      </c>
      <c r="L62" s="32">
        <f t="shared" si="8"/>
        <v>179514.72</v>
      </c>
      <c r="M62" s="31"/>
      <c r="N62" s="5"/>
    </row>
    <row r="63" spans="2:14" ht="18.75" x14ac:dyDescent="0.3">
      <c r="B63" s="34">
        <v>58</v>
      </c>
      <c r="C63" s="31" t="s">
        <v>119</v>
      </c>
      <c r="D63" s="32">
        <v>330000</v>
      </c>
      <c r="E63" s="33">
        <v>43989</v>
      </c>
      <c r="F63" s="32">
        <f t="shared" si="6"/>
        <v>373989</v>
      </c>
      <c r="G63" s="34">
        <v>50</v>
      </c>
      <c r="H63" s="32">
        <v>7479.78</v>
      </c>
      <c r="I63" s="31">
        <v>50</v>
      </c>
      <c r="J63" s="35">
        <f t="shared" si="7"/>
        <v>0</v>
      </c>
      <c r="K63" s="36">
        <f t="shared" si="10"/>
        <v>373989</v>
      </c>
      <c r="L63" s="32">
        <f t="shared" si="8"/>
        <v>0</v>
      </c>
      <c r="M63" s="31"/>
      <c r="N63" s="5"/>
    </row>
    <row r="64" spans="2:14" ht="18.75" x14ac:dyDescent="0.3">
      <c r="B64" s="34">
        <v>59</v>
      </c>
      <c r="C64" s="31" t="s">
        <v>135</v>
      </c>
      <c r="D64" s="32">
        <v>330000</v>
      </c>
      <c r="E64" s="33">
        <v>43989</v>
      </c>
      <c r="F64" s="32">
        <f t="shared" si="6"/>
        <v>373989</v>
      </c>
      <c r="G64" s="34">
        <v>50</v>
      </c>
      <c r="H64" s="32">
        <v>7479.78</v>
      </c>
      <c r="I64" s="31">
        <v>47</v>
      </c>
      <c r="J64" s="35">
        <f t="shared" si="7"/>
        <v>3</v>
      </c>
      <c r="K64" s="36">
        <f t="shared" si="10"/>
        <v>351549.66</v>
      </c>
      <c r="L64" s="32">
        <f t="shared" si="8"/>
        <v>22439.340000000026</v>
      </c>
      <c r="M64" s="31"/>
      <c r="N64" s="5"/>
    </row>
    <row r="65" spans="2:14" ht="18.75" x14ac:dyDescent="0.3">
      <c r="B65" s="34">
        <v>60</v>
      </c>
      <c r="C65" s="31" t="s">
        <v>140</v>
      </c>
      <c r="D65" s="32">
        <v>330000</v>
      </c>
      <c r="E65" s="33">
        <v>43989</v>
      </c>
      <c r="F65" s="32">
        <f t="shared" si="6"/>
        <v>373989</v>
      </c>
      <c r="G65" s="34">
        <v>50</v>
      </c>
      <c r="H65" s="36">
        <v>7479.78</v>
      </c>
      <c r="I65" s="31">
        <v>26</v>
      </c>
      <c r="J65" s="35">
        <f t="shared" si="7"/>
        <v>24</v>
      </c>
      <c r="K65" s="36">
        <f t="shared" si="10"/>
        <v>194474.28</v>
      </c>
      <c r="L65" s="36">
        <f t="shared" si="8"/>
        <v>179514.72</v>
      </c>
      <c r="M65" s="31"/>
      <c r="N65" s="5"/>
    </row>
    <row r="66" spans="2:14" ht="18.75" x14ac:dyDescent="0.3">
      <c r="B66" s="34">
        <v>61</v>
      </c>
      <c r="C66" s="31" t="s">
        <v>141</v>
      </c>
      <c r="D66" s="32">
        <v>330000</v>
      </c>
      <c r="E66" s="33">
        <v>43989</v>
      </c>
      <c r="F66" s="32">
        <f t="shared" si="6"/>
        <v>373989</v>
      </c>
      <c r="G66" s="34">
        <v>50</v>
      </c>
      <c r="H66" s="36">
        <v>7479.78</v>
      </c>
      <c r="I66" s="31">
        <v>50</v>
      </c>
      <c r="J66" s="35">
        <f t="shared" si="7"/>
        <v>0</v>
      </c>
      <c r="K66" s="31">
        <f t="shared" si="10"/>
        <v>373989</v>
      </c>
      <c r="L66" s="36">
        <f t="shared" si="8"/>
        <v>0</v>
      </c>
      <c r="M66" s="31"/>
      <c r="N66" s="5"/>
    </row>
    <row r="67" spans="2:14" ht="18.75" x14ac:dyDescent="0.3">
      <c r="B67" s="34">
        <v>62</v>
      </c>
      <c r="C67" s="31" t="s">
        <v>175</v>
      </c>
      <c r="D67" s="32">
        <v>330000</v>
      </c>
      <c r="E67" s="33">
        <v>43989</v>
      </c>
      <c r="F67" s="32">
        <f t="shared" si="6"/>
        <v>373989</v>
      </c>
      <c r="G67" s="34">
        <v>50</v>
      </c>
      <c r="H67" s="36">
        <v>7479.78</v>
      </c>
      <c r="I67" s="31">
        <v>21</v>
      </c>
      <c r="J67" s="35">
        <f t="shared" si="7"/>
        <v>29</v>
      </c>
      <c r="K67" s="36">
        <f t="shared" si="10"/>
        <v>157075.38</v>
      </c>
      <c r="L67" s="36">
        <f t="shared" si="8"/>
        <v>216913.62</v>
      </c>
      <c r="M67" s="31"/>
      <c r="N67" s="5"/>
    </row>
    <row r="68" spans="2:14" ht="18.75" x14ac:dyDescent="0.3">
      <c r="B68" s="34">
        <v>63</v>
      </c>
      <c r="C68" s="50" t="s">
        <v>149</v>
      </c>
      <c r="D68" s="33">
        <v>330000</v>
      </c>
      <c r="E68" s="33">
        <v>43989</v>
      </c>
      <c r="F68" s="32">
        <v>373989</v>
      </c>
      <c r="G68" s="34">
        <v>50</v>
      </c>
      <c r="H68" s="32">
        <v>7478.78</v>
      </c>
      <c r="I68" s="50">
        <v>15</v>
      </c>
      <c r="J68" s="35">
        <f t="shared" si="7"/>
        <v>35</v>
      </c>
      <c r="K68" s="36">
        <f t="shared" ref="K68:K88" si="11">I68*H68</f>
        <v>112181.7</v>
      </c>
      <c r="L68" s="36">
        <f t="shared" si="8"/>
        <v>261807.3</v>
      </c>
      <c r="M68" s="31"/>
      <c r="N68" s="5"/>
    </row>
    <row r="69" spans="2:14" ht="18.75" x14ac:dyDescent="0.3">
      <c r="B69" s="34">
        <v>64</v>
      </c>
      <c r="C69" s="50" t="s">
        <v>150</v>
      </c>
      <c r="D69" s="33">
        <v>330000</v>
      </c>
      <c r="E69" s="33">
        <v>43989</v>
      </c>
      <c r="F69" s="32">
        <f t="shared" ref="F69:F100" si="12">D69+E69</f>
        <v>373989</v>
      </c>
      <c r="G69" s="34">
        <v>50</v>
      </c>
      <c r="H69" s="32">
        <v>7479.78</v>
      </c>
      <c r="I69" s="50">
        <v>15</v>
      </c>
      <c r="J69" s="35">
        <f t="shared" si="7"/>
        <v>35</v>
      </c>
      <c r="K69" s="36">
        <f t="shared" si="11"/>
        <v>112196.7</v>
      </c>
      <c r="L69" s="36">
        <f t="shared" si="8"/>
        <v>261792.3</v>
      </c>
      <c r="M69" s="31"/>
      <c r="N69" s="5"/>
    </row>
    <row r="70" spans="2:14" ht="18.75" x14ac:dyDescent="0.3">
      <c r="B70" s="34">
        <v>65</v>
      </c>
      <c r="C70" s="50" t="s">
        <v>209</v>
      </c>
      <c r="D70" s="33">
        <v>330000</v>
      </c>
      <c r="E70" s="33">
        <v>43989</v>
      </c>
      <c r="F70" s="32">
        <f t="shared" si="12"/>
        <v>373989</v>
      </c>
      <c r="G70" s="34">
        <v>50</v>
      </c>
      <c r="H70" s="32">
        <v>7479.78</v>
      </c>
      <c r="I70" s="50">
        <v>12</v>
      </c>
      <c r="J70" s="35">
        <f t="shared" ref="J70:J101" si="13">G70-I70</f>
        <v>38</v>
      </c>
      <c r="K70" s="36">
        <f t="shared" si="11"/>
        <v>89757.36</v>
      </c>
      <c r="L70" s="36">
        <f t="shared" ref="L70:L101" si="14">F70-K70</f>
        <v>284231.64</v>
      </c>
      <c r="M70" s="31"/>
      <c r="N70" s="5"/>
    </row>
    <row r="71" spans="2:14" ht="18.75" x14ac:dyDescent="0.3">
      <c r="B71" s="34">
        <v>66</v>
      </c>
      <c r="C71" s="50" t="s">
        <v>210</v>
      </c>
      <c r="D71" s="33">
        <v>330000</v>
      </c>
      <c r="E71" s="33">
        <v>43989</v>
      </c>
      <c r="F71" s="32">
        <f t="shared" si="12"/>
        <v>373989</v>
      </c>
      <c r="G71" s="34">
        <v>50</v>
      </c>
      <c r="H71" s="32">
        <v>7479.78</v>
      </c>
      <c r="I71" s="50">
        <v>12</v>
      </c>
      <c r="J71" s="35">
        <f t="shared" si="13"/>
        <v>38</v>
      </c>
      <c r="K71" s="36">
        <f t="shared" si="11"/>
        <v>89757.36</v>
      </c>
      <c r="L71" s="36">
        <f t="shared" si="14"/>
        <v>284231.64</v>
      </c>
      <c r="M71" s="31"/>
      <c r="N71" s="5"/>
    </row>
    <row r="72" spans="2:14" ht="18.75" x14ac:dyDescent="0.3">
      <c r="B72" s="34">
        <v>67</v>
      </c>
      <c r="C72" s="50" t="s">
        <v>211</v>
      </c>
      <c r="D72" s="33">
        <v>330000</v>
      </c>
      <c r="E72" s="33">
        <v>43989</v>
      </c>
      <c r="F72" s="32">
        <f t="shared" si="12"/>
        <v>373989</v>
      </c>
      <c r="G72" s="34">
        <v>50</v>
      </c>
      <c r="H72" s="32">
        <v>7479.78</v>
      </c>
      <c r="I72" s="50">
        <v>12</v>
      </c>
      <c r="J72" s="35">
        <f t="shared" si="13"/>
        <v>38</v>
      </c>
      <c r="K72" s="36">
        <f t="shared" si="11"/>
        <v>89757.36</v>
      </c>
      <c r="L72" s="36">
        <f t="shared" si="14"/>
        <v>284231.64</v>
      </c>
      <c r="M72" s="31"/>
      <c r="N72" s="5"/>
    </row>
    <row r="73" spans="2:14" ht="18.75" x14ac:dyDescent="0.3">
      <c r="B73" s="34">
        <v>68</v>
      </c>
      <c r="C73" s="50" t="s">
        <v>212</v>
      </c>
      <c r="D73" s="33">
        <v>330000</v>
      </c>
      <c r="E73" s="33">
        <v>43989</v>
      </c>
      <c r="F73" s="32">
        <f t="shared" si="12"/>
        <v>373989</v>
      </c>
      <c r="G73" s="34">
        <v>50</v>
      </c>
      <c r="H73" s="32">
        <v>7479.78</v>
      </c>
      <c r="I73" s="50">
        <v>11</v>
      </c>
      <c r="J73" s="35">
        <f t="shared" si="13"/>
        <v>39</v>
      </c>
      <c r="K73" s="36">
        <f t="shared" si="11"/>
        <v>82277.58</v>
      </c>
      <c r="L73" s="36">
        <f t="shared" si="14"/>
        <v>291711.42</v>
      </c>
      <c r="M73" s="31"/>
      <c r="N73" s="5"/>
    </row>
    <row r="74" spans="2:14" ht="18.75" x14ac:dyDescent="0.3">
      <c r="B74" s="34">
        <v>69</v>
      </c>
      <c r="C74" s="50" t="s">
        <v>13</v>
      </c>
      <c r="D74" s="33">
        <v>330000</v>
      </c>
      <c r="E74" s="33">
        <v>43989</v>
      </c>
      <c r="F74" s="32">
        <f t="shared" si="12"/>
        <v>373989</v>
      </c>
      <c r="G74" s="34">
        <v>50</v>
      </c>
      <c r="H74" s="32">
        <v>7479.78</v>
      </c>
      <c r="I74" s="50">
        <v>12</v>
      </c>
      <c r="J74" s="35">
        <f t="shared" si="13"/>
        <v>38</v>
      </c>
      <c r="K74" s="36">
        <f t="shared" si="11"/>
        <v>89757.36</v>
      </c>
      <c r="L74" s="36">
        <f t="shared" si="14"/>
        <v>284231.64</v>
      </c>
      <c r="M74" s="31"/>
      <c r="N74" s="5"/>
    </row>
    <row r="75" spans="2:14" ht="18.75" x14ac:dyDescent="0.3">
      <c r="B75" s="34">
        <v>70</v>
      </c>
      <c r="C75" s="50" t="s">
        <v>18</v>
      </c>
      <c r="D75" s="32">
        <v>330000</v>
      </c>
      <c r="E75" s="33">
        <v>43989</v>
      </c>
      <c r="F75" s="32">
        <f t="shared" si="12"/>
        <v>373989</v>
      </c>
      <c r="G75" s="34">
        <v>50</v>
      </c>
      <c r="H75" s="36">
        <v>7479.74</v>
      </c>
      <c r="I75" s="50">
        <v>10</v>
      </c>
      <c r="J75" s="35">
        <f t="shared" si="13"/>
        <v>40</v>
      </c>
      <c r="K75" s="36">
        <f t="shared" si="11"/>
        <v>74797.399999999994</v>
      </c>
      <c r="L75" s="36">
        <f t="shared" si="14"/>
        <v>299191.59999999998</v>
      </c>
      <c r="M75" s="31"/>
      <c r="N75" s="5"/>
    </row>
    <row r="76" spans="2:14" ht="18.75" x14ac:dyDescent="0.3">
      <c r="B76" s="34">
        <v>71</v>
      </c>
      <c r="C76" s="50" t="s">
        <v>19</v>
      </c>
      <c r="D76" s="32">
        <v>330000</v>
      </c>
      <c r="E76" s="33">
        <v>43989</v>
      </c>
      <c r="F76" s="32">
        <f t="shared" si="12"/>
        <v>373989</v>
      </c>
      <c r="G76" s="34">
        <v>50</v>
      </c>
      <c r="H76" s="36">
        <v>7479.74</v>
      </c>
      <c r="I76" s="50">
        <v>10</v>
      </c>
      <c r="J76" s="35">
        <f t="shared" si="13"/>
        <v>40</v>
      </c>
      <c r="K76" s="36">
        <f t="shared" si="11"/>
        <v>74797.399999999994</v>
      </c>
      <c r="L76" s="36">
        <f t="shared" si="14"/>
        <v>299191.59999999998</v>
      </c>
      <c r="M76" s="31"/>
      <c r="N76" s="5"/>
    </row>
    <row r="77" spans="2:14" ht="18.75" x14ac:dyDescent="0.3">
      <c r="B77" s="34">
        <v>72</v>
      </c>
      <c r="C77" s="50" t="s">
        <v>215</v>
      </c>
      <c r="D77" s="32">
        <v>330000</v>
      </c>
      <c r="E77" s="33">
        <v>43989</v>
      </c>
      <c r="F77" s="32">
        <f t="shared" si="12"/>
        <v>373989</v>
      </c>
      <c r="G77" s="34">
        <v>50</v>
      </c>
      <c r="H77" s="36">
        <v>7479.78</v>
      </c>
      <c r="I77" s="50">
        <v>7</v>
      </c>
      <c r="J77" s="35">
        <f t="shared" si="13"/>
        <v>43</v>
      </c>
      <c r="K77" s="36">
        <f t="shared" si="11"/>
        <v>52358.46</v>
      </c>
      <c r="L77" s="36">
        <f t="shared" si="14"/>
        <v>321630.53999999998</v>
      </c>
      <c r="M77" s="31"/>
      <c r="N77" s="5"/>
    </row>
    <row r="78" spans="2:14" ht="18.75" x14ac:dyDescent="0.3">
      <c r="B78" s="34">
        <v>73</v>
      </c>
      <c r="C78" s="50" t="s">
        <v>25</v>
      </c>
      <c r="D78" s="32">
        <v>330000</v>
      </c>
      <c r="E78" s="33">
        <v>43989</v>
      </c>
      <c r="F78" s="32">
        <f t="shared" si="12"/>
        <v>373989</v>
      </c>
      <c r="G78" s="34">
        <v>50</v>
      </c>
      <c r="H78" s="36">
        <v>7479.78</v>
      </c>
      <c r="I78" s="50">
        <v>5</v>
      </c>
      <c r="J78" s="35">
        <f t="shared" si="13"/>
        <v>45</v>
      </c>
      <c r="K78" s="36">
        <f t="shared" si="11"/>
        <v>37398.9</v>
      </c>
      <c r="L78" s="36">
        <f t="shared" si="14"/>
        <v>336590.1</v>
      </c>
      <c r="M78" s="31"/>
      <c r="N78" s="5"/>
    </row>
    <row r="79" spans="2:14" ht="18.75" x14ac:dyDescent="0.3">
      <c r="B79" s="34">
        <v>74</v>
      </c>
      <c r="C79" s="50" t="s">
        <v>26</v>
      </c>
      <c r="D79" s="32">
        <v>330000</v>
      </c>
      <c r="E79" s="33">
        <v>43989</v>
      </c>
      <c r="F79" s="32">
        <f t="shared" si="12"/>
        <v>373989</v>
      </c>
      <c r="G79" s="34">
        <v>50</v>
      </c>
      <c r="H79" s="36">
        <v>7479.78</v>
      </c>
      <c r="I79" s="50">
        <v>5</v>
      </c>
      <c r="J79" s="35">
        <f t="shared" si="13"/>
        <v>45</v>
      </c>
      <c r="K79" s="36">
        <f t="shared" si="11"/>
        <v>37398.9</v>
      </c>
      <c r="L79" s="36">
        <f t="shared" si="14"/>
        <v>336590.1</v>
      </c>
      <c r="M79" s="31"/>
      <c r="N79" s="5"/>
    </row>
    <row r="80" spans="2:14" ht="18.75" x14ac:dyDescent="0.3">
      <c r="B80" s="34">
        <v>75</v>
      </c>
      <c r="C80" s="50" t="s">
        <v>30</v>
      </c>
      <c r="D80" s="32">
        <v>330000</v>
      </c>
      <c r="E80" s="33">
        <v>43989</v>
      </c>
      <c r="F80" s="32">
        <f t="shared" si="12"/>
        <v>373989</v>
      </c>
      <c r="G80" s="34">
        <v>50</v>
      </c>
      <c r="H80" s="36">
        <v>7479.78</v>
      </c>
      <c r="I80" s="50">
        <v>4</v>
      </c>
      <c r="J80" s="35">
        <f t="shared" si="13"/>
        <v>46</v>
      </c>
      <c r="K80" s="36">
        <f t="shared" si="11"/>
        <v>29919.119999999999</v>
      </c>
      <c r="L80" s="36">
        <f t="shared" si="14"/>
        <v>344069.88</v>
      </c>
      <c r="M80" s="31"/>
      <c r="N80" s="5"/>
    </row>
    <row r="81" spans="2:14" ht="18.75" x14ac:dyDescent="0.3">
      <c r="B81" s="34">
        <v>76</v>
      </c>
      <c r="C81" s="29" t="s">
        <v>36</v>
      </c>
      <c r="D81" s="32">
        <v>330000</v>
      </c>
      <c r="E81" s="33">
        <v>43989</v>
      </c>
      <c r="F81" s="32">
        <f t="shared" si="12"/>
        <v>373989</v>
      </c>
      <c r="G81" s="34">
        <v>50</v>
      </c>
      <c r="H81" s="36">
        <v>7479.78</v>
      </c>
      <c r="I81" s="50">
        <v>4</v>
      </c>
      <c r="J81" s="35">
        <f t="shared" si="13"/>
        <v>46</v>
      </c>
      <c r="K81" s="36">
        <f t="shared" si="11"/>
        <v>29919.119999999999</v>
      </c>
      <c r="L81" s="36">
        <f t="shared" si="14"/>
        <v>344069.88</v>
      </c>
      <c r="M81" s="31"/>
      <c r="N81" s="5"/>
    </row>
    <row r="82" spans="2:14" ht="18.75" x14ac:dyDescent="0.3">
      <c r="B82" s="34">
        <v>77</v>
      </c>
      <c r="C82" s="29" t="s">
        <v>37</v>
      </c>
      <c r="D82" s="32">
        <v>330000</v>
      </c>
      <c r="E82" s="33">
        <v>43989</v>
      </c>
      <c r="F82" s="32">
        <f t="shared" si="12"/>
        <v>373989</v>
      </c>
      <c r="G82" s="34">
        <v>50</v>
      </c>
      <c r="H82" s="36">
        <v>7479.78</v>
      </c>
      <c r="I82" s="50">
        <v>5</v>
      </c>
      <c r="J82" s="35">
        <f t="shared" si="13"/>
        <v>45</v>
      </c>
      <c r="K82" s="36">
        <f t="shared" si="11"/>
        <v>37398.9</v>
      </c>
      <c r="L82" s="36">
        <f t="shared" si="14"/>
        <v>336590.1</v>
      </c>
      <c r="M82" s="31"/>
      <c r="N82" s="5"/>
    </row>
    <row r="83" spans="2:14" ht="18.75" x14ac:dyDescent="0.3">
      <c r="B83" s="34">
        <v>78</v>
      </c>
      <c r="C83" s="29" t="s">
        <v>40</v>
      </c>
      <c r="D83" s="32">
        <v>330000</v>
      </c>
      <c r="E83" s="33">
        <v>43989</v>
      </c>
      <c r="F83" s="32">
        <f t="shared" si="12"/>
        <v>373989</v>
      </c>
      <c r="G83" s="34">
        <v>50</v>
      </c>
      <c r="H83" s="36">
        <v>7479.78</v>
      </c>
      <c r="I83" s="50">
        <v>27</v>
      </c>
      <c r="J83" s="35">
        <f t="shared" si="13"/>
        <v>23</v>
      </c>
      <c r="K83" s="36">
        <f t="shared" si="11"/>
        <v>201954.06</v>
      </c>
      <c r="L83" s="36">
        <f t="shared" si="14"/>
        <v>172034.94</v>
      </c>
      <c r="M83" s="31" t="s">
        <v>42</v>
      </c>
      <c r="N83" s="5"/>
    </row>
    <row r="84" spans="2:14" ht="18.75" x14ac:dyDescent="0.3">
      <c r="B84" s="34">
        <v>79</v>
      </c>
      <c r="C84" s="29" t="s">
        <v>173</v>
      </c>
      <c r="D84" s="32">
        <v>330000</v>
      </c>
      <c r="E84" s="33">
        <v>43989</v>
      </c>
      <c r="F84" s="32">
        <f t="shared" si="12"/>
        <v>373989</v>
      </c>
      <c r="G84" s="34">
        <v>50</v>
      </c>
      <c r="H84" s="32">
        <v>7479.78</v>
      </c>
      <c r="I84" s="50">
        <v>16</v>
      </c>
      <c r="J84" s="35">
        <f t="shared" si="13"/>
        <v>34</v>
      </c>
      <c r="K84" s="36">
        <f t="shared" si="11"/>
        <v>119676.48</v>
      </c>
      <c r="L84" s="36">
        <f t="shared" si="14"/>
        <v>254312.52000000002</v>
      </c>
      <c r="M84" s="31" t="s">
        <v>221</v>
      </c>
      <c r="N84" s="5"/>
    </row>
    <row r="85" spans="2:14" ht="18.75" x14ac:dyDescent="0.3">
      <c r="B85" s="34">
        <v>80</v>
      </c>
      <c r="C85" s="29" t="s">
        <v>182</v>
      </c>
      <c r="D85" s="32">
        <v>330000</v>
      </c>
      <c r="E85" s="33">
        <v>43989</v>
      </c>
      <c r="F85" s="32">
        <f t="shared" si="12"/>
        <v>373989</v>
      </c>
      <c r="G85" s="34">
        <v>50</v>
      </c>
      <c r="H85" s="32">
        <v>7479.78</v>
      </c>
      <c r="I85" s="50">
        <v>50</v>
      </c>
      <c r="J85" s="35">
        <f t="shared" si="13"/>
        <v>0</v>
      </c>
      <c r="K85" s="36">
        <f t="shared" si="11"/>
        <v>373989</v>
      </c>
      <c r="L85" s="36">
        <f t="shared" si="14"/>
        <v>0</v>
      </c>
      <c r="M85" s="31" t="s">
        <v>221</v>
      </c>
      <c r="N85" s="5"/>
    </row>
    <row r="86" spans="2:14" ht="18.75" x14ac:dyDescent="0.3">
      <c r="B86" s="34">
        <v>81</v>
      </c>
      <c r="C86" s="29" t="s">
        <v>242</v>
      </c>
      <c r="D86" s="32">
        <v>330000</v>
      </c>
      <c r="E86" s="33">
        <v>43989</v>
      </c>
      <c r="F86" s="32">
        <f t="shared" si="12"/>
        <v>373989</v>
      </c>
      <c r="G86" s="34">
        <v>50</v>
      </c>
      <c r="H86" s="32">
        <v>7479.78</v>
      </c>
      <c r="I86" s="50">
        <v>2</v>
      </c>
      <c r="J86" s="35">
        <f t="shared" si="13"/>
        <v>48</v>
      </c>
      <c r="K86" s="36">
        <f t="shared" si="11"/>
        <v>14959.56</v>
      </c>
      <c r="L86" s="36">
        <f t="shared" si="14"/>
        <v>359029.44</v>
      </c>
      <c r="M86" s="31"/>
      <c r="N86" s="5"/>
    </row>
    <row r="87" spans="2:14" ht="18.75" x14ac:dyDescent="0.3">
      <c r="B87" s="34">
        <v>82</v>
      </c>
      <c r="C87" s="29" t="s">
        <v>243</v>
      </c>
      <c r="D87" s="32">
        <v>330000</v>
      </c>
      <c r="E87" s="33">
        <v>43989</v>
      </c>
      <c r="F87" s="32">
        <f t="shared" si="12"/>
        <v>373989</v>
      </c>
      <c r="G87" s="34">
        <v>50</v>
      </c>
      <c r="H87" s="32">
        <v>7479.78</v>
      </c>
      <c r="I87" s="50">
        <v>2</v>
      </c>
      <c r="J87" s="35">
        <f t="shared" si="13"/>
        <v>48</v>
      </c>
      <c r="K87" s="36">
        <f t="shared" si="11"/>
        <v>14959.56</v>
      </c>
      <c r="L87" s="36">
        <f t="shared" si="14"/>
        <v>359029.44</v>
      </c>
      <c r="M87" s="31"/>
      <c r="N87" s="5"/>
    </row>
    <row r="88" spans="2:14" ht="18.75" x14ac:dyDescent="0.3">
      <c r="B88" s="34">
        <v>83</v>
      </c>
      <c r="C88" s="29" t="s">
        <v>174</v>
      </c>
      <c r="D88" s="33">
        <v>200000</v>
      </c>
      <c r="E88" s="33">
        <v>26660</v>
      </c>
      <c r="F88" s="32">
        <f t="shared" si="12"/>
        <v>226660</v>
      </c>
      <c r="G88" s="34">
        <v>40</v>
      </c>
      <c r="H88" s="32">
        <v>5666.5</v>
      </c>
      <c r="I88" s="50">
        <v>36</v>
      </c>
      <c r="J88" s="35">
        <f t="shared" si="13"/>
        <v>4</v>
      </c>
      <c r="K88" s="36">
        <f t="shared" si="11"/>
        <v>203994</v>
      </c>
      <c r="L88" s="36">
        <f t="shared" si="14"/>
        <v>22666</v>
      </c>
      <c r="M88" s="31" t="s">
        <v>221</v>
      </c>
      <c r="N88" s="5"/>
    </row>
    <row r="89" spans="2:14" ht="18.75" x14ac:dyDescent="0.3">
      <c r="B89" s="34">
        <v>84</v>
      </c>
      <c r="C89" s="31" t="s">
        <v>73</v>
      </c>
      <c r="D89" s="33">
        <v>150000</v>
      </c>
      <c r="E89" s="33">
        <v>19995</v>
      </c>
      <c r="F89" s="32">
        <f t="shared" si="12"/>
        <v>169995</v>
      </c>
      <c r="G89" s="34">
        <v>50</v>
      </c>
      <c r="H89" s="32">
        <v>3399.9</v>
      </c>
      <c r="I89" s="52">
        <v>26</v>
      </c>
      <c r="J89" s="35">
        <f t="shared" si="13"/>
        <v>24</v>
      </c>
      <c r="K89" s="32">
        <f>H89*I89</f>
        <v>88397.400000000009</v>
      </c>
      <c r="L89" s="33">
        <f t="shared" si="14"/>
        <v>81597.599999999991</v>
      </c>
      <c r="M89" s="31"/>
      <c r="N89" s="5"/>
    </row>
    <row r="90" spans="2:14" ht="18.75" x14ac:dyDescent="0.3">
      <c r="B90" s="34">
        <v>85</v>
      </c>
      <c r="C90" s="31" t="s">
        <v>75</v>
      </c>
      <c r="D90" s="33">
        <v>150000</v>
      </c>
      <c r="E90" s="33">
        <v>19995</v>
      </c>
      <c r="F90" s="32">
        <f t="shared" si="12"/>
        <v>169995</v>
      </c>
      <c r="G90" s="34">
        <v>50</v>
      </c>
      <c r="H90" s="32">
        <v>3399.9</v>
      </c>
      <c r="I90" s="52">
        <v>50</v>
      </c>
      <c r="J90" s="35">
        <f t="shared" si="13"/>
        <v>0</v>
      </c>
      <c r="K90" s="32">
        <f>I90*H90</f>
        <v>169995</v>
      </c>
      <c r="L90" s="33">
        <f t="shared" si="14"/>
        <v>0</v>
      </c>
      <c r="M90" s="31"/>
      <c r="N90" s="5"/>
    </row>
    <row r="91" spans="2:14" ht="18.75" x14ac:dyDescent="0.3">
      <c r="B91" s="34">
        <v>86</v>
      </c>
      <c r="C91" s="31" t="s">
        <v>76</v>
      </c>
      <c r="D91" s="33">
        <v>150000</v>
      </c>
      <c r="E91" s="33">
        <v>19995</v>
      </c>
      <c r="F91" s="32">
        <f t="shared" si="12"/>
        <v>169995</v>
      </c>
      <c r="G91" s="34">
        <v>50</v>
      </c>
      <c r="H91" s="32">
        <v>3399.9</v>
      </c>
      <c r="I91" s="52">
        <v>26</v>
      </c>
      <c r="J91" s="35">
        <f t="shared" si="13"/>
        <v>24</v>
      </c>
      <c r="K91" s="32">
        <f>H91*I91</f>
        <v>88397.400000000009</v>
      </c>
      <c r="L91" s="32">
        <f t="shared" si="14"/>
        <v>81597.599999999991</v>
      </c>
      <c r="M91" s="31"/>
      <c r="N91" s="5"/>
    </row>
    <row r="92" spans="2:14" ht="18.75" x14ac:dyDescent="0.3">
      <c r="B92" s="34">
        <v>87</v>
      </c>
      <c r="C92" s="31" t="s">
        <v>190</v>
      </c>
      <c r="D92" s="33">
        <v>150000</v>
      </c>
      <c r="E92" s="33">
        <v>19995</v>
      </c>
      <c r="F92" s="32">
        <f t="shared" si="12"/>
        <v>169995</v>
      </c>
      <c r="G92" s="34">
        <v>50</v>
      </c>
      <c r="H92" s="32">
        <v>3399.9</v>
      </c>
      <c r="I92" s="52">
        <v>41</v>
      </c>
      <c r="J92" s="35">
        <f t="shared" si="13"/>
        <v>9</v>
      </c>
      <c r="K92" s="32">
        <f>H92*I92</f>
        <v>139395.9</v>
      </c>
      <c r="L92" s="33">
        <f t="shared" si="14"/>
        <v>30599.100000000006</v>
      </c>
      <c r="M92" s="31"/>
      <c r="N92" s="5"/>
    </row>
    <row r="93" spans="2:14" ht="18.75" x14ac:dyDescent="0.3">
      <c r="B93" s="34">
        <v>88</v>
      </c>
      <c r="C93" s="31" t="s">
        <v>80</v>
      </c>
      <c r="D93" s="33">
        <v>150000</v>
      </c>
      <c r="E93" s="33">
        <v>19995</v>
      </c>
      <c r="F93" s="32">
        <f t="shared" si="12"/>
        <v>169995</v>
      </c>
      <c r="G93" s="34">
        <v>50</v>
      </c>
      <c r="H93" s="32">
        <v>3399.9</v>
      </c>
      <c r="I93" s="31">
        <v>50</v>
      </c>
      <c r="J93" s="35">
        <f t="shared" si="13"/>
        <v>0</v>
      </c>
      <c r="K93" s="33">
        <f>I93*H93</f>
        <v>169995</v>
      </c>
      <c r="L93" s="36">
        <f t="shared" si="14"/>
        <v>0</v>
      </c>
      <c r="M93" s="31"/>
      <c r="N93" s="5"/>
    </row>
    <row r="94" spans="2:14" ht="18.75" x14ac:dyDescent="0.3">
      <c r="B94" s="34">
        <v>89</v>
      </c>
      <c r="C94" s="31" t="s">
        <v>81</v>
      </c>
      <c r="D94" s="33">
        <v>150000</v>
      </c>
      <c r="E94" s="33">
        <v>19995</v>
      </c>
      <c r="F94" s="32">
        <f t="shared" si="12"/>
        <v>169995</v>
      </c>
      <c r="G94" s="34">
        <v>50</v>
      </c>
      <c r="H94" s="32">
        <v>3399.9</v>
      </c>
      <c r="I94" s="31">
        <v>26</v>
      </c>
      <c r="J94" s="35">
        <f t="shared" si="13"/>
        <v>24</v>
      </c>
      <c r="K94" s="36">
        <f t="shared" ref="K94:K115" si="15">H94*I94</f>
        <v>88397.400000000009</v>
      </c>
      <c r="L94" s="32">
        <f t="shared" si="14"/>
        <v>81597.599999999991</v>
      </c>
      <c r="M94" s="31"/>
      <c r="N94" s="5"/>
    </row>
    <row r="95" spans="2:14" ht="18.75" x14ac:dyDescent="0.3">
      <c r="B95" s="34">
        <v>90</v>
      </c>
      <c r="C95" s="31" t="s">
        <v>84</v>
      </c>
      <c r="D95" s="33">
        <v>150000</v>
      </c>
      <c r="E95" s="33">
        <v>19995</v>
      </c>
      <c r="F95" s="32">
        <f t="shared" si="12"/>
        <v>169995</v>
      </c>
      <c r="G95" s="34">
        <v>50</v>
      </c>
      <c r="H95" s="32">
        <v>3399.9</v>
      </c>
      <c r="I95" s="31">
        <v>26</v>
      </c>
      <c r="J95" s="35">
        <f t="shared" si="13"/>
        <v>24</v>
      </c>
      <c r="K95" s="36">
        <f t="shared" si="15"/>
        <v>88397.400000000009</v>
      </c>
      <c r="L95" s="32">
        <f t="shared" si="14"/>
        <v>81597.599999999991</v>
      </c>
      <c r="M95" s="31"/>
      <c r="N95" s="5"/>
    </row>
    <row r="96" spans="2:14" ht="18.75" x14ac:dyDescent="0.3">
      <c r="B96" s="34">
        <v>91</v>
      </c>
      <c r="C96" s="31" t="s">
        <v>86</v>
      </c>
      <c r="D96" s="33">
        <v>150000</v>
      </c>
      <c r="E96" s="33">
        <v>19995</v>
      </c>
      <c r="F96" s="32">
        <f t="shared" si="12"/>
        <v>169995</v>
      </c>
      <c r="G96" s="34">
        <v>50</v>
      </c>
      <c r="H96" s="32">
        <v>3399.9</v>
      </c>
      <c r="I96" s="31">
        <v>41</v>
      </c>
      <c r="J96" s="35">
        <f t="shared" si="13"/>
        <v>9</v>
      </c>
      <c r="K96" s="36">
        <f t="shared" si="15"/>
        <v>139395.9</v>
      </c>
      <c r="L96" s="32">
        <f t="shared" si="14"/>
        <v>30599.100000000006</v>
      </c>
      <c r="M96" s="31"/>
      <c r="N96" s="5"/>
    </row>
    <row r="97" spans="2:14" ht="18.75" x14ac:dyDescent="0.3">
      <c r="B97" s="34">
        <v>92</v>
      </c>
      <c r="C97" s="31" t="s">
        <v>87</v>
      </c>
      <c r="D97" s="33">
        <v>150000</v>
      </c>
      <c r="E97" s="33">
        <v>19995</v>
      </c>
      <c r="F97" s="32">
        <f t="shared" si="12"/>
        <v>169995</v>
      </c>
      <c r="G97" s="34">
        <v>50</v>
      </c>
      <c r="H97" s="32">
        <v>3399.9</v>
      </c>
      <c r="I97" s="31">
        <v>41</v>
      </c>
      <c r="J97" s="35">
        <f t="shared" si="13"/>
        <v>9</v>
      </c>
      <c r="K97" s="36">
        <f t="shared" si="15"/>
        <v>139395.9</v>
      </c>
      <c r="L97" s="32">
        <f t="shared" si="14"/>
        <v>30599.100000000006</v>
      </c>
      <c r="M97" s="31"/>
      <c r="N97" s="5"/>
    </row>
    <row r="98" spans="2:14" ht="18.75" x14ac:dyDescent="0.3">
      <c r="B98" s="34">
        <v>93</v>
      </c>
      <c r="C98" s="31" t="s">
        <v>89</v>
      </c>
      <c r="D98" s="33">
        <v>150000</v>
      </c>
      <c r="E98" s="33">
        <v>19995</v>
      </c>
      <c r="F98" s="32">
        <f t="shared" si="12"/>
        <v>169995</v>
      </c>
      <c r="G98" s="34">
        <v>50</v>
      </c>
      <c r="H98" s="32">
        <v>3399.9</v>
      </c>
      <c r="I98" s="31">
        <v>26</v>
      </c>
      <c r="J98" s="35">
        <f t="shared" si="13"/>
        <v>24</v>
      </c>
      <c r="K98" s="36">
        <f t="shared" si="15"/>
        <v>88397.400000000009</v>
      </c>
      <c r="L98" s="32">
        <f t="shared" si="14"/>
        <v>81597.599999999991</v>
      </c>
      <c r="M98" s="31"/>
      <c r="N98" s="5"/>
    </row>
    <row r="99" spans="2:14" ht="18.75" x14ac:dyDescent="0.3">
      <c r="B99" s="34">
        <v>94</v>
      </c>
      <c r="C99" s="31" t="s">
        <v>91</v>
      </c>
      <c r="D99" s="33">
        <v>150000</v>
      </c>
      <c r="E99" s="33">
        <v>19995</v>
      </c>
      <c r="F99" s="32">
        <f t="shared" si="12"/>
        <v>169995</v>
      </c>
      <c r="G99" s="34">
        <v>50</v>
      </c>
      <c r="H99" s="32">
        <v>3399.9</v>
      </c>
      <c r="I99" s="31">
        <v>41</v>
      </c>
      <c r="J99" s="35">
        <f t="shared" si="13"/>
        <v>9</v>
      </c>
      <c r="K99" s="36">
        <f t="shared" si="15"/>
        <v>139395.9</v>
      </c>
      <c r="L99" s="32">
        <f t="shared" si="14"/>
        <v>30599.100000000006</v>
      </c>
      <c r="M99" s="31"/>
      <c r="N99" s="5"/>
    </row>
    <row r="100" spans="2:14" ht="18.75" x14ac:dyDescent="0.3">
      <c r="B100" s="34">
        <v>95</v>
      </c>
      <c r="C100" s="31" t="s">
        <v>94</v>
      </c>
      <c r="D100" s="33">
        <v>150000</v>
      </c>
      <c r="E100" s="33">
        <v>19995</v>
      </c>
      <c r="F100" s="32">
        <f t="shared" si="12"/>
        <v>169995</v>
      </c>
      <c r="G100" s="34">
        <v>50</v>
      </c>
      <c r="H100" s="32">
        <v>3399.9</v>
      </c>
      <c r="I100" s="31">
        <v>26</v>
      </c>
      <c r="J100" s="35">
        <f t="shared" si="13"/>
        <v>24</v>
      </c>
      <c r="K100" s="36">
        <f t="shared" si="15"/>
        <v>88397.400000000009</v>
      </c>
      <c r="L100" s="32">
        <f t="shared" si="14"/>
        <v>81597.599999999991</v>
      </c>
      <c r="M100" s="31"/>
      <c r="N100" s="5"/>
    </row>
    <row r="101" spans="2:14" ht="18.75" x14ac:dyDescent="0.3">
      <c r="B101" s="34">
        <v>96</v>
      </c>
      <c r="C101" s="31" t="s">
        <v>224</v>
      </c>
      <c r="D101" s="33">
        <v>150000</v>
      </c>
      <c r="E101" s="33">
        <v>19995</v>
      </c>
      <c r="F101" s="32">
        <f t="shared" ref="F101:F132" si="16">D101+E101</f>
        <v>169995</v>
      </c>
      <c r="G101" s="34">
        <v>50</v>
      </c>
      <c r="H101" s="32">
        <v>3399.9</v>
      </c>
      <c r="I101" s="31">
        <v>41</v>
      </c>
      <c r="J101" s="35">
        <f t="shared" si="13"/>
        <v>9</v>
      </c>
      <c r="K101" s="36">
        <f t="shared" si="15"/>
        <v>139395.9</v>
      </c>
      <c r="L101" s="32">
        <f t="shared" si="14"/>
        <v>30599.100000000006</v>
      </c>
      <c r="M101" s="31"/>
      <c r="N101" s="5"/>
    </row>
    <row r="102" spans="2:14" ht="18.75" x14ac:dyDescent="0.3">
      <c r="B102" s="34">
        <v>97</v>
      </c>
      <c r="C102" s="31" t="s">
        <v>193</v>
      </c>
      <c r="D102" s="33">
        <v>150000</v>
      </c>
      <c r="E102" s="33">
        <v>19995</v>
      </c>
      <c r="F102" s="32">
        <f t="shared" si="16"/>
        <v>169995</v>
      </c>
      <c r="G102" s="34">
        <v>50</v>
      </c>
      <c r="H102" s="32">
        <v>3399.9</v>
      </c>
      <c r="I102" s="31">
        <v>26</v>
      </c>
      <c r="J102" s="35">
        <f t="shared" ref="J102:J133" si="17">G102-I102</f>
        <v>24</v>
      </c>
      <c r="K102" s="36">
        <f t="shared" si="15"/>
        <v>88397.400000000009</v>
      </c>
      <c r="L102" s="32">
        <f t="shared" ref="L102:L133" si="18">F102-K102</f>
        <v>81597.599999999991</v>
      </c>
      <c r="M102" s="31"/>
      <c r="N102" s="5"/>
    </row>
    <row r="103" spans="2:14" ht="18.75" x14ac:dyDescent="0.3">
      <c r="B103" s="34">
        <v>98</v>
      </c>
      <c r="C103" s="31" t="s">
        <v>101</v>
      </c>
      <c r="D103" s="33">
        <v>150000</v>
      </c>
      <c r="E103" s="33">
        <v>19995</v>
      </c>
      <c r="F103" s="32">
        <f t="shared" si="16"/>
        <v>169995</v>
      </c>
      <c r="G103" s="34">
        <v>50</v>
      </c>
      <c r="H103" s="32">
        <v>3399.9</v>
      </c>
      <c r="I103" s="31">
        <v>24</v>
      </c>
      <c r="J103" s="35">
        <f t="shared" si="17"/>
        <v>26</v>
      </c>
      <c r="K103" s="36">
        <f t="shared" si="15"/>
        <v>81597.600000000006</v>
      </c>
      <c r="L103" s="32">
        <f t="shared" si="18"/>
        <v>88397.4</v>
      </c>
      <c r="M103" s="31"/>
      <c r="N103" s="5"/>
    </row>
    <row r="104" spans="2:14" ht="18.75" x14ac:dyDescent="0.3">
      <c r="B104" s="34">
        <v>99</v>
      </c>
      <c r="C104" s="31" t="s">
        <v>102</v>
      </c>
      <c r="D104" s="33">
        <v>150000</v>
      </c>
      <c r="E104" s="33">
        <v>19995</v>
      </c>
      <c r="F104" s="32">
        <f t="shared" si="16"/>
        <v>169995</v>
      </c>
      <c r="G104" s="34">
        <v>50</v>
      </c>
      <c r="H104" s="32">
        <v>3399.9</v>
      </c>
      <c r="I104" s="31">
        <v>26</v>
      </c>
      <c r="J104" s="35">
        <f t="shared" si="17"/>
        <v>24</v>
      </c>
      <c r="K104" s="36">
        <f t="shared" si="15"/>
        <v>88397.400000000009</v>
      </c>
      <c r="L104" s="32">
        <f t="shared" si="18"/>
        <v>81597.599999999991</v>
      </c>
      <c r="M104" s="31"/>
      <c r="N104" s="5"/>
    </row>
    <row r="105" spans="2:14" ht="18.75" x14ac:dyDescent="0.3">
      <c r="B105" s="34">
        <v>100</v>
      </c>
      <c r="C105" s="31" t="s">
        <v>104</v>
      </c>
      <c r="D105" s="33">
        <v>150000</v>
      </c>
      <c r="E105" s="33">
        <v>19995</v>
      </c>
      <c r="F105" s="32">
        <f t="shared" si="16"/>
        <v>169995</v>
      </c>
      <c r="G105" s="34">
        <v>50</v>
      </c>
      <c r="H105" s="32">
        <v>3399.9</v>
      </c>
      <c r="I105" s="31">
        <v>41</v>
      </c>
      <c r="J105" s="35">
        <f t="shared" si="17"/>
        <v>9</v>
      </c>
      <c r="K105" s="36">
        <f t="shared" si="15"/>
        <v>139395.9</v>
      </c>
      <c r="L105" s="32">
        <f t="shared" si="18"/>
        <v>30599.100000000006</v>
      </c>
      <c r="M105" s="31"/>
      <c r="N105" s="5"/>
    </row>
    <row r="106" spans="2:14" ht="18.75" x14ac:dyDescent="0.3">
      <c r="B106" s="34">
        <v>101</v>
      </c>
      <c r="C106" s="31" t="s">
        <v>110</v>
      </c>
      <c r="D106" s="33">
        <v>150000</v>
      </c>
      <c r="E106" s="33">
        <v>19995</v>
      </c>
      <c r="F106" s="32">
        <f t="shared" si="16"/>
        <v>169995</v>
      </c>
      <c r="G106" s="34">
        <v>50</v>
      </c>
      <c r="H106" s="32">
        <v>3399.9</v>
      </c>
      <c r="I106" s="31">
        <v>26</v>
      </c>
      <c r="J106" s="35">
        <f t="shared" si="17"/>
        <v>24</v>
      </c>
      <c r="K106" s="36">
        <f t="shared" si="15"/>
        <v>88397.400000000009</v>
      </c>
      <c r="L106" s="32">
        <f t="shared" si="18"/>
        <v>81597.599999999991</v>
      </c>
      <c r="M106" s="31"/>
      <c r="N106" s="5"/>
    </row>
    <row r="107" spans="2:14" ht="18.75" x14ac:dyDescent="0.3">
      <c r="B107" s="34">
        <v>102</v>
      </c>
      <c r="C107" s="31" t="s">
        <v>225</v>
      </c>
      <c r="D107" s="33">
        <v>150000</v>
      </c>
      <c r="E107" s="33">
        <v>19995</v>
      </c>
      <c r="F107" s="32">
        <f t="shared" si="16"/>
        <v>169995</v>
      </c>
      <c r="G107" s="34">
        <v>50</v>
      </c>
      <c r="H107" s="32">
        <v>3399.9</v>
      </c>
      <c r="I107" s="31">
        <v>41</v>
      </c>
      <c r="J107" s="35">
        <f t="shared" si="17"/>
        <v>9</v>
      </c>
      <c r="K107" s="36">
        <f t="shared" si="15"/>
        <v>139395.9</v>
      </c>
      <c r="L107" s="32">
        <f t="shared" si="18"/>
        <v>30599.100000000006</v>
      </c>
      <c r="M107" s="31"/>
      <c r="N107" s="5"/>
    </row>
    <row r="108" spans="2:14" ht="18.75" x14ac:dyDescent="0.3">
      <c r="B108" s="34">
        <v>103</v>
      </c>
      <c r="C108" s="31" t="s">
        <v>113</v>
      </c>
      <c r="D108" s="33">
        <v>150000</v>
      </c>
      <c r="E108" s="33">
        <v>19995</v>
      </c>
      <c r="F108" s="32">
        <f t="shared" si="16"/>
        <v>169995</v>
      </c>
      <c r="G108" s="34">
        <v>50</v>
      </c>
      <c r="H108" s="32">
        <v>3399.9</v>
      </c>
      <c r="I108" s="31">
        <v>41</v>
      </c>
      <c r="J108" s="35">
        <f t="shared" si="17"/>
        <v>9</v>
      </c>
      <c r="K108" s="36">
        <f t="shared" si="15"/>
        <v>139395.9</v>
      </c>
      <c r="L108" s="32">
        <f t="shared" si="18"/>
        <v>30599.100000000006</v>
      </c>
      <c r="M108" s="31"/>
      <c r="N108" s="5"/>
    </row>
    <row r="109" spans="2:14" ht="18.75" x14ac:dyDescent="0.3">
      <c r="B109" s="34">
        <v>104</v>
      </c>
      <c r="C109" s="31" t="s">
        <v>114</v>
      </c>
      <c r="D109" s="33">
        <v>150000</v>
      </c>
      <c r="E109" s="33">
        <v>19995</v>
      </c>
      <c r="F109" s="32">
        <f t="shared" si="16"/>
        <v>169995</v>
      </c>
      <c r="G109" s="34">
        <v>50</v>
      </c>
      <c r="H109" s="32">
        <v>3399.9</v>
      </c>
      <c r="I109" s="31">
        <v>26</v>
      </c>
      <c r="J109" s="35">
        <f t="shared" si="17"/>
        <v>24</v>
      </c>
      <c r="K109" s="36">
        <f t="shared" si="15"/>
        <v>88397.400000000009</v>
      </c>
      <c r="L109" s="32">
        <f t="shared" si="18"/>
        <v>81597.599999999991</v>
      </c>
      <c r="M109" s="31"/>
      <c r="N109" s="5"/>
    </row>
    <row r="110" spans="2:14" ht="18.75" x14ac:dyDescent="0.3">
      <c r="B110" s="34">
        <v>105</v>
      </c>
      <c r="C110" s="31" t="s">
        <v>236</v>
      </c>
      <c r="D110" s="33">
        <v>150000</v>
      </c>
      <c r="E110" s="33">
        <v>19995</v>
      </c>
      <c r="F110" s="32">
        <f t="shared" si="16"/>
        <v>169995</v>
      </c>
      <c r="G110" s="34">
        <v>50</v>
      </c>
      <c r="H110" s="32">
        <v>3399.9</v>
      </c>
      <c r="I110" s="31">
        <v>26</v>
      </c>
      <c r="J110" s="35">
        <f t="shared" si="17"/>
        <v>24</v>
      </c>
      <c r="K110" s="36">
        <f t="shared" si="15"/>
        <v>88397.400000000009</v>
      </c>
      <c r="L110" s="32">
        <f t="shared" si="18"/>
        <v>81597.599999999991</v>
      </c>
      <c r="M110" s="31"/>
      <c r="N110" s="5"/>
    </row>
    <row r="111" spans="2:14" ht="18.75" x14ac:dyDescent="0.3">
      <c r="B111" s="34">
        <v>106</v>
      </c>
      <c r="C111" s="31" t="s">
        <v>117</v>
      </c>
      <c r="D111" s="33">
        <v>150000</v>
      </c>
      <c r="E111" s="33">
        <v>19995</v>
      </c>
      <c r="F111" s="32">
        <f t="shared" si="16"/>
        <v>169995</v>
      </c>
      <c r="G111" s="34">
        <v>50</v>
      </c>
      <c r="H111" s="32">
        <v>3399.9</v>
      </c>
      <c r="I111" s="31">
        <v>41</v>
      </c>
      <c r="J111" s="35">
        <f t="shared" si="17"/>
        <v>9</v>
      </c>
      <c r="K111" s="36">
        <f t="shared" si="15"/>
        <v>139395.9</v>
      </c>
      <c r="L111" s="32">
        <f t="shared" si="18"/>
        <v>30599.100000000006</v>
      </c>
      <c r="M111" s="31"/>
      <c r="N111" s="5"/>
    </row>
    <row r="112" spans="2:14" ht="18.75" x14ac:dyDescent="0.3">
      <c r="B112" s="34">
        <v>107</v>
      </c>
      <c r="C112" s="31" t="s">
        <v>155</v>
      </c>
      <c r="D112" s="33">
        <v>150000</v>
      </c>
      <c r="E112" s="33">
        <v>19995</v>
      </c>
      <c r="F112" s="32">
        <f t="shared" si="16"/>
        <v>169995</v>
      </c>
      <c r="G112" s="34">
        <v>50</v>
      </c>
      <c r="H112" s="32">
        <v>3399.9</v>
      </c>
      <c r="I112" s="31">
        <v>26</v>
      </c>
      <c r="J112" s="35">
        <f t="shared" si="17"/>
        <v>24</v>
      </c>
      <c r="K112" s="36">
        <f t="shared" si="15"/>
        <v>88397.400000000009</v>
      </c>
      <c r="L112" s="32">
        <f t="shared" si="18"/>
        <v>81597.599999999991</v>
      </c>
      <c r="M112" s="31"/>
      <c r="N112" s="5"/>
    </row>
    <row r="113" spans="2:14" ht="18.75" x14ac:dyDescent="0.3">
      <c r="B113" s="34">
        <v>108</v>
      </c>
      <c r="C113" s="31" t="s">
        <v>176</v>
      </c>
      <c r="D113" s="33">
        <v>150000</v>
      </c>
      <c r="E113" s="33">
        <v>19995</v>
      </c>
      <c r="F113" s="32">
        <f t="shared" si="16"/>
        <v>169995</v>
      </c>
      <c r="G113" s="34">
        <v>50</v>
      </c>
      <c r="H113" s="32">
        <v>3399.9</v>
      </c>
      <c r="I113" s="31">
        <v>41</v>
      </c>
      <c r="J113" s="35">
        <f t="shared" si="17"/>
        <v>9</v>
      </c>
      <c r="K113" s="36">
        <f t="shared" si="15"/>
        <v>139395.9</v>
      </c>
      <c r="L113" s="32">
        <f t="shared" si="18"/>
        <v>30599.100000000006</v>
      </c>
      <c r="M113" s="31"/>
      <c r="N113" s="5"/>
    </row>
    <row r="114" spans="2:14" ht="18.75" x14ac:dyDescent="0.3">
      <c r="B114" s="34">
        <v>109</v>
      </c>
      <c r="C114" s="31" t="s">
        <v>120</v>
      </c>
      <c r="D114" s="33">
        <v>150000</v>
      </c>
      <c r="E114" s="33">
        <v>19995</v>
      </c>
      <c r="F114" s="32">
        <f t="shared" si="16"/>
        <v>169995</v>
      </c>
      <c r="G114" s="34">
        <v>50</v>
      </c>
      <c r="H114" s="32">
        <v>3399.9</v>
      </c>
      <c r="I114" s="31">
        <v>26</v>
      </c>
      <c r="J114" s="35">
        <f t="shared" si="17"/>
        <v>24</v>
      </c>
      <c r="K114" s="36">
        <f t="shared" si="15"/>
        <v>88397.400000000009</v>
      </c>
      <c r="L114" s="32">
        <f t="shared" si="18"/>
        <v>81597.599999999991</v>
      </c>
      <c r="M114" s="31"/>
      <c r="N114" s="5"/>
    </row>
    <row r="115" spans="2:14" ht="18.75" x14ac:dyDescent="0.3">
      <c r="B115" s="34">
        <v>110</v>
      </c>
      <c r="C115" s="31" t="s">
        <v>197</v>
      </c>
      <c r="D115" s="33">
        <v>150000</v>
      </c>
      <c r="E115" s="33">
        <v>19995</v>
      </c>
      <c r="F115" s="32">
        <f t="shared" si="16"/>
        <v>169995</v>
      </c>
      <c r="G115" s="34">
        <v>50</v>
      </c>
      <c r="H115" s="32">
        <v>3399.9</v>
      </c>
      <c r="I115" s="31">
        <v>26</v>
      </c>
      <c r="J115" s="35">
        <f t="shared" si="17"/>
        <v>24</v>
      </c>
      <c r="K115" s="36">
        <f t="shared" si="15"/>
        <v>88397.400000000009</v>
      </c>
      <c r="L115" s="32">
        <f t="shared" si="18"/>
        <v>81597.599999999991</v>
      </c>
      <c r="M115" s="31"/>
      <c r="N115" s="5"/>
    </row>
    <row r="116" spans="2:14" ht="18.75" x14ac:dyDescent="0.3">
      <c r="B116" s="34">
        <v>111</v>
      </c>
      <c r="C116" s="31" t="s">
        <v>124</v>
      </c>
      <c r="D116" s="33">
        <v>150000</v>
      </c>
      <c r="E116" s="33">
        <v>19995</v>
      </c>
      <c r="F116" s="32">
        <f t="shared" si="16"/>
        <v>169995</v>
      </c>
      <c r="G116" s="34">
        <v>50</v>
      </c>
      <c r="H116" s="32">
        <v>3399.9</v>
      </c>
      <c r="I116" s="31">
        <v>26</v>
      </c>
      <c r="J116" s="35">
        <f t="shared" si="17"/>
        <v>24</v>
      </c>
      <c r="K116" s="36">
        <f>I116*H116</f>
        <v>88397.400000000009</v>
      </c>
      <c r="L116" s="32">
        <f t="shared" si="18"/>
        <v>81597.599999999991</v>
      </c>
      <c r="M116" s="31"/>
      <c r="N116" s="5"/>
    </row>
    <row r="117" spans="2:14" ht="18.75" x14ac:dyDescent="0.3">
      <c r="B117" s="34">
        <v>112</v>
      </c>
      <c r="C117" s="31" t="s">
        <v>126</v>
      </c>
      <c r="D117" s="33">
        <v>150000</v>
      </c>
      <c r="E117" s="33">
        <v>19995</v>
      </c>
      <c r="F117" s="32">
        <f t="shared" si="16"/>
        <v>169995</v>
      </c>
      <c r="G117" s="34">
        <v>50</v>
      </c>
      <c r="H117" s="32">
        <v>3399.9</v>
      </c>
      <c r="I117" s="31">
        <v>50</v>
      </c>
      <c r="J117" s="35">
        <f t="shared" si="17"/>
        <v>0</v>
      </c>
      <c r="K117" s="36">
        <f t="shared" ref="K117:K134" si="19">H117*I117</f>
        <v>169995</v>
      </c>
      <c r="L117" s="32">
        <f t="shared" si="18"/>
        <v>0</v>
      </c>
      <c r="M117" s="31"/>
      <c r="N117" s="5"/>
    </row>
    <row r="118" spans="2:14" ht="18.75" x14ac:dyDescent="0.3">
      <c r="B118" s="34">
        <v>113</v>
      </c>
      <c r="C118" s="31" t="s">
        <v>127</v>
      </c>
      <c r="D118" s="33">
        <v>150000</v>
      </c>
      <c r="E118" s="33">
        <v>19995</v>
      </c>
      <c r="F118" s="32">
        <f t="shared" si="16"/>
        <v>169995</v>
      </c>
      <c r="G118" s="34">
        <v>50</v>
      </c>
      <c r="H118" s="32">
        <v>3399.9</v>
      </c>
      <c r="I118" s="31">
        <v>41</v>
      </c>
      <c r="J118" s="35">
        <f t="shared" si="17"/>
        <v>9</v>
      </c>
      <c r="K118" s="36">
        <f t="shared" si="19"/>
        <v>139395.9</v>
      </c>
      <c r="L118" s="32">
        <f t="shared" si="18"/>
        <v>30599.100000000006</v>
      </c>
      <c r="M118" s="31"/>
      <c r="N118" s="5"/>
    </row>
    <row r="119" spans="2:14" ht="18.75" x14ac:dyDescent="0.3">
      <c r="B119" s="34">
        <v>114</v>
      </c>
      <c r="C119" s="31" t="s">
        <v>200</v>
      </c>
      <c r="D119" s="33">
        <v>150000</v>
      </c>
      <c r="E119" s="33">
        <v>19995</v>
      </c>
      <c r="F119" s="32">
        <f t="shared" si="16"/>
        <v>169995</v>
      </c>
      <c r="G119" s="34">
        <v>50</v>
      </c>
      <c r="H119" s="32">
        <v>3399.9</v>
      </c>
      <c r="I119" s="31">
        <v>41</v>
      </c>
      <c r="J119" s="35">
        <f t="shared" si="17"/>
        <v>9</v>
      </c>
      <c r="K119" s="36">
        <f t="shared" si="19"/>
        <v>139395.9</v>
      </c>
      <c r="L119" s="32">
        <f t="shared" si="18"/>
        <v>30599.100000000006</v>
      </c>
      <c r="M119" s="31"/>
      <c r="N119" s="5"/>
    </row>
    <row r="120" spans="2:14" ht="18.75" x14ac:dyDescent="0.3">
      <c r="B120" s="34">
        <v>115</v>
      </c>
      <c r="C120" s="31" t="s">
        <v>199</v>
      </c>
      <c r="D120" s="33">
        <v>150000</v>
      </c>
      <c r="E120" s="33">
        <v>19995</v>
      </c>
      <c r="F120" s="32">
        <f t="shared" si="16"/>
        <v>169995</v>
      </c>
      <c r="G120" s="34">
        <v>50</v>
      </c>
      <c r="H120" s="32">
        <v>3399.9</v>
      </c>
      <c r="I120" s="31">
        <v>41</v>
      </c>
      <c r="J120" s="35">
        <f t="shared" si="17"/>
        <v>9</v>
      </c>
      <c r="K120" s="36">
        <f t="shared" si="19"/>
        <v>139395.9</v>
      </c>
      <c r="L120" s="32">
        <f t="shared" si="18"/>
        <v>30599.100000000006</v>
      </c>
      <c r="M120" s="31"/>
      <c r="N120" s="5"/>
    </row>
    <row r="121" spans="2:14" ht="18.75" x14ac:dyDescent="0.3">
      <c r="B121" s="34">
        <v>116</v>
      </c>
      <c r="C121" s="31" t="s">
        <v>129</v>
      </c>
      <c r="D121" s="33">
        <v>150000</v>
      </c>
      <c r="E121" s="33">
        <v>19995</v>
      </c>
      <c r="F121" s="32">
        <f t="shared" si="16"/>
        <v>169995</v>
      </c>
      <c r="G121" s="34">
        <v>50</v>
      </c>
      <c r="H121" s="32">
        <v>3399.9</v>
      </c>
      <c r="I121" s="31">
        <v>24</v>
      </c>
      <c r="J121" s="35">
        <f t="shared" si="17"/>
        <v>26</v>
      </c>
      <c r="K121" s="36">
        <f t="shared" si="19"/>
        <v>81597.600000000006</v>
      </c>
      <c r="L121" s="32">
        <f t="shared" si="18"/>
        <v>88397.4</v>
      </c>
      <c r="M121" s="31"/>
      <c r="N121" s="5"/>
    </row>
    <row r="122" spans="2:14" ht="18.75" x14ac:dyDescent="0.3">
      <c r="B122" s="34">
        <v>117</v>
      </c>
      <c r="C122" s="31" t="s">
        <v>130</v>
      </c>
      <c r="D122" s="33">
        <v>150000</v>
      </c>
      <c r="E122" s="33">
        <v>19995</v>
      </c>
      <c r="F122" s="32">
        <f t="shared" si="16"/>
        <v>169995</v>
      </c>
      <c r="G122" s="34">
        <v>50</v>
      </c>
      <c r="H122" s="32">
        <v>3399.9</v>
      </c>
      <c r="I122" s="31">
        <v>26</v>
      </c>
      <c r="J122" s="35">
        <f t="shared" si="17"/>
        <v>24</v>
      </c>
      <c r="K122" s="36">
        <f t="shared" si="19"/>
        <v>88397.400000000009</v>
      </c>
      <c r="L122" s="32">
        <f t="shared" si="18"/>
        <v>81597.599999999991</v>
      </c>
      <c r="M122" s="31"/>
      <c r="N122" s="5"/>
    </row>
    <row r="123" spans="2:14" ht="18.75" x14ac:dyDescent="0.3">
      <c r="B123" s="34">
        <v>118</v>
      </c>
      <c r="C123" s="31" t="s">
        <v>131</v>
      </c>
      <c r="D123" s="33">
        <v>150000</v>
      </c>
      <c r="E123" s="33">
        <v>19995</v>
      </c>
      <c r="F123" s="32">
        <f t="shared" si="16"/>
        <v>169995</v>
      </c>
      <c r="G123" s="34">
        <v>50</v>
      </c>
      <c r="H123" s="32">
        <v>3399.9</v>
      </c>
      <c r="I123" s="31">
        <v>26</v>
      </c>
      <c r="J123" s="35">
        <f t="shared" si="17"/>
        <v>24</v>
      </c>
      <c r="K123" s="36">
        <f t="shared" si="19"/>
        <v>88397.400000000009</v>
      </c>
      <c r="L123" s="32">
        <f t="shared" si="18"/>
        <v>81597.599999999991</v>
      </c>
      <c r="M123" s="31"/>
      <c r="N123" s="5"/>
    </row>
    <row r="124" spans="2:14" ht="18.75" x14ac:dyDescent="0.3">
      <c r="B124" s="34">
        <v>119</v>
      </c>
      <c r="C124" s="31" t="s">
        <v>201</v>
      </c>
      <c r="D124" s="33">
        <v>150000</v>
      </c>
      <c r="E124" s="33">
        <v>19995</v>
      </c>
      <c r="F124" s="32">
        <f t="shared" si="16"/>
        <v>169995</v>
      </c>
      <c r="G124" s="34">
        <v>50</v>
      </c>
      <c r="H124" s="32">
        <v>3399.9</v>
      </c>
      <c r="I124" s="31">
        <v>26</v>
      </c>
      <c r="J124" s="35">
        <f t="shared" si="17"/>
        <v>24</v>
      </c>
      <c r="K124" s="36">
        <f t="shared" si="19"/>
        <v>88397.400000000009</v>
      </c>
      <c r="L124" s="32">
        <f t="shared" si="18"/>
        <v>81597.599999999991</v>
      </c>
      <c r="M124" s="31"/>
      <c r="N124" s="5"/>
    </row>
    <row r="125" spans="2:14" ht="18.75" x14ac:dyDescent="0.3">
      <c r="B125" s="34">
        <v>120</v>
      </c>
      <c r="C125" s="31" t="s">
        <v>202</v>
      </c>
      <c r="D125" s="33">
        <v>150000</v>
      </c>
      <c r="E125" s="33">
        <v>19995</v>
      </c>
      <c r="F125" s="32">
        <f t="shared" si="16"/>
        <v>169995</v>
      </c>
      <c r="G125" s="34">
        <v>50</v>
      </c>
      <c r="H125" s="32">
        <v>3399.9</v>
      </c>
      <c r="I125" s="31">
        <v>51</v>
      </c>
      <c r="J125" s="35">
        <f t="shared" si="17"/>
        <v>-1</v>
      </c>
      <c r="K125" s="36">
        <f t="shared" si="19"/>
        <v>173394.9</v>
      </c>
      <c r="L125" s="32">
        <f t="shared" si="18"/>
        <v>-3399.8999999999942</v>
      </c>
      <c r="M125" s="31"/>
      <c r="N125" s="5"/>
    </row>
    <row r="126" spans="2:14" ht="18.75" x14ac:dyDescent="0.3">
      <c r="B126" s="34">
        <v>121</v>
      </c>
      <c r="C126" s="31" t="s">
        <v>223</v>
      </c>
      <c r="D126" s="33">
        <v>150000</v>
      </c>
      <c r="E126" s="33">
        <v>19995</v>
      </c>
      <c r="F126" s="32">
        <f t="shared" si="16"/>
        <v>169995</v>
      </c>
      <c r="G126" s="34">
        <v>50</v>
      </c>
      <c r="H126" s="32">
        <v>3399.9</v>
      </c>
      <c r="I126" s="31">
        <v>50</v>
      </c>
      <c r="J126" s="35">
        <f t="shared" si="17"/>
        <v>0</v>
      </c>
      <c r="K126" s="36">
        <f t="shared" si="19"/>
        <v>169995</v>
      </c>
      <c r="L126" s="32">
        <f t="shared" si="18"/>
        <v>0</v>
      </c>
      <c r="M126" s="31"/>
      <c r="N126" s="5"/>
    </row>
    <row r="127" spans="2:14" ht="18.75" x14ac:dyDescent="0.3">
      <c r="B127" s="34">
        <v>122</v>
      </c>
      <c r="C127" s="31" t="s">
        <v>133</v>
      </c>
      <c r="D127" s="33">
        <v>150000</v>
      </c>
      <c r="E127" s="33">
        <v>19995</v>
      </c>
      <c r="F127" s="32">
        <f t="shared" si="16"/>
        <v>169995</v>
      </c>
      <c r="G127" s="34">
        <v>50</v>
      </c>
      <c r="H127" s="32">
        <v>3399.9</v>
      </c>
      <c r="I127" s="31">
        <v>26</v>
      </c>
      <c r="J127" s="35">
        <f t="shared" si="17"/>
        <v>24</v>
      </c>
      <c r="K127" s="36">
        <f t="shared" si="19"/>
        <v>88397.400000000009</v>
      </c>
      <c r="L127" s="32">
        <f t="shared" si="18"/>
        <v>81597.599999999991</v>
      </c>
      <c r="M127" s="31"/>
      <c r="N127" s="5"/>
    </row>
    <row r="128" spans="2:14" ht="18.75" x14ac:dyDescent="0.3">
      <c r="B128" s="34">
        <v>123</v>
      </c>
      <c r="C128" s="31" t="s">
        <v>134</v>
      </c>
      <c r="D128" s="33">
        <v>150000</v>
      </c>
      <c r="E128" s="33">
        <v>19995</v>
      </c>
      <c r="F128" s="32">
        <f t="shared" si="16"/>
        <v>169995</v>
      </c>
      <c r="G128" s="34">
        <v>50</v>
      </c>
      <c r="H128" s="32">
        <v>3399.9</v>
      </c>
      <c r="I128" s="31">
        <v>41</v>
      </c>
      <c r="J128" s="35">
        <f t="shared" si="17"/>
        <v>9</v>
      </c>
      <c r="K128" s="36">
        <f t="shared" si="19"/>
        <v>139395.9</v>
      </c>
      <c r="L128" s="32">
        <f t="shared" si="18"/>
        <v>30599.100000000006</v>
      </c>
      <c r="M128" s="31"/>
      <c r="N128" s="5"/>
    </row>
    <row r="129" spans="2:14" ht="18.75" x14ac:dyDescent="0.3">
      <c r="B129" s="34">
        <v>124</v>
      </c>
      <c r="C129" s="31" t="s">
        <v>203</v>
      </c>
      <c r="D129" s="33">
        <v>150000</v>
      </c>
      <c r="E129" s="33">
        <v>19995</v>
      </c>
      <c r="F129" s="32">
        <f t="shared" si="16"/>
        <v>169995</v>
      </c>
      <c r="G129" s="34">
        <v>50</v>
      </c>
      <c r="H129" s="32">
        <v>3399.9</v>
      </c>
      <c r="I129" s="31">
        <v>41</v>
      </c>
      <c r="J129" s="35">
        <f t="shared" si="17"/>
        <v>9</v>
      </c>
      <c r="K129" s="36">
        <f t="shared" si="19"/>
        <v>139395.9</v>
      </c>
      <c r="L129" s="32">
        <f t="shared" si="18"/>
        <v>30599.100000000006</v>
      </c>
      <c r="M129" s="31"/>
      <c r="N129" s="5"/>
    </row>
    <row r="130" spans="2:14" ht="18.75" x14ac:dyDescent="0.3">
      <c r="B130" s="34">
        <v>125</v>
      </c>
      <c r="C130" s="31" t="s">
        <v>136</v>
      </c>
      <c r="D130" s="33">
        <v>150000</v>
      </c>
      <c r="E130" s="33">
        <v>19995</v>
      </c>
      <c r="F130" s="32">
        <f t="shared" si="16"/>
        <v>169995</v>
      </c>
      <c r="G130" s="34">
        <v>50</v>
      </c>
      <c r="H130" s="32">
        <v>3399.9</v>
      </c>
      <c r="I130" s="31">
        <v>41</v>
      </c>
      <c r="J130" s="35">
        <f t="shared" si="17"/>
        <v>9</v>
      </c>
      <c r="K130" s="36">
        <f t="shared" si="19"/>
        <v>139395.9</v>
      </c>
      <c r="L130" s="32">
        <f t="shared" si="18"/>
        <v>30599.100000000006</v>
      </c>
      <c r="M130" s="31"/>
      <c r="N130" s="5"/>
    </row>
    <row r="131" spans="2:14" ht="18.75" x14ac:dyDescent="0.3">
      <c r="B131" s="34">
        <v>126</v>
      </c>
      <c r="C131" s="31" t="s">
        <v>137</v>
      </c>
      <c r="D131" s="33">
        <v>150000</v>
      </c>
      <c r="E131" s="33">
        <v>19995</v>
      </c>
      <c r="F131" s="32">
        <f t="shared" si="16"/>
        <v>169995</v>
      </c>
      <c r="G131" s="34">
        <v>50</v>
      </c>
      <c r="H131" s="32">
        <v>3399.9</v>
      </c>
      <c r="I131" s="31">
        <v>26</v>
      </c>
      <c r="J131" s="35">
        <f t="shared" si="17"/>
        <v>24</v>
      </c>
      <c r="K131" s="36">
        <f t="shared" si="19"/>
        <v>88397.400000000009</v>
      </c>
      <c r="L131" s="32">
        <f t="shared" si="18"/>
        <v>81597.599999999991</v>
      </c>
      <c r="M131" s="31"/>
      <c r="N131" s="5"/>
    </row>
    <row r="132" spans="2:14" ht="18.75" x14ac:dyDescent="0.3">
      <c r="B132" s="34">
        <v>127</v>
      </c>
      <c r="C132" s="31" t="s">
        <v>230</v>
      </c>
      <c r="D132" s="33">
        <v>150000</v>
      </c>
      <c r="E132" s="33">
        <v>19995</v>
      </c>
      <c r="F132" s="32">
        <f t="shared" si="16"/>
        <v>169995</v>
      </c>
      <c r="G132" s="34">
        <v>50</v>
      </c>
      <c r="H132" s="32">
        <v>3399.9</v>
      </c>
      <c r="I132" s="31">
        <v>31</v>
      </c>
      <c r="J132" s="35">
        <f t="shared" si="17"/>
        <v>19</v>
      </c>
      <c r="K132" s="36">
        <f t="shared" si="19"/>
        <v>105396.90000000001</v>
      </c>
      <c r="L132" s="32">
        <f t="shared" si="18"/>
        <v>64598.099999999991</v>
      </c>
      <c r="M132" s="31"/>
      <c r="N132" s="5"/>
    </row>
    <row r="133" spans="2:14" ht="18.75" x14ac:dyDescent="0.3">
      <c r="B133" s="34">
        <v>128</v>
      </c>
      <c r="C133" s="31" t="s">
        <v>139</v>
      </c>
      <c r="D133" s="33">
        <v>150000</v>
      </c>
      <c r="E133" s="33">
        <v>19995</v>
      </c>
      <c r="F133" s="32">
        <f t="shared" ref="F133:F158" si="20">D133+E133</f>
        <v>169995</v>
      </c>
      <c r="G133" s="34">
        <v>50</v>
      </c>
      <c r="H133" s="32">
        <v>3399.9</v>
      </c>
      <c r="I133" s="31">
        <v>26</v>
      </c>
      <c r="J133" s="35">
        <f t="shared" si="17"/>
        <v>24</v>
      </c>
      <c r="K133" s="36">
        <f t="shared" si="19"/>
        <v>88397.400000000009</v>
      </c>
      <c r="L133" s="32">
        <f t="shared" si="18"/>
        <v>81597.599999999991</v>
      </c>
      <c r="M133" s="31"/>
      <c r="N133" s="5"/>
    </row>
    <row r="134" spans="2:14" ht="18.75" x14ac:dyDescent="0.3">
      <c r="B134" s="34">
        <v>129</v>
      </c>
      <c r="C134" s="31" t="s">
        <v>229</v>
      </c>
      <c r="D134" s="33">
        <v>150000</v>
      </c>
      <c r="E134" s="33">
        <v>19995</v>
      </c>
      <c r="F134" s="32">
        <f t="shared" si="20"/>
        <v>169995</v>
      </c>
      <c r="G134" s="34">
        <v>50</v>
      </c>
      <c r="H134" s="32">
        <v>3399.9</v>
      </c>
      <c r="I134" s="31">
        <v>21</v>
      </c>
      <c r="J134" s="35">
        <f t="shared" ref="J134:J158" si="21">G134-I134</f>
        <v>29</v>
      </c>
      <c r="K134" s="36">
        <f t="shared" si="19"/>
        <v>71397.900000000009</v>
      </c>
      <c r="L134" s="36">
        <f t="shared" ref="L134" si="22">F134-K134</f>
        <v>98597.099999999991</v>
      </c>
      <c r="M134" s="31"/>
      <c r="N134" s="5"/>
    </row>
    <row r="135" spans="2:14" ht="18.75" x14ac:dyDescent="0.3">
      <c r="B135" s="34">
        <v>130</v>
      </c>
      <c r="C135" s="31" t="s">
        <v>207</v>
      </c>
      <c r="D135" s="33">
        <v>150000</v>
      </c>
      <c r="E135" s="33">
        <v>19995</v>
      </c>
      <c r="F135" s="32">
        <f t="shared" si="20"/>
        <v>169995</v>
      </c>
      <c r="G135" s="34">
        <v>50</v>
      </c>
      <c r="H135" s="32">
        <v>3399.9</v>
      </c>
      <c r="I135" s="31">
        <v>21</v>
      </c>
      <c r="J135" s="35">
        <f t="shared" si="21"/>
        <v>29</v>
      </c>
      <c r="K135" s="36">
        <f t="shared" ref="K135:K158" si="23">I135*H135</f>
        <v>71397.900000000009</v>
      </c>
      <c r="L135" s="36">
        <f>F135-H135</f>
        <v>166595.1</v>
      </c>
      <c r="M135" s="31"/>
      <c r="N135" s="5"/>
    </row>
    <row r="136" spans="2:14" ht="18.75" x14ac:dyDescent="0.3">
      <c r="B136" s="34">
        <v>131</v>
      </c>
      <c r="C136" s="50" t="s">
        <v>147</v>
      </c>
      <c r="D136" s="33">
        <v>150000</v>
      </c>
      <c r="E136" s="33">
        <v>19995</v>
      </c>
      <c r="F136" s="32">
        <f t="shared" si="20"/>
        <v>169995</v>
      </c>
      <c r="G136" s="34">
        <v>50</v>
      </c>
      <c r="H136" s="32">
        <v>3399.9</v>
      </c>
      <c r="I136" s="50">
        <v>15</v>
      </c>
      <c r="J136" s="35">
        <f t="shared" si="21"/>
        <v>35</v>
      </c>
      <c r="K136" s="36">
        <f t="shared" si="23"/>
        <v>50998.5</v>
      </c>
      <c r="L136" s="36">
        <f t="shared" ref="L136:L158" si="24">F136-K136</f>
        <v>118996.5</v>
      </c>
      <c r="M136" s="31"/>
      <c r="N136" s="5"/>
    </row>
    <row r="137" spans="2:14" ht="18.75" x14ac:dyDescent="0.3">
      <c r="B137" s="34">
        <v>132</v>
      </c>
      <c r="C137" s="50" t="s">
        <v>151</v>
      </c>
      <c r="D137" s="33">
        <v>150000</v>
      </c>
      <c r="E137" s="33">
        <v>19995</v>
      </c>
      <c r="F137" s="32">
        <f t="shared" si="20"/>
        <v>169995</v>
      </c>
      <c r="G137" s="34">
        <v>50</v>
      </c>
      <c r="H137" s="32">
        <v>3399.9</v>
      </c>
      <c r="I137" s="50">
        <v>15</v>
      </c>
      <c r="J137" s="35">
        <f t="shared" si="21"/>
        <v>35</v>
      </c>
      <c r="K137" s="36">
        <f t="shared" si="23"/>
        <v>50998.5</v>
      </c>
      <c r="L137" s="36">
        <f t="shared" si="24"/>
        <v>118996.5</v>
      </c>
      <c r="M137" s="31"/>
      <c r="N137" s="5"/>
    </row>
    <row r="138" spans="2:14" ht="18.75" x14ac:dyDescent="0.3">
      <c r="B138" s="34">
        <v>133</v>
      </c>
      <c r="C138" s="50" t="s">
        <v>152</v>
      </c>
      <c r="D138" s="33">
        <v>150000</v>
      </c>
      <c r="E138" s="33">
        <v>19995</v>
      </c>
      <c r="F138" s="32">
        <f t="shared" si="20"/>
        <v>169995</v>
      </c>
      <c r="G138" s="34">
        <v>50</v>
      </c>
      <c r="H138" s="32">
        <v>3399.9</v>
      </c>
      <c r="I138" s="50">
        <v>15</v>
      </c>
      <c r="J138" s="35">
        <f t="shared" si="21"/>
        <v>35</v>
      </c>
      <c r="K138" s="36">
        <f t="shared" si="23"/>
        <v>50998.5</v>
      </c>
      <c r="L138" s="36">
        <f t="shared" si="24"/>
        <v>118996.5</v>
      </c>
      <c r="M138" s="31"/>
      <c r="N138" s="5"/>
    </row>
    <row r="139" spans="2:14" ht="18.75" x14ac:dyDescent="0.3">
      <c r="B139" s="34">
        <v>134</v>
      </c>
      <c r="C139" s="50" t="s">
        <v>153</v>
      </c>
      <c r="D139" s="33">
        <v>150000</v>
      </c>
      <c r="E139" s="33">
        <v>19995</v>
      </c>
      <c r="F139" s="32">
        <f t="shared" si="20"/>
        <v>169995</v>
      </c>
      <c r="G139" s="34">
        <v>50</v>
      </c>
      <c r="H139" s="32">
        <v>3399.9</v>
      </c>
      <c r="I139" s="50">
        <v>15</v>
      </c>
      <c r="J139" s="35">
        <f t="shared" si="21"/>
        <v>35</v>
      </c>
      <c r="K139" s="36">
        <f t="shared" si="23"/>
        <v>50998.5</v>
      </c>
      <c r="L139" s="36">
        <f t="shared" si="24"/>
        <v>118996.5</v>
      </c>
      <c r="M139" s="31"/>
      <c r="N139" s="5"/>
    </row>
    <row r="140" spans="2:14" ht="18.75" x14ac:dyDescent="0.3">
      <c r="B140" s="34">
        <v>135</v>
      </c>
      <c r="C140" s="50" t="s">
        <v>216</v>
      </c>
      <c r="D140" s="33">
        <v>150000</v>
      </c>
      <c r="E140" s="33">
        <v>19995</v>
      </c>
      <c r="F140" s="32">
        <f t="shared" si="20"/>
        <v>169995</v>
      </c>
      <c r="G140" s="34">
        <v>50</v>
      </c>
      <c r="H140" s="32">
        <v>3399.9</v>
      </c>
      <c r="I140" s="50">
        <v>7</v>
      </c>
      <c r="J140" s="35">
        <f t="shared" si="21"/>
        <v>43</v>
      </c>
      <c r="K140" s="36">
        <f t="shared" si="23"/>
        <v>23799.3</v>
      </c>
      <c r="L140" s="36">
        <f t="shared" si="24"/>
        <v>146195.70000000001</v>
      </c>
      <c r="M140" s="31"/>
      <c r="N140" s="5"/>
    </row>
    <row r="141" spans="2:14" ht="18.75" x14ac:dyDescent="0.3">
      <c r="B141" s="34">
        <v>136</v>
      </c>
      <c r="C141" s="50" t="s">
        <v>213</v>
      </c>
      <c r="D141" s="33">
        <v>150000</v>
      </c>
      <c r="E141" s="33">
        <v>19995</v>
      </c>
      <c r="F141" s="32">
        <f t="shared" si="20"/>
        <v>169995</v>
      </c>
      <c r="G141" s="34">
        <v>50</v>
      </c>
      <c r="H141" s="32">
        <v>3399.9</v>
      </c>
      <c r="I141" s="50">
        <v>7</v>
      </c>
      <c r="J141" s="35">
        <f t="shared" si="21"/>
        <v>43</v>
      </c>
      <c r="K141" s="36">
        <f t="shared" si="23"/>
        <v>23799.3</v>
      </c>
      <c r="L141" s="36">
        <f t="shared" si="24"/>
        <v>146195.70000000001</v>
      </c>
      <c r="M141" s="31"/>
      <c r="N141" s="5"/>
    </row>
    <row r="142" spans="2:14" ht="18.75" x14ac:dyDescent="0.3">
      <c r="B142" s="34">
        <v>137</v>
      </c>
      <c r="C142" s="50" t="s">
        <v>23</v>
      </c>
      <c r="D142" s="33">
        <v>150000</v>
      </c>
      <c r="E142" s="33">
        <v>19995</v>
      </c>
      <c r="F142" s="32">
        <f t="shared" si="20"/>
        <v>169995</v>
      </c>
      <c r="G142" s="34">
        <v>50</v>
      </c>
      <c r="H142" s="32">
        <v>3399.9</v>
      </c>
      <c r="I142" s="50">
        <v>7</v>
      </c>
      <c r="J142" s="35">
        <f t="shared" si="21"/>
        <v>43</v>
      </c>
      <c r="K142" s="36">
        <f t="shared" si="23"/>
        <v>23799.3</v>
      </c>
      <c r="L142" s="36">
        <f t="shared" si="24"/>
        <v>146195.70000000001</v>
      </c>
      <c r="M142" s="31"/>
      <c r="N142" s="5"/>
    </row>
    <row r="143" spans="2:14" ht="18.75" x14ac:dyDescent="0.3">
      <c r="B143" s="34">
        <v>138</v>
      </c>
      <c r="C143" s="50" t="s">
        <v>24</v>
      </c>
      <c r="D143" s="33">
        <v>150000</v>
      </c>
      <c r="E143" s="33">
        <v>19995</v>
      </c>
      <c r="F143" s="32">
        <f t="shared" si="20"/>
        <v>169995</v>
      </c>
      <c r="G143" s="34">
        <v>50</v>
      </c>
      <c r="H143" s="32">
        <v>3399.9</v>
      </c>
      <c r="I143" s="50">
        <v>7</v>
      </c>
      <c r="J143" s="35">
        <f t="shared" si="21"/>
        <v>43</v>
      </c>
      <c r="K143" s="36">
        <f t="shared" si="23"/>
        <v>23799.3</v>
      </c>
      <c r="L143" s="36">
        <f t="shared" si="24"/>
        <v>146195.70000000001</v>
      </c>
      <c r="M143" s="31"/>
      <c r="N143" s="5"/>
    </row>
    <row r="144" spans="2:14" ht="18.75" x14ac:dyDescent="0.3">
      <c r="B144" s="34">
        <v>139</v>
      </c>
      <c r="C144" s="50" t="s">
        <v>27</v>
      </c>
      <c r="D144" s="33">
        <v>150000</v>
      </c>
      <c r="E144" s="33">
        <v>19995</v>
      </c>
      <c r="F144" s="32">
        <f t="shared" si="20"/>
        <v>169995</v>
      </c>
      <c r="G144" s="34">
        <v>50</v>
      </c>
      <c r="H144" s="32">
        <v>3399.9</v>
      </c>
      <c r="I144" s="50">
        <v>5</v>
      </c>
      <c r="J144" s="35">
        <f t="shared" si="21"/>
        <v>45</v>
      </c>
      <c r="K144" s="36">
        <f t="shared" si="23"/>
        <v>16999.5</v>
      </c>
      <c r="L144" s="36">
        <f t="shared" si="24"/>
        <v>152995.5</v>
      </c>
      <c r="M144" s="31"/>
      <c r="N144" s="5"/>
    </row>
    <row r="145" spans="2:14" ht="18.75" x14ac:dyDescent="0.3">
      <c r="B145" s="34">
        <v>140</v>
      </c>
      <c r="C145" s="29" t="s">
        <v>32</v>
      </c>
      <c r="D145" s="33">
        <v>150000</v>
      </c>
      <c r="E145" s="33">
        <v>19995</v>
      </c>
      <c r="F145" s="32">
        <f t="shared" si="20"/>
        <v>169995</v>
      </c>
      <c r="G145" s="34">
        <v>50</v>
      </c>
      <c r="H145" s="32">
        <v>3399.9</v>
      </c>
      <c r="I145" s="50">
        <v>5</v>
      </c>
      <c r="J145" s="35">
        <f t="shared" si="21"/>
        <v>45</v>
      </c>
      <c r="K145" s="36">
        <f t="shared" si="23"/>
        <v>16999.5</v>
      </c>
      <c r="L145" s="36">
        <f t="shared" si="24"/>
        <v>152995.5</v>
      </c>
      <c r="M145" s="31"/>
      <c r="N145" s="5"/>
    </row>
    <row r="146" spans="2:14" ht="18.75" x14ac:dyDescent="0.3">
      <c r="B146" s="34">
        <v>141</v>
      </c>
      <c r="C146" s="29" t="s">
        <v>33</v>
      </c>
      <c r="D146" s="33">
        <v>150000</v>
      </c>
      <c r="E146" s="33">
        <v>19995</v>
      </c>
      <c r="F146" s="32">
        <f t="shared" si="20"/>
        <v>169995</v>
      </c>
      <c r="G146" s="34">
        <v>50</v>
      </c>
      <c r="H146" s="32">
        <v>3399.9</v>
      </c>
      <c r="I146" s="50">
        <v>5</v>
      </c>
      <c r="J146" s="35">
        <f t="shared" si="21"/>
        <v>45</v>
      </c>
      <c r="K146" s="36">
        <f t="shared" si="23"/>
        <v>16999.5</v>
      </c>
      <c r="L146" s="36">
        <f t="shared" si="24"/>
        <v>152995.5</v>
      </c>
      <c r="M146" s="31"/>
      <c r="N146" s="5"/>
    </row>
    <row r="147" spans="2:14" ht="18.75" x14ac:dyDescent="0.3">
      <c r="B147" s="34">
        <v>142</v>
      </c>
      <c r="C147" s="29" t="s">
        <v>34</v>
      </c>
      <c r="D147" s="33">
        <v>150000</v>
      </c>
      <c r="E147" s="33">
        <v>19995</v>
      </c>
      <c r="F147" s="32">
        <f t="shared" si="20"/>
        <v>169995</v>
      </c>
      <c r="G147" s="34">
        <v>50</v>
      </c>
      <c r="H147" s="32">
        <v>3399.9</v>
      </c>
      <c r="I147" s="50">
        <v>5</v>
      </c>
      <c r="J147" s="35">
        <f t="shared" si="21"/>
        <v>45</v>
      </c>
      <c r="K147" s="36">
        <f t="shared" si="23"/>
        <v>16999.5</v>
      </c>
      <c r="L147" s="36">
        <f t="shared" si="24"/>
        <v>152995.5</v>
      </c>
      <c r="M147" s="31"/>
      <c r="N147" s="5"/>
    </row>
    <row r="148" spans="2:14" ht="18.75" x14ac:dyDescent="0.3">
      <c r="B148" s="34">
        <v>143</v>
      </c>
      <c r="C148" s="29" t="s">
        <v>41</v>
      </c>
      <c r="D148" s="33">
        <v>150000</v>
      </c>
      <c r="E148" s="33">
        <v>19995</v>
      </c>
      <c r="F148" s="32">
        <f t="shared" si="20"/>
        <v>169995</v>
      </c>
      <c r="G148" s="34">
        <v>50</v>
      </c>
      <c r="H148" s="32">
        <v>3399.9</v>
      </c>
      <c r="I148" s="50">
        <v>3</v>
      </c>
      <c r="J148" s="35">
        <f t="shared" si="21"/>
        <v>47</v>
      </c>
      <c r="K148" s="36">
        <f t="shared" si="23"/>
        <v>10199.700000000001</v>
      </c>
      <c r="L148" s="36">
        <f t="shared" si="24"/>
        <v>159795.29999999999</v>
      </c>
      <c r="M148" s="31" t="s">
        <v>28</v>
      </c>
      <c r="N148" s="5"/>
    </row>
    <row r="149" spans="2:14" ht="18.75" x14ac:dyDescent="0.3">
      <c r="B149" s="34">
        <v>144</v>
      </c>
      <c r="C149" s="29" t="s">
        <v>157</v>
      </c>
      <c r="D149" s="33">
        <v>150000</v>
      </c>
      <c r="E149" s="33">
        <v>19995</v>
      </c>
      <c r="F149" s="32">
        <f t="shared" si="20"/>
        <v>169995</v>
      </c>
      <c r="G149" s="34">
        <v>50</v>
      </c>
      <c r="H149" s="32">
        <v>3399</v>
      </c>
      <c r="I149" s="50">
        <v>17</v>
      </c>
      <c r="J149" s="35">
        <f t="shared" si="21"/>
        <v>33</v>
      </c>
      <c r="K149" s="36">
        <f t="shared" si="23"/>
        <v>57783</v>
      </c>
      <c r="L149" s="36">
        <f t="shared" si="24"/>
        <v>112212</v>
      </c>
      <c r="M149" s="31" t="s">
        <v>221</v>
      </c>
      <c r="N149" s="5"/>
    </row>
    <row r="150" spans="2:14" ht="18.75" x14ac:dyDescent="0.3">
      <c r="B150" s="34">
        <v>145</v>
      </c>
      <c r="C150" s="29" t="s">
        <v>158</v>
      </c>
      <c r="D150" s="33">
        <v>150000</v>
      </c>
      <c r="E150" s="33">
        <v>19995</v>
      </c>
      <c r="F150" s="32">
        <f t="shared" si="20"/>
        <v>169995</v>
      </c>
      <c r="G150" s="34">
        <v>50</v>
      </c>
      <c r="H150" s="32">
        <v>3399.9</v>
      </c>
      <c r="I150" s="31">
        <v>41</v>
      </c>
      <c r="J150" s="35">
        <f t="shared" si="21"/>
        <v>9</v>
      </c>
      <c r="K150" s="36">
        <f t="shared" si="23"/>
        <v>139395.9</v>
      </c>
      <c r="L150" s="36">
        <f t="shared" si="24"/>
        <v>30599.100000000006</v>
      </c>
      <c r="M150" s="31" t="s">
        <v>221</v>
      </c>
      <c r="N150" s="5"/>
    </row>
    <row r="151" spans="2:14" s="22" customFormat="1" ht="18.75" x14ac:dyDescent="0.3">
      <c r="B151" s="34">
        <v>146</v>
      </c>
      <c r="C151" s="29" t="s">
        <v>165</v>
      </c>
      <c r="D151" s="33">
        <v>150000</v>
      </c>
      <c r="E151" s="33">
        <v>19995</v>
      </c>
      <c r="F151" s="32">
        <f t="shared" si="20"/>
        <v>169995</v>
      </c>
      <c r="G151" s="34">
        <v>50</v>
      </c>
      <c r="H151" s="32">
        <v>3399</v>
      </c>
      <c r="I151" s="50">
        <v>17</v>
      </c>
      <c r="J151" s="35">
        <f t="shared" si="21"/>
        <v>33</v>
      </c>
      <c r="K151" s="36">
        <f t="shared" si="23"/>
        <v>57783</v>
      </c>
      <c r="L151" s="36">
        <f t="shared" si="24"/>
        <v>112212</v>
      </c>
      <c r="M151" s="31" t="s">
        <v>221</v>
      </c>
      <c r="N151" s="5"/>
    </row>
    <row r="152" spans="2:14" ht="18.75" x14ac:dyDescent="0.3">
      <c r="B152" s="34">
        <v>147</v>
      </c>
      <c r="C152" s="29" t="s">
        <v>168</v>
      </c>
      <c r="D152" s="33">
        <v>150000</v>
      </c>
      <c r="E152" s="33">
        <v>19995</v>
      </c>
      <c r="F152" s="32">
        <f t="shared" si="20"/>
        <v>169995</v>
      </c>
      <c r="G152" s="34">
        <v>50</v>
      </c>
      <c r="H152" s="32">
        <v>3399</v>
      </c>
      <c r="I152" s="50">
        <v>17</v>
      </c>
      <c r="J152" s="35">
        <f t="shared" si="21"/>
        <v>33</v>
      </c>
      <c r="K152" s="36">
        <f t="shared" si="23"/>
        <v>57783</v>
      </c>
      <c r="L152" s="36">
        <f t="shared" si="24"/>
        <v>112212</v>
      </c>
      <c r="M152" s="31" t="s">
        <v>221</v>
      </c>
      <c r="N152" s="5"/>
    </row>
    <row r="153" spans="2:14" s="21" customFormat="1" ht="18.75" x14ac:dyDescent="0.3">
      <c r="B153" s="34">
        <v>148</v>
      </c>
      <c r="C153" s="29" t="s">
        <v>181</v>
      </c>
      <c r="D153" s="33">
        <v>150000</v>
      </c>
      <c r="E153" s="33">
        <v>19995</v>
      </c>
      <c r="F153" s="32">
        <f t="shared" si="20"/>
        <v>169995</v>
      </c>
      <c r="G153" s="34">
        <v>50</v>
      </c>
      <c r="H153" s="32">
        <v>3399</v>
      </c>
      <c r="I153" s="50">
        <v>15</v>
      </c>
      <c r="J153" s="35">
        <f t="shared" si="21"/>
        <v>35</v>
      </c>
      <c r="K153" s="36">
        <f t="shared" si="23"/>
        <v>50985</v>
      </c>
      <c r="L153" s="36">
        <f t="shared" si="24"/>
        <v>119010</v>
      </c>
      <c r="M153" s="31" t="s">
        <v>221</v>
      </c>
      <c r="N153" s="37"/>
    </row>
    <row r="154" spans="2:14" ht="18.75" x14ac:dyDescent="0.3">
      <c r="B154" s="34">
        <v>149</v>
      </c>
      <c r="C154" s="29" t="s">
        <v>244</v>
      </c>
      <c r="D154" s="33">
        <v>150000</v>
      </c>
      <c r="E154" s="33">
        <v>19995</v>
      </c>
      <c r="F154" s="32">
        <f t="shared" si="20"/>
        <v>169995</v>
      </c>
      <c r="G154" s="34">
        <v>50</v>
      </c>
      <c r="H154" s="32">
        <v>3399.9</v>
      </c>
      <c r="I154" s="50">
        <v>2</v>
      </c>
      <c r="J154" s="35">
        <f t="shared" si="21"/>
        <v>48</v>
      </c>
      <c r="K154" s="36">
        <f t="shared" si="23"/>
        <v>6799.8</v>
      </c>
      <c r="L154" s="36">
        <f t="shared" si="24"/>
        <v>163195.20000000001</v>
      </c>
      <c r="M154" s="31"/>
      <c r="N154" s="5"/>
    </row>
    <row r="155" spans="2:14" ht="18.75" x14ac:dyDescent="0.3">
      <c r="B155" s="34">
        <v>150</v>
      </c>
      <c r="C155" s="29" t="s">
        <v>245</v>
      </c>
      <c r="D155" s="33">
        <v>150000</v>
      </c>
      <c r="E155" s="33">
        <v>19995</v>
      </c>
      <c r="F155" s="32">
        <f t="shared" si="20"/>
        <v>169995</v>
      </c>
      <c r="G155" s="34">
        <v>50</v>
      </c>
      <c r="H155" s="32">
        <v>3399.9</v>
      </c>
      <c r="I155" s="50">
        <v>2</v>
      </c>
      <c r="J155" s="35">
        <f t="shared" si="21"/>
        <v>48</v>
      </c>
      <c r="K155" s="36">
        <f t="shared" si="23"/>
        <v>6799.8</v>
      </c>
      <c r="L155" s="36">
        <f t="shared" si="24"/>
        <v>163195.20000000001</v>
      </c>
      <c r="M155" s="31"/>
      <c r="N155" s="5"/>
    </row>
    <row r="156" spans="2:14" ht="18.75" x14ac:dyDescent="0.3">
      <c r="B156" s="34">
        <v>151</v>
      </c>
      <c r="C156" s="29" t="s">
        <v>246</v>
      </c>
      <c r="D156" s="33">
        <v>150000</v>
      </c>
      <c r="E156" s="33">
        <v>19995</v>
      </c>
      <c r="F156" s="32">
        <f t="shared" si="20"/>
        <v>169995</v>
      </c>
      <c r="G156" s="34">
        <v>50</v>
      </c>
      <c r="H156" s="32">
        <v>3399.9</v>
      </c>
      <c r="I156" s="50">
        <v>2</v>
      </c>
      <c r="J156" s="35">
        <f t="shared" si="21"/>
        <v>48</v>
      </c>
      <c r="K156" s="36">
        <f t="shared" si="23"/>
        <v>6799.8</v>
      </c>
      <c r="L156" s="36">
        <f t="shared" si="24"/>
        <v>163195.20000000001</v>
      </c>
      <c r="M156" s="31"/>
      <c r="N156" s="5"/>
    </row>
    <row r="157" spans="2:14" ht="18.75" x14ac:dyDescent="0.3">
      <c r="B157" s="34">
        <v>152</v>
      </c>
      <c r="C157" s="29" t="s">
        <v>247</v>
      </c>
      <c r="D157" s="33">
        <v>150000</v>
      </c>
      <c r="E157" s="33">
        <v>19995</v>
      </c>
      <c r="F157" s="32">
        <f t="shared" si="20"/>
        <v>169995</v>
      </c>
      <c r="G157" s="34">
        <v>50</v>
      </c>
      <c r="H157" s="32">
        <v>3339.9</v>
      </c>
      <c r="I157" s="50">
        <v>2</v>
      </c>
      <c r="J157" s="35">
        <f t="shared" si="21"/>
        <v>48</v>
      </c>
      <c r="K157" s="36">
        <f t="shared" si="23"/>
        <v>6679.8</v>
      </c>
      <c r="L157" s="36">
        <f t="shared" si="24"/>
        <v>163315.20000000001</v>
      </c>
      <c r="M157" s="31"/>
      <c r="N157" s="5"/>
    </row>
    <row r="158" spans="2:14" ht="18.75" x14ac:dyDescent="0.3">
      <c r="B158" s="34">
        <v>153</v>
      </c>
      <c r="C158" s="29" t="s">
        <v>60</v>
      </c>
      <c r="D158" s="33">
        <v>60000</v>
      </c>
      <c r="E158" s="33">
        <v>7998</v>
      </c>
      <c r="F158" s="32">
        <f t="shared" si="20"/>
        <v>67998</v>
      </c>
      <c r="G158" s="34">
        <v>40</v>
      </c>
      <c r="H158" s="32">
        <v>1699.95</v>
      </c>
      <c r="I158" s="50">
        <v>51</v>
      </c>
      <c r="J158" s="35">
        <f t="shared" si="21"/>
        <v>-11</v>
      </c>
      <c r="K158" s="36">
        <f t="shared" si="23"/>
        <v>86697.45</v>
      </c>
      <c r="L158" s="36">
        <f t="shared" si="24"/>
        <v>-18699.449999999997</v>
      </c>
      <c r="M158" s="31" t="s">
        <v>221</v>
      </c>
      <c r="N158" s="5"/>
    </row>
    <row r="159" spans="2:14" s="57" customFormat="1" ht="18.75" x14ac:dyDescent="0.3">
      <c r="B159" s="71"/>
      <c r="C159" s="69" t="s">
        <v>296</v>
      </c>
      <c r="D159" s="72">
        <f>SUM(D6:D158)</f>
        <v>45050000</v>
      </c>
      <c r="E159" s="72">
        <f t="shared" ref="E159:F159" si="25">SUM(E6:E158)</f>
        <v>5970506.9199999999</v>
      </c>
      <c r="F159" s="72">
        <f t="shared" si="25"/>
        <v>51020506.920000002</v>
      </c>
      <c r="G159" s="71"/>
      <c r="H159" s="72">
        <f>SUM(H6:H158)</f>
        <v>1033345.2400000024</v>
      </c>
      <c r="I159" s="73"/>
      <c r="J159" s="74"/>
      <c r="K159" s="72">
        <f t="shared" ref="K159:L159" si="26">SUM(K6:K158)</f>
        <v>23992090.519999936</v>
      </c>
      <c r="L159" s="72">
        <f t="shared" si="26"/>
        <v>27096414.400000073</v>
      </c>
      <c r="M159" s="53"/>
      <c r="N159" s="22"/>
    </row>
    <row r="160" spans="2:14" ht="18.75" x14ac:dyDescent="0.3">
      <c r="B160" s="34"/>
      <c r="C160" s="40"/>
      <c r="D160" s="33"/>
      <c r="E160" s="33"/>
      <c r="F160" s="32"/>
      <c r="G160" s="34"/>
      <c r="H160" s="32"/>
      <c r="I160" s="50"/>
      <c r="J160" s="35"/>
      <c r="K160" s="36"/>
      <c r="L160" s="36"/>
      <c r="M160" s="31"/>
      <c r="N160" s="5"/>
    </row>
    <row r="161" spans="2:14" ht="21" x14ac:dyDescent="0.35">
      <c r="B161" s="41"/>
      <c r="C161" s="51" t="s">
        <v>222</v>
      </c>
      <c r="D161" s="100"/>
      <c r="E161" s="100"/>
      <c r="F161" s="100"/>
      <c r="G161" s="100"/>
      <c r="H161" s="100"/>
      <c r="I161" s="100"/>
      <c r="J161" s="100"/>
      <c r="K161" s="100"/>
      <c r="L161" s="100"/>
      <c r="M161" s="53"/>
      <c r="N161" s="5"/>
    </row>
    <row r="162" spans="2:14" ht="18.75" x14ac:dyDescent="0.3">
      <c r="B162" s="34">
        <v>1</v>
      </c>
      <c r="C162" s="29" t="s">
        <v>177</v>
      </c>
      <c r="D162" s="33">
        <v>500000</v>
      </c>
      <c r="E162" s="33">
        <v>66650</v>
      </c>
      <c r="F162" s="32">
        <f>D162+E162</f>
        <v>566650</v>
      </c>
      <c r="G162" s="34">
        <v>50</v>
      </c>
      <c r="H162" s="32">
        <v>11333</v>
      </c>
      <c r="I162" s="50">
        <v>47</v>
      </c>
      <c r="J162" s="35">
        <f>G162-I162</f>
        <v>3</v>
      </c>
      <c r="K162" s="36">
        <f>I162*H162</f>
        <v>532651</v>
      </c>
      <c r="L162" s="36">
        <f>F162-K162</f>
        <v>33999</v>
      </c>
      <c r="M162" s="53"/>
      <c r="N162" s="5"/>
    </row>
    <row r="163" spans="2:14" ht="18.75" x14ac:dyDescent="0.3">
      <c r="B163" s="34">
        <v>2</v>
      </c>
      <c r="C163" s="31" t="s">
        <v>111</v>
      </c>
      <c r="D163" s="33">
        <v>500000</v>
      </c>
      <c r="E163" s="33">
        <v>66650</v>
      </c>
      <c r="F163" s="32">
        <f>D163+E163</f>
        <v>566650</v>
      </c>
      <c r="G163" s="34">
        <v>50</v>
      </c>
      <c r="H163" s="36">
        <v>11333</v>
      </c>
      <c r="I163" s="31">
        <v>26</v>
      </c>
      <c r="J163" s="35">
        <f>G163-I163</f>
        <v>24</v>
      </c>
      <c r="K163" s="36">
        <f>H163*I163</f>
        <v>294658</v>
      </c>
      <c r="L163" s="36">
        <f>F163-K163</f>
        <v>271992</v>
      </c>
      <c r="M163" s="53"/>
      <c r="N163" s="5"/>
    </row>
    <row r="164" spans="2:14" ht="18.75" x14ac:dyDescent="0.3">
      <c r="B164" s="34">
        <v>3</v>
      </c>
      <c r="C164" s="31" t="s">
        <v>118</v>
      </c>
      <c r="D164" s="32">
        <v>330000</v>
      </c>
      <c r="E164" s="33">
        <v>43989</v>
      </c>
      <c r="F164" s="32">
        <f>D164+E164</f>
        <v>373989</v>
      </c>
      <c r="G164" s="34">
        <v>50</v>
      </c>
      <c r="H164" s="32">
        <v>7479.78</v>
      </c>
      <c r="I164" s="31">
        <v>42</v>
      </c>
      <c r="J164" s="35">
        <f>G164-I164</f>
        <v>8</v>
      </c>
      <c r="K164" s="36">
        <f>H164*I164</f>
        <v>314150.76</v>
      </c>
      <c r="L164" s="32">
        <f>F164-K164</f>
        <v>59838.239999999991</v>
      </c>
      <c r="M164" s="53"/>
      <c r="N164" s="5"/>
    </row>
    <row r="165" spans="2:14" ht="18.75" x14ac:dyDescent="0.3">
      <c r="B165" s="41"/>
      <c r="C165" s="69" t="s">
        <v>296</v>
      </c>
      <c r="D165" s="72">
        <f>SUM(D162:D164)</f>
        <v>1330000</v>
      </c>
      <c r="E165" s="72">
        <f t="shared" ref="E165:F165" si="27">SUM(E162:E164)</f>
        <v>177289</v>
      </c>
      <c r="F165" s="72">
        <f t="shared" si="27"/>
        <v>1507289</v>
      </c>
      <c r="G165" s="71"/>
      <c r="H165" s="72">
        <f>SUM(H162:H164)</f>
        <v>30145.78</v>
      </c>
      <c r="I165" s="73"/>
      <c r="J165" s="74"/>
      <c r="K165" s="72">
        <f t="shared" ref="K165:L165" si="28">SUM(K162:K164)</f>
        <v>1141459.76</v>
      </c>
      <c r="L165" s="72">
        <f t="shared" si="28"/>
        <v>365829.24</v>
      </c>
      <c r="M165" s="53"/>
      <c r="N165" s="5"/>
    </row>
    <row r="166" spans="2:14" ht="18.75" x14ac:dyDescent="0.3">
      <c r="B166" s="71"/>
      <c r="C166" s="69"/>
      <c r="D166" s="72"/>
      <c r="E166" s="72"/>
      <c r="F166" s="72"/>
      <c r="G166" s="71"/>
      <c r="H166" s="72"/>
      <c r="I166" s="73"/>
      <c r="J166" s="74"/>
      <c r="K166" s="72"/>
      <c r="L166" s="72"/>
      <c r="M166" s="53"/>
      <c r="N166" s="5"/>
    </row>
    <row r="167" spans="2:14" ht="21" x14ac:dyDescent="0.35">
      <c r="B167" s="41"/>
      <c r="C167" s="51" t="s">
        <v>217</v>
      </c>
      <c r="D167" s="100"/>
      <c r="E167" s="100"/>
      <c r="F167" s="100"/>
      <c r="G167" s="100"/>
      <c r="H167" s="100"/>
      <c r="I167" s="46"/>
      <c r="J167" s="47"/>
      <c r="K167" s="45"/>
      <c r="L167" s="45"/>
      <c r="M167" s="49"/>
      <c r="N167" s="5"/>
    </row>
    <row r="168" spans="2:14" ht="18.75" x14ac:dyDescent="0.3">
      <c r="B168" s="34">
        <v>1</v>
      </c>
      <c r="C168" s="29" t="s">
        <v>160</v>
      </c>
      <c r="D168" s="33">
        <v>500000</v>
      </c>
      <c r="E168" s="33">
        <v>66650</v>
      </c>
      <c r="F168" s="32">
        <f t="shared" ref="F168:F183" si="29">D168+E168</f>
        <v>566650</v>
      </c>
      <c r="G168" s="34">
        <v>50</v>
      </c>
      <c r="H168" s="32">
        <v>11333</v>
      </c>
      <c r="I168" s="50">
        <v>21</v>
      </c>
      <c r="J168" s="35">
        <f t="shared" ref="J168:J183" si="30">G168-I168</f>
        <v>29</v>
      </c>
      <c r="K168" s="36">
        <f t="shared" ref="K168:K183" si="31">H168*I168</f>
        <v>237993</v>
      </c>
      <c r="L168" s="32">
        <f t="shared" ref="L168:L183" si="32">F168-K168</f>
        <v>328657</v>
      </c>
      <c r="M168" s="49"/>
      <c r="N168" s="5"/>
    </row>
    <row r="169" spans="2:14" ht="18.75" x14ac:dyDescent="0.3">
      <c r="B169" s="34">
        <v>2</v>
      </c>
      <c r="C169" s="29" t="s">
        <v>179</v>
      </c>
      <c r="D169" s="33">
        <v>500000</v>
      </c>
      <c r="E169" s="33">
        <v>66650</v>
      </c>
      <c r="F169" s="32">
        <f t="shared" si="29"/>
        <v>566650</v>
      </c>
      <c r="G169" s="34">
        <v>50</v>
      </c>
      <c r="H169" s="32">
        <v>11333</v>
      </c>
      <c r="I169" s="50">
        <v>50</v>
      </c>
      <c r="J169" s="35">
        <f t="shared" si="30"/>
        <v>0</v>
      </c>
      <c r="K169" s="36">
        <f t="shared" si="31"/>
        <v>566650</v>
      </c>
      <c r="L169" s="32">
        <f t="shared" si="32"/>
        <v>0</v>
      </c>
      <c r="M169" s="49"/>
      <c r="N169" s="5"/>
    </row>
    <row r="170" spans="2:14" ht="18.75" x14ac:dyDescent="0.3">
      <c r="B170" s="34">
        <v>3</v>
      </c>
      <c r="C170" s="29" t="s">
        <v>156</v>
      </c>
      <c r="D170" s="33">
        <v>450000</v>
      </c>
      <c r="E170" s="33">
        <v>59985</v>
      </c>
      <c r="F170" s="32">
        <f t="shared" si="29"/>
        <v>509985</v>
      </c>
      <c r="G170" s="34">
        <v>50</v>
      </c>
      <c r="H170" s="32">
        <v>10199.700000000001</v>
      </c>
      <c r="I170" s="50">
        <v>50</v>
      </c>
      <c r="J170" s="35">
        <f t="shared" si="30"/>
        <v>0</v>
      </c>
      <c r="K170" s="36">
        <f t="shared" si="31"/>
        <v>509985.00000000006</v>
      </c>
      <c r="L170" s="32">
        <f t="shared" si="32"/>
        <v>0</v>
      </c>
      <c r="M170" s="49"/>
      <c r="N170" s="5"/>
    </row>
    <row r="171" spans="2:14" ht="18.75" x14ac:dyDescent="0.3">
      <c r="B171" s="34">
        <v>4</v>
      </c>
      <c r="C171" s="29" t="s">
        <v>164</v>
      </c>
      <c r="D171" s="33">
        <v>450000</v>
      </c>
      <c r="E171" s="33">
        <v>59985</v>
      </c>
      <c r="F171" s="32">
        <f t="shared" si="29"/>
        <v>509985</v>
      </c>
      <c r="G171" s="34">
        <v>50</v>
      </c>
      <c r="H171" s="32">
        <v>10199.700000000001</v>
      </c>
      <c r="I171" s="50">
        <v>27</v>
      </c>
      <c r="J171" s="35">
        <f t="shared" si="30"/>
        <v>23</v>
      </c>
      <c r="K171" s="36">
        <f t="shared" si="31"/>
        <v>275391.90000000002</v>
      </c>
      <c r="L171" s="32">
        <f t="shared" si="32"/>
        <v>234593.09999999998</v>
      </c>
      <c r="M171" s="49"/>
      <c r="N171" s="5"/>
    </row>
    <row r="172" spans="2:14" ht="18.75" x14ac:dyDescent="0.3">
      <c r="B172" s="34">
        <v>5</v>
      </c>
      <c r="C172" s="29" t="s">
        <v>183</v>
      </c>
      <c r="D172" s="33">
        <v>450000</v>
      </c>
      <c r="E172" s="33">
        <v>59985</v>
      </c>
      <c r="F172" s="32">
        <f t="shared" si="29"/>
        <v>509985</v>
      </c>
      <c r="G172" s="34">
        <v>50</v>
      </c>
      <c r="H172" s="32">
        <v>10199.700000000001</v>
      </c>
      <c r="I172" s="50">
        <v>12</v>
      </c>
      <c r="J172" s="35">
        <f t="shared" si="30"/>
        <v>38</v>
      </c>
      <c r="K172" s="36">
        <f t="shared" si="31"/>
        <v>122396.40000000001</v>
      </c>
      <c r="L172" s="32">
        <f t="shared" si="32"/>
        <v>387588.6</v>
      </c>
      <c r="M172" s="49"/>
      <c r="N172" s="5"/>
    </row>
    <row r="173" spans="2:14" ht="18.75" x14ac:dyDescent="0.3">
      <c r="B173" s="34">
        <v>6</v>
      </c>
      <c r="C173" s="29" t="s">
        <v>184</v>
      </c>
      <c r="D173" s="32">
        <v>330000</v>
      </c>
      <c r="E173" s="33">
        <v>43989</v>
      </c>
      <c r="F173" s="32">
        <f t="shared" si="29"/>
        <v>373989</v>
      </c>
      <c r="G173" s="34">
        <v>50</v>
      </c>
      <c r="H173" s="32">
        <v>7479.78</v>
      </c>
      <c r="I173" s="50">
        <v>39</v>
      </c>
      <c r="J173" s="35">
        <f t="shared" si="30"/>
        <v>11</v>
      </c>
      <c r="K173" s="36">
        <f t="shared" si="31"/>
        <v>291711.42</v>
      </c>
      <c r="L173" s="32">
        <f t="shared" si="32"/>
        <v>82277.580000000016</v>
      </c>
      <c r="M173" s="49"/>
      <c r="N173" s="5"/>
    </row>
    <row r="174" spans="2:14" ht="18.75" x14ac:dyDescent="0.3">
      <c r="B174" s="34">
        <v>7</v>
      </c>
      <c r="C174" s="29" t="s">
        <v>185</v>
      </c>
      <c r="D174" s="32">
        <v>330000</v>
      </c>
      <c r="E174" s="33">
        <v>43989</v>
      </c>
      <c r="F174" s="32">
        <f t="shared" si="29"/>
        <v>373989</v>
      </c>
      <c r="G174" s="34">
        <v>50</v>
      </c>
      <c r="H174" s="32">
        <v>7479.78</v>
      </c>
      <c r="I174" s="50">
        <v>50</v>
      </c>
      <c r="J174" s="35">
        <f t="shared" si="30"/>
        <v>0</v>
      </c>
      <c r="K174" s="36">
        <f t="shared" si="31"/>
        <v>373989</v>
      </c>
      <c r="L174" s="32">
        <f t="shared" si="32"/>
        <v>0</v>
      </c>
      <c r="M174" s="49"/>
      <c r="N174" s="5"/>
    </row>
    <row r="175" spans="2:14" ht="18.75" x14ac:dyDescent="0.3">
      <c r="B175" s="34">
        <v>8</v>
      </c>
      <c r="C175" s="29" t="s">
        <v>180</v>
      </c>
      <c r="D175" s="32">
        <v>330000</v>
      </c>
      <c r="E175" s="33">
        <v>43989</v>
      </c>
      <c r="F175" s="32">
        <f t="shared" si="29"/>
        <v>373989</v>
      </c>
      <c r="G175" s="34">
        <v>50</v>
      </c>
      <c r="H175" s="32">
        <v>7479.78</v>
      </c>
      <c r="I175" s="50">
        <v>21</v>
      </c>
      <c r="J175" s="35">
        <f t="shared" si="30"/>
        <v>29</v>
      </c>
      <c r="K175" s="36">
        <f t="shared" si="31"/>
        <v>157075.38</v>
      </c>
      <c r="L175" s="32">
        <f t="shared" si="32"/>
        <v>216913.62</v>
      </c>
      <c r="M175" s="49"/>
      <c r="N175" s="5"/>
    </row>
    <row r="176" spans="2:14" ht="18.75" x14ac:dyDescent="0.3">
      <c r="B176" s="34">
        <v>9</v>
      </c>
      <c r="C176" s="29" t="s">
        <v>169</v>
      </c>
      <c r="D176" s="33">
        <v>180000</v>
      </c>
      <c r="E176" s="33">
        <v>23994</v>
      </c>
      <c r="F176" s="32">
        <f t="shared" si="29"/>
        <v>203994</v>
      </c>
      <c r="G176" s="34">
        <v>40</v>
      </c>
      <c r="H176" s="32">
        <v>5099.8500000000004</v>
      </c>
      <c r="I176" s="50">
        <v>38</v>
      </c>
      <c r="J176" s="35">
        <f t="shared" si="30"/>
        <v>2</v>
      </c>
      <c r="K176" s="36">
        <f t="shared" si="31"/>
        <v>193794.30000000002</v>
      </c>
      <c r="L176" s="32">
        <f t="shared" si="32"/>
        <v>10199.699999999983</v>
      </c>
      <c r="M176" s="49"/>
      <c r="N176" s="5"/>
    </row>
    <row r="177" spans="2:13" ht="18.75" x14ac:dyDescent="0.3">
      <c r="B177" s="34">
        <v>10</v>
      </c>
      <c r="C177" s="29" t="s">
        <v>159</v>
      </c>
      <c r="D177" s="33">
        <v>150000</v>
      </c>
      <c r="E177" s="33">
        <v>19995</v>
      </c>
      <c r="F177" s="32">
        <f t="shared" si="29"/>
        <v>169995</v>
      </c>
      <c r="G177" s="34">
        <v>50</v>
      </c>
      <c r="H177" s="32">
        <v>3399.9</v>
      </c>
      <c r="I177" s="50">
        <v>50</v>
      </c>
      <c r="J177" s="35">
        <f t="shared" si="30"/>
        <v>0</v>
      </c>
      <c r="K177" s="36">
        <f t="shared" si="31"/>
        <v>169995</v>
      </c>
      <c r="L177" s="32">
        <f t="shared" si="32"/>
        <v>0</v>
      </c>
      <c r="M177" s="49"/>
    </row>
    <row r="178" spans="2:13" ht="18.75" x14ac:dyDescent="0.3">
      <c r="B178" s="34">
        <v>11</v>
      </c>
      <c r="C178" s="29" t="s">
        <v>162</v>
      </c>
      <c r="D178" s="33">
        <v>150000</v>
      </c>
      <c r="E178" s="33">
        <v>19995</v>
      </c>
      <c r="F178" s="32">
        <f t="shared" si="29"/>
        <v>169995</v>
      </c>
      <c r="G178" s="34">
        <v>50</v>
      </c>
      <c r="H178" s="32">
        <v>3399.9</v>
      </c>
      <c r="I178" s="50">
        <v>21</v>
      </c>
      <c r="J178" s="35">
        <f t="shared" si="30"/>
        <v>29</v>
      </c>
      <c r="K178" s="36">
        <f t="shared" si="31"/>
        <v>71397.900000000009</v>
      </c>
      <c r="L178" s="32">
        <f t="shared" si="32"/>
        <v>98597.099999999991</v>
      </c>
      <c r="M178" s="49"/>
    </row>
    <row r="179" spans="2:13" ht="18.75" x14ac:dyDescent="0.3">
      <c r="B179" s="34">
        <v>12</v>
      </c>
      <c r="C179" s="29" t="s">
        <v>163</v>
      </c>
      <c r="D179" s="33">
        <v>150000</v>
      </c>
      <c r="E179" s="33">
        <v>19995</v>
      </c>
      <c r="F179" s="32">
        <f t="shared" si="29"/>
        <v>169995</v>
      </c>
      <c r="G179" s="34">
        <v>50</v>
      </c>
      <c r="H179" s="32">
        <v>3399.9</v>
      </c>
      <c r="I179" s="50">
        <v>21</v>
      </c>
      <c r="J179" s="35">
        <f t="shared" si="30"/>
        <v>29</v>
      </c>
      <c r="K179" s="36">
        <f t="shared" si="31"/>
        <v>71397.900000000009</v>
      </c>
      <c r="L179" s="32">
        <f t="shared" si="32"/>
        <v>98597.099999999991</v>
      </c>
      <c r="M179" s="49"/>
    </row>
    <row r="180" spans="2:13" ht="18.75" x14ac:dyDescent="0.3">
      <c r="B180" s="34">
        <v>13</v>
      </c>
      <c r="C180" s="29" t="s">
        <v>167</v>
      </c>
      <c r="D180" s="33">
        <v>150000</v>
      </c>
      <c r="E180" s="33">
        <v>19995</v>
      </c>
      <c r="F180" s="32">
        <f t="shared" si="29"/>
        <v>169995</v>
      </c>
      <c r="G180" s="34">
        <v>50</v>
      </c>
      <c r="H180" s="32">
        <v>3399.9</v>
      </c>
      <c r="I180" s="50">
        <v>21</v>
      </c>
      <c r="J180" s="35">
        <f t="shared" si="30"/>
        <v>29</v>
      </c>
      <c r="K180" s="36">
        <f t="shared" si="31"/>
        <v>71397.900000000009</v>
      </c>
      <c r="L180" s="32">
        <f t="shared" si="32"/>
        <v>98597.099999999991</v>
      </c>
      <c r="M180" s="49"/>
    </row>
    <row r="181" spans="2:13" ht="18.75" x14ac:dyDescent="0.3">
      <c r="B181" s="34">
        <v>14</v>
      </c>
      <c r="C181" s="29" t="s">
        <v>186</v>
      </c>
      <c r="D181" s="33">
        <v>150000</v>
      </c>
      <c r="E181" s="33">
        <v>19995</v>
      </c>
      <c r="F181" s="32">
        <f t="shared" si="29"/>
        <v>169995</v>
      </c>
      <c r="G181" s="34">
        <v>50</v>
      </c>
      <c r="H181" s="32">
        <v>3399.9</v>
      </c>
      <c r="I181" s="50">
        <v>21</v>
      </c>
      <c r="J181" s="35">
        <f t="shared" si="30"/>
        <v>29</v>
      </c>
      <c r="K181" s="36">
        <f t="shared" si="31"/>
        <v>71397.900000000009</v>
      </c>
      <c r="L181" s="32">
        <f t="shared" si="32"/>
        <v>98597.099999999991</v>
      </c>
      <c r="M181" s="49"/>
    </row>
    <row r="182" spans="2:13" ht="18.75" x14ac:dyDescent="0.3">
      <c r="B182" s="34">
        <v>15</v>
      </c>
      <c r="C182" s="29" t="s">
        <v>188</v>
      </c>
      <c r="D182" s="33">
        <v>150000</v>
      </c>
      <c r="E182" s="33">
        <v>19995</v>
      </c>
      <c r="F182" s="32">
        <f t="shared" si="29"/>
        <v>169995</v>
      </c>
      <c r="G182" s="34">
        <v>50</v>
      </c>
      <c r="H182" s="32">
        <v>3399.9</v>
      </c>
      <c r="I182" s="50">
        <v>21</v>
      </c>
      <c r="J182" s="35">
        <f t="shared" si="30"/>
        <v>29</v>
      </c>
      <c r="K182" s="36">
        <f t="shared" si="31"/>
        <v>71397.900000000009</v>
      </c>
      <c r="L182" s="32">
        <f t="shared" si="32"/>
        <v>98597.099999999991</v>
      </c>
      <c r="M182" s="42"/>
    </row>
    <row r="183" spans="2:13" ht="18.75" x14ac:dyDescent="0.3">
      <c r="B183" s="34">
        <v>16</v>
      </c>
      <c r="C183" s="29" t="s">
        <v>166</v>
      </c>
      <c r="D183" s="33">
        <v>150000</v>
      </c>
      <c r="E183" s="33">
        <v>19995</v>
      </c>
      <c r="F183" s="32">
        <f t="shared" si="29"/>
        <v>169995</v>
      </c>
      <c r="G183" s="34">
        <v>50</v>
      </c>
      <c r="H183" s="32">
        <v>3399.9</v>
      </c>
      <c r="I183" s="50">
        <v>21</v>
      </c>
      <c r="J183" s="35">
        <f t="shared" si="30"/>
        <v>29</v>
      </c>
      <c r="K183" s="36">
        <f t="shared" si="31"/>
        <v>71397.900000000009</v>
      </c>
      <c r="L183" s="32">
        <f t="shared" si="32"/>
        <v>98597.099999999991</v>
      </c>
      <c r="M183" s="49"/>
    </row>
    <row r="184" spans="2:13" s="57" customFormat="1" ht="18.75" x14ac:dyDescent="0.3">
      <c r="B184" s="71"/>
      <c r="C184" s="69" t="s">
        <v>296</v>
      </c>
      <c r="D184" s="72">
        <f>SUM(D168:D183)</f>
        <v>4570000</v>
      </c>
      <c r="E184" s="72">
        <f t="shared" ref="E184:F184" si="33">SUM(E168:E183)</f>
        <v>609181</v>
      </c>
      <c r="F184" s="72">
        <f t="shared" si="33"/>
        <v>5179181</v>
      </c>
      <c r="G184" s="71"/>
      <c r="H184" s="72">
        <f>SUM(H168:H183)</f>
        <v>104603.58999999995</v>
      </c>
      <c r="I184" s="53"/>
      <c r="J184" s="74"/>
      <c r="K184" s="72">
        <f t="shared" ref="K184:L184" si="34">SUM(K168:K183)</f>
        <v>3327368.7999999989</v>
      </c>
      <c r="L184" s="72">
        <f t="shared" si="34"/>
        <v>1851812.2000000004</v>
      </c>
      <c r="M184" s="49"/>
    </row>
    <row r="185" spans="2:13" ht="18.75" x14ac:dyDescent="0.3">
      <c r="B185" s="41"/>
      <c r="C185" s="48"/>
      <c r="D185" s="44"/>
      <c r="E185" s="44"/>
      <c r="F185" s="43"/>
      <c r="G185" s="41"/>
      <c r="H185" s="43"/>
      <c r="I185" s="46"/>
      <c r="J185" s="47"/>
      <c r="K185" s="45"/>
      <c r="L185" s="45"/>
      <c r="M185" s="49"/>
    </row>
    <row r="186" spans="2:13" ht="18.75" x14ac:dyDescent="0.3">
      <c r="B186" s="8">
        <f>B183+B164+B158</f>
        <v>172</v>
      </c>
      <c r="C186" s="30" t="s">
        <v>38</v>
      </c>
      <c r="D186" s="17">
        <f>D184+D165+D159</f>
        <v>50950000</v>
      </c>
      <c r="E186" s="17">
        <f>E184+E165+E159</f>
        <v>6756976.9199999999</v>
      </c>
      <c r="F186" s="17">
        <f>F184+F165+F159</f>
        <v>57706976.920000002</v>
      </c>
      <c r="G186" s="17"/>
      <c r="H186" s="17">
        <f>H184+H165+H159</f>
        <v>1168094.6100000024</v>
      </c>
      <c r="I186" s="17"/>
      <c r="J186" s="17"/>
      <c r="K186" s="17">
        <f>K184+K165+K159</f>
        <v>28460919.079999935</v>
      </c>
      <c r="L186" s="17">
        <f>L184+L165+L159</f>
        <v>29314055.840000074</v>
      </c>
      <c r="M186" s="9"/>
    </row>
    <row r="187" spans="2:13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2:13" ht="18.75" x14ac:dyDescent="0.3">
      <c r="B188" s="1"/>
      <c r="C188" s="8" t="s">
        <v>280</v>
      </c>
      <c r="D188" s="12"/>
      <c r="E188" s="12"/>
      <c r="F188" s="12"/>
      <c r="G188" s="12"/>
      <c r="H188" s="12"/>
      <c r="I188" s="12"/>
      <c r="J188" s="12"/>
      <c r="K188" s="12"/>
      <c r="L188" s="12"/>
      <c r="M188" s="1"/>
    </row>
    <row r="189" spans="2:13" ht="34.5" customHeight="1" x14ac:dyDescent="0.3">
      <c r="B189" s="7" t="s">
        <v>2</v>
      </c>
      <c r="C189" s="7" t="s">
        <v>0</v>
      </c>
      <c r="D189" s="8" t="s">
        <v>3</v>
      </c>
      <c r="E189" s="8" t="s">
        <v>4</v>
      </c>
      <c r="F189" s="8" t="s">
        <v>1</v>
      </c>
      <c r="G189" s="10" t="s">
        <v>11</v>
      </c>
      <c r="H189" s="10" t="s">
        <v>10</v>
      </c>
      <c r="I189" s="11" t="s">
        <v>5</v>
      </c>
      <c r="J189" s="11" t="s">
        <v>6</v>
      </c>
      <c r="K189" s="10" t="s">
        <v>7</v>
      </c>
      <c r="L189" s="10" t="s">
        <v>8</v>
      </c>
      <c r="M189" s="10" t="s">
        <v>9</v>
      </c>
    </row>
    <row r="190" spans="2:13" ht="18.75" x14ac:dyDescent="0.3">
      <c r="B190" s="88">
        <v>1</v>
      </c>
      <c r="C190" s="66" t="s">
        <v>281</v>
      </c>
      <c r="D190" s="33">
        <v>450000</v>
      </c>
      <c r="E190" s="33">
        <v>59985</v>
      </c>
      <c r="F190" s="32">
        <f>D190+E190</f>
        <v>509985</v>
      </c>
      <c r="G190" s="34">
        <v>50</v>
      </c>
      <c r="H190" s="87">
        <v>10199.700000000001</v>
      </c>
      <c r="I190" s="9">
        <v>42</v>
      </c>
      <c r="J190" s="9">
        <f>G190-I190</f>
        <v>8</v>
      </c>
      <c r="K190" s="92">
        <f>H190*I190</f>
        <v>428387.4</v>
      </c>
      <c r="L190" s="32">
        <f t="shared" ref="L190" si="35">F190-K190</f>
        <v>81597.599999999977</v>
      </c>
      <c r="M190" s="1"/>
    </row>
    <row r="191" spans="2:13" x14ac:dyDescent="0.25"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2:13" s="22" customFormat="1" ht="18.75" x14ac:dyDescent="0.3">
      <c r="B192" s="8"/>
      <c r="C192" s="8" t="s">
        <v>279</v>
      </c>
      <c r="D192" s="83">
        <f>D190+D186</f>
        <v>51400000</v>
      </c>
      <c r="E192" s="83">
        <f t="shared" ref="E192:F192" si="36">E190+E186</f>
        <v>6816961.9199999999</v>
      </c>
      <c r="F192" s="83">
        <f t="shared" si="36"/>
        <v>58216961.920000002</v>
      </c>
      <c r="G192" s="8"/>
      <c r="H192" s="83">
        <f>H190+H186</f>
        <v>1178294.3100000024</v>
      </c>
      <c r="I192" s="8"/>
      <c r="J192" s="8"/>
      <c r="K192" s="83">
        <f t="shared" ref="K192:L192" si="37">K190+K186</f>
        <v>28889306.479999933</v>
      </c>
      <c r="L192" s="83">
        <f t="shared" si="37"/>
        <v>29395653.440000076</v>
      </c>
      <c r="M192" s="8"/>
    </row>
    <row r="193" spans="2:14" x14ac:dyDescent="0.25"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  <row r="194" spans="2:14" ht="18.75" x14ac:dyDescent="0.3">
      <c r="B194" s="1"/>
      <c r="C194" s="8" t="s">
        <v>227</v>
      </c>
      <c r="D194" s="1"/>
      <c r="E194" s="1"/>
      <c r="F194" s="1"/>
      <c r="G194" s="1"/>
      <c r="H194" s="1"/>
      <c r="I194" s="1"/>
      <c r="J194" s="1"/>
      <c r="K194" s="1"/>
      <c r="L194" s="1"/>
      <c r="M194" s="1"/>
    </row>
    <row r="195" spans="2:14" ht="18.75" x14ac:dyDescent="0.3">
      <c r="B195" s="34">
        <v>1</v>
      </c>
      <c r="C195" s="31" t="s">
        <v>219</v>
      </c>
      <c r="D195" s="33">
        <v>500000</v>
      </c>
      <c r="E195" s="33">
        <v>66650</v>
      </c>
      <c r="F195" s="32">
        <f>D195+E195</f>
        <v>566650</v>
      </c>
      <c r="G195" s="34">
        <v>50</v>
      </c>
      <c r="H195" s="32">
        <v>11333</v>
      </c>
      <c r="I195" s="31">
        <v>40</v>
      </c>
      <c r="J195" s="35">
        <f>G195-I195</f>
        <v>10</v>
      </c>
      <c r="K195" s="36">
        <f>H195*I195</f>
        <v>453320</v>
      </c>
      <c r="L195" s="32">
        <f>F195-K195</f>
        <v>113330</v>
      </c>
      <c r="M195" s="53" t="s">
        <v>54</v>
      </c>
      <c r="N195" s="5"/>
    </row>
    <row r="196" spans="2:14" ht="18.75" x14ac:dyDescent="0.3">
      <c r="B196" s="34">
        <v>2</v>
      </c>
      <c r="C196" s="31" t="s">
        <v>219</v>
      </c>
      <c r="D196" s="33">
        <v>200000</v>
      </c>
      <c r="E196" s="33">
        <v>26660</v>
      </c>
      <c r="F196" s="32">
        <f>D196+E196</f>
        <v>226660</v>
      </c>
      <c r="G196" s="34">
        <v>20</v>
      </c>
      <c r="H196" s="32">
        <v>11333</v>
      </c>
      <c r="I196" s="31">
        <v>20</v>
      </c>
      <c r="J196" s="35">
        <f>G196-I196</f>
        <v>0</v>
      </c>
      <c r="K196" s="36">
        <f>H196*I196</f>
        <v>226660</v>
      </c>
      <c r="L196" s="32">
        <f>F196-K196</f>
        <v>0</v>
      </c>
      <c r="M196" s="53" t="s">
        <v>248</v>
      </c>
      <c r="N196" s="5"/>
    </row>
    <row r="197" spans="2:14" ht="18.75" x14ac:dyDescent="0.3">
      <c r="B197" s="34">
        <v>3</v>
      </c>
      <c r="C197" s="31" t="s">
        <v>132</v>
      </c>
      <c r="D197" s="32">
        <v>330000</v>
      </c>
      <c r="E197" s="33">
        <v>21994.5</v>
      </c>
      <c r="F197" s="32">
        <f>D197+E197</f>
        <v>351994.5</v>
      </c>
      <c r="G197" s="34">
        <v>25</v>
      </c>
      <c r="H197" s="32">
        <v>14079.78</v>
      </c>
      <c r="I197" s="31">
        <v>25</v>
      </c>
      <c r="J197" s="35">
        <f>G197-I197</f>
        <v>0</v>
      </c>
      <c r="K197" s="36">
        <f>H197*I197</f>
        <v>351994.5</v>
      </c>
      <c r="L197" s="32">
        <f>F197-K197</f>
        <v>0</v>
      </c>
      <c r="M197" s="53" t="s">
        <v>248</v>
      </c>
      <c r="N197" s="101"/>
    </row>
    <row r="198" spans="2:14" s="3" customFormat="1" ht="18.75" x14ac:dyDescent="0.3">
      <c r="B198" s="34">
        <v>4</v>
      </c>
      <c r="C198" s="66" t="s">
        <v>57</v>
      </c>
      <c r="D198" s="12">
        <v>330000</v>
      </c>
      <c r="E198" s="13">
        <v>43989</v>
      </c>
      <c r="F198" s="12">
        <f>D198+E198</f>
        <v>373989</v>
      </c>
      <c r="G198" s="14">
        <v>50</v>
      </c>
      <c r="H198" s="32">
        <v>7479.78</v>
      </c>
      <c r="I198" s="50">
        <v>49</v>
      </c>
      <c r="J198" s="35">
        <f t="shared" ref="J198" si="38">G198-I198</f>
        <v>1</v>
      </c>
      <c r="K198" s="36">
        <f t="shared" ref="K198" si="39">H198*I198</f>
        <v>366509.22</v>
      </c>
      <c r="L198" s="32">
        <f t="shared" ref="L198" si="40">F198-K198</f>
        <v>7479.7800000000279</v>
      </c>
      <c r="M198" s="8" t="s">
        <v>54</v>
      </c>
      <c r="N198" s="22"/>
    </row>
    <row r="199" spans="2:14" ht="18.75" x14ac:dyDescent="0.3">
      <c r="B199" s="34">
        <v>5</v>
      </c>
      <c r="C199" s="31" t="s">
        <v>206</v>
      </c>
      <c r="D199" s="33">
        <v>450000</v>
      </c>
      <c r="E199" s="33">
        <v>59985</v>
      </c>
      <c r="F199" s="32">
        <f>D199+E199</f>
        <v>509985</v>
      </c>
      <c r="G199" s="34">
        <v>50</v>
      </c>
      <c r="H199" s="32">
        <v>10199.700000000001</v>
      </c>
      <c r="I199" s="31">
        <v>44</v>
      </c>
      <c r="J199" s="35">
        <f>G199-I199</f>
        <v>6</v>
      </c>
      <c r="K199" s="32">
        <f>H199*I199</f>
        <v>448786.80000000005</v>
      </c>
      <c r="L199" s="32">
        <f>F199-K199</f>
        <v>61198.199999999953</v>
      </c>
      <c r="M199" s="53" t="s">
        <v>54</v>
      </c>
      <c r="N199" s="5"/>
    </row>
    <row r="200" spans="2:14" x14ac:dyDescent="0.25">
      <c r="E200" s="54"/>
    </row>
    <row r="205" spans="2:14" ht="18.75" x14ac:dyDescent="0.3">
      <c r="H205" s="55"/>
    </row>
    <row r="207" spans="2:14" x14ac:dyDescent="0.25">
      <c r="H207" s="54"/>
    </row>
  </sheetData>
  <sortState ref="C6:M159">
    <sortCondition descending="1" ref="D6:D159"/>
  </sortState>
  <pageMargins left="0.7" right="0.7" top="0.75" bottom="0.75" header="0.3" footer="0.3"/>
  <pageSetup paperSize="5" scale="55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212"/>
  <sheetViews>
    <sheetView topLeftCell="A162" zoomScale="106" zoomScaleNormal="106" workbookViewId="0">
      <selection activeCell="C171" sqref="C171"/>
    </sheetView>
  </sheetViews>
  <sheetFormatPr defaultRowHeight="15" x14ac:dyDescent="0.25"/>
  <cols>
    <col min="2" max="2" width="11.28515625" bestFit="1" customWidth="1"/>
    <col min="3" max="3" width="44.42578125" customWidth="1"/>
    <col min="4" max="4" width="20.7109375" customWidth="1"/>
    <col min="5" max="5" width="18.85546875" customWidth="1"/>
    <col min="6" max="6" width="19.7109375" bestFit="1" customWidth="1"/>
    <col min="7" max="7" width="14.5703125" customWidth="1"/>
    <col min="8" max="8" width="20.85546875" customWidth="1"/>
    <col min="9" max="9" width="20" customWidth="1"/>
    <col min="10" max="10" width="21.28515625" customWidth="1"/>
    <col min="11" max="11" width="21.140625" customWidth="1"/>
    <col min="12" max="12" width="23.7109375" customWidth="1"/>
    <col min="13" max="13" width="19.5703125" customWidth="1"/>
  </cols>
  <sheetData>
    <row r="2" spans="1:14" ht="21" x14ac:dyDescent="0.35">
      <c r="A2" s="5"/>
      <c r="B2" s="98"/>
      <c r="C2" s="99" t="s">
        <v>12</v>
      </c>
      <c r="D2" s="98"/>
      <c r="E2" s="99"/>
      <c r="F2" s="99"/>
      <c r="G2" s="98"/>
      <c r="H2" s="9"/>
      <c r="I2" s="9"/>
      <c r="J2" s="9"/>
      <c r="K2" s="9"/>
      <c r="L2" s="9"/>
      <c r="M2" s="9"/>
      <c r="N2" s="5"/>
    </row>
    <row r="3" spans="1:14" ht="21" x14ac:dyDescent="0.35">
      <c r="A3" s="5"/>
      <c r="B3" s="98"/>
      <c r="C3" s="99" t="s">
        <v>56</v>
      </c>
      <c r="D3" s="98"/>
      <c r="E3" s="99"/>
      <c r="F3" s="99"/>
      <c r="G3" s="99"/>
      <c r="H3" s="9"/>
      <c r="I3" s="9"/>
      <c r="J3" s="9"/>
      <c r="K3" s="9"/>
      <c r="L3" s="9"/>
      <c r="M3" s="9"/>
      <c r="N3" s="5"/>
    </row>
    <row r="4" spans="1:14" ht="21" x14ac:dyDescent="0.35">
      <c r="A4" s="5"/>
      <c r="B4" s="98"/>
      <c r="C4" s="98"/>
      <c r="D4" s="98"/>
      <c r="E4" s="98"/>
      <c r="F4" s="98"/>
      <c r="G4" s="98"/>
      <c r="H4" s="9"/>
      <c r="I4" s="9"/>
      <c r="J4" s="9"/>
      <c r="K4" s="9"/>
      <c r="L4" s="9"/>
      <c r="M4" s="9"/>
      <c r="N4" s="5"/>
    </row>
    <row r="5" spans="1:14" ht="37.5" x14ac:dyDescent="0.3">
      <c r="A5" s="102"/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 s="5"/>
    </row>
    <row r="6" spans="1:14" ht="18.75" x14ac:dyDescent="0.3">
      <c r="A6" s="103"/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7" si="0">D6+E6</f>
        <v>566650</v>
      </c>
      <c r="G6" s="34">
        <v>50</v>
      </c>
      <c r="H6" s="32">
        <v>11333</v>
      </c>
      <c r="I6" s="34">
        <v>27</v>
      </c>
      <c r="J6" s="35">
        <f t="shared" ref="J6:J37" si="1">G6-I6</f>
        <v>23</v>
      </c>
      <c r="K6" s="33">
        <f t="shared" ref="K6:K17" si="2">H6*I6</f>
        <v>305991</v>
      </c>
      <c r="L6" s="36">
        <f t="shared" ref="L6:L37" si="3">F6-K6</f>
        <v>260659</v>
      </c>
      <c r="M6" s="31"/>
      <c r="N6" s="5"/>
    </row>
    <row r="7" spans="1:14" ht="18.75" x14ac:dyDescent="0.3">
      <c r="A7" s="104"/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4">
        <v>27</v>
      </c>
      <c r="J7" s="35">
        <f t="shared" si="1"/>
        <v>23</v>
      </c>
      <c r="K7" s="33">
        <f t="shared" si="2"/>
        <v>305991</v>
      </c>
      <c r="L7" s="36">
        <f t="shared" si="3"/>
        <v>260659</v>
      </c>
      <c r="M7" s="31"/>
      <c r="N7" s="5"/>
    </row>
    <row r="8" spans="1:14" ht="18.75" x14ac:dyDescent="0.3">
      <c r="A8" s="104"/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4">
        <v>42</v>
      </c>
      <c r="J8" s="35">
        <f t="shared" si="1"/>
        <v>8</v>
      </c>
      <c r="K8" s="36">
        <f t="shared" si="2"/>
        <v>475986</v>
      </c>
      <c r="L8" s="32">
        <f t="shared" si="3"/>
        <v>90664</v>
      </c>
      <c r="M8" s="31"/>
      <c r="N8" s="5"/>
    </row>
    <row r="9" spans="1:14" ht="18.75" x14ac:dyDescent="0.3">
      <c r="A9" s="104"/>
      <c r="B9" s="34">
        <v>4</v>
      </c>
      <c r="C9" s="31" t="s">
        <v>103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4">
        <v>51</v>
      </c>
      <c r="J9" s="35">
        <f t="shared" si="1"/>
        <v>-1</v>
      </c>
      <c r="K9" s="36">
        <f t="shared" si="2"/>
        <v>577983</v>
      </c>
      <c r="L9" s="32">
        <f t="shared" si="3"/>
        <v>-11333</v>
      </c>
      <c r="M9" s="31"/>
      <c r="N9" s="5"/>
    </row>
    <row r="10" spans="1:14" ht="18.75" x14ac:dyDescent="0.3">
      <c r="A10" s="104"/>
      <c r="B10" s="34">
        <v>5</v>
      </c>
      <c r="C10" s="31" t="s">
        <v>105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4">
        <v>42</v>
      </c>
      <c r="J10" s="35">
        <f t="shared" si="1"/>
        <v>8</v>
      </c>
      <c r="K10" s="36">
        <f t="shared" si="2"/>
        <v>475986</v>
      </c>
      <c r="L10" s="32">
        <f t="shared" si="3"/>
        <v>90664</v>
      </c>
      <c r="M10" s="31"/>
      <c r="N10" s="5"/>
    </row>
    <row r="11" spans="1:14" ht="18.75" x14ac:dyDescent="0.3">
      <c r="A11" s="104"/>
      <c r="B11" s="34">
        <v>6</v>
      </c>
      <c r="C11" s="31" t="s">
        <v>195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2">
        <v>11333</v>
      </c>
      <c r="I11" s="34">
        <v>42</v>
      </c>
      <c r="J11" s="35">
        <f t="shared" si="1"/>
        <v>8</v>
      </c>
      <c r="K11" s="36">
        <f t="shared" si="2"/>
        <v>475986</v>
      </c>
      <c r="L11" s="32">
        <f t="shared" si="3"/>
        <v>90664</v>
      </c>
      <c r="M11" s="31"/>
      <c r="N11" s="5"/>
    </row>
    <row r="12" spans="1:14" ht="18.75" x14ac:dyDescent="0.3">
      <c r="A12" s="104"/>
      <c r="B12" s="34">
        <v>7</v>
      </c>
      <c r="C12" s="31" t="s">
        <v>108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4">
        <v>27</v>
      </c>
      <c r="J12" s="35">
        <f t="shared" si="1"/>
        <v>23</v>
      </c>
      <c r="K12" s="36">
        <f t="shared" si="2"/>
        <v>305991</v>
      </c>
      <c r="L12" s="36">
        <f t="shared" si="3"/>
        <v>260659</v>
      </c>
      <c r="M12" s="31"/>
      <c r="N12" s="5"/>
    </row>
    <row r="13" spans="1:14" ht="18.75" x14ac:dyDescent="0.3">
      <c r="A13" s="104"/>
      <c r="B13" s="34">
        <v>8</v>
      </c>
      <c r="C13" s="31" t="s">
        <v>171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4">
        <v>27</v>
      </c>
      <c r="J13" s="35">
        <f t="shared" si="1"/>
        <v>23</v>
      </c>
      <c r="K13" s="36">
        <f t="shared" si="2"/>
        <v>305991</v>
      </c>
      <c r="L13" s="36">
        <f t="shared" si="3"/>
        <v>260659</v>
      </c>
      <c r="M13" s="31"/>
      <c r="N13" s="5"/>
    </row>
    <row r="14" spans="1:14" ht="18.75" x14ac:dyDescent="0.3">
      <c r="A14" s="104"/>
      <c r="B14" s="34">
        <v>9</v>
      </c>
      <c r="C14" s="31" t="s">
        <v>249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4">
        <v>51</v>
      </c>
      <c r="J14" s="35">
        <f t="shared" si="1"/>
        <v>-1</v>
      </c>
      <c r="K14" s="36">
        <f t="shared" si="2"/>
        <v>577983</v>
      </c>
      <c r="L14" s="32">
        <f t="shared" si="3"/>
        <v>-11333</v>
      </c>
      <c r="M14" s="31"/>
      <c r="N14" s="5"/>
    </row>
    <row r="15" spans="1:14" ht="18.75" x14ac:dyDescent="0.3">
      <c r="A15" s="104"/>
      <c r="B15" s="34">
        <v>10</v>
      </c>
      <c r="C15" s="31" t="s">
        <v>121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4">
        <v>48</v>
      </c>
      <c r="J15" s="35">
        <f t="shared" si="1"/>
        <v>2</v>
      </c>
      <c r="K15" s="36">
        <f t="shared" si="2"/>
        <v>543984</v>
      </c>
      <c r="L15" s="32">
        <f t="shared" si="3"/>
        <v>22666</v>
      </c>
      <c r="M15" s="31"/>
      <c r="N15" s="5"/>
    </row>
    <row r="16" spans="1:14" ht="18.75" x14ac:dyDescent="0.3">
      <c r="A16" s="104"/>
      <c r="B16" s="34">
        <v>11</v>
      </c>
      <c r="C16" s="31" t="s">
        <v>123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6">
        <v>11333</v>
      </c>
      <c r="I16" s="34">
        <v>27</v>
      </c>
      <c r="J16" s="35">
        <f t="shared" si="1"/>
        <v>23</v>
      </c>
      <c r="K16" s="36">
        <f t="shared" si="2"/>
        <v>305991</v>
      </c>
      <c r="L16" s="36">
        <f t="shared" si="3"/>
        <v>260659</v>
      </c>
      <c r="M16" s="31"/>
      <c r="N16" s="5"/>
    </row>
    <row r="17" spans="1:14" ht="18.75" x14ac:dyDescent="0.3">
      <c r="A17" s="104"/>
      <c r="B17" s="34">
        <v>12</v>
      </c>
      <c r="C17" s="31" t="s">
        <v>198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34">
        <v>42</v>
      </c>
      <c r="J17" s="35">
        <f t="shared" si="1"/>
        <v>8</v>
      </c>
      <c r="K17" s="36">
        <f t="shared" si="2"/>
        <v>475986</v>
      </c>
      <c r="L17" s="32">
        <f t="shared" si="3"/>
        <v>90664</v>
      </c>
      <c r="M17" s="31"/>
      <c r="N17" s="5"/>
    </row>
    <row r="18" spans="1:14" ht="18.75" x14ac:dyDescent="0.3">
      <c r="A18" s="104"/>
      <c r="B18" s="34">
        <v>13</v>
      </c>
      <c r="C18" s="31" t="s">
        <v>144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34">
        <v>22</v>
      </c>
      <c r="J18" s="35">
        <f t="shared" si="1"/>
        <v>28</v>
      </c>
      <c r="K18" s="36">
        <f t="shared" ref="K18:K39" si="4">I18*H18</f>
        <v>249326</v>
      </c>
      <c r="L18" s="36">
        <f t="shared" si="3"/>
        <v>317324</v>
      </c>
      <c r="M18" s="31"/>
      <c r="N18" s="5"/>
    </row>
    <row r="19" spans="1:14" ht="18.75" x14ac:dyDescent="0.3">
      <c r="A19" s="104"/>
      <c r="B19" s="34">
        <v>14</v>
      </c>
      <c r="C19" s="31" t="s">
        <v>145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34">
        <v>22</v>
      </c>
      <c r="J19" s="35">
        <f t="shared" si="1"/>
        <v>28</v>
      </c>
      <c r="K19" s="36">
        <f t="shared" si="4"/>
        <v>249326</v>
      </c>
      <c r="L19" s="36">
        <f t="shared" si="3"/>
        <v>317324</v>
      </c>
      <c r="M19" s="31"/>
      <c r="N19" s="5"/>
    </row>
    <row r="20" spans="1:14" ht="18.75" x14ac:dyDescent="0.3">
      <c r="A20" s="104"/>
      <c r="B20" s="34">
        <v>15</v>
      </c>
      <c r="C20" s="50" t="s">
        <v>154</v>
      </c>
      <c r="D20" s="33">
        <v>500000</v>
      </c>
      <c r="E20" s="33">
        <v>31991.919999999998</v>
      </c>
      <c r="F20" s="32">
        <f t="shared" si="0"/>
        <v>531991.92000000004</v>
      </c>
      <c r="G20" s="34">
        <v>24</v>
      </c>
      <c r="H20" s="32">
        <v>22166.33</v>
      </c>
      <c r="I20" s="81">
        <v>16</v>
      </c>
      <c r="J20" s="35">
        <f t="shared" si="1"/>
        <v>8</v>
      </c>
      <c r="K20" s="36">
        <f t="shared" si="4"/>
        <v>354661.28</v>
      </c>
      <c r="L20" s="36">
        <f t="shared" si="3"/>
        <v>177330.64</v>
      </c>
      <c r="M20" s="31"/>
      <c r="N20" s="5"/>
    </row>
    <row r="21" spans="1:14" ht="18.75" x14ac:dyDescent="0.3">
      <c r="A21" s="104"/>
      <c r="B21" s="34">
        <v>16</v>
      </c>
      <c r="C21" s="50" t="s">
        <v>208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81">
        <v>13</v>
      </c>
      <c r="J21" s="35">
        <f t="shared" si="1"/>
        <v>37</v>
      </c>
      <c r="K21" s="36">
        <f t="shared" si="4"/>
        <v>147329</v>
      </c>
      <c r="L21" s="36">
        <f t="shared" si="3"/>
        <v>419321</v>
      </c>
      <c r="M21" s="31"/>
      <c r="N21" s="5"/>
    </row>
    <row r="22" spans="1:14" ht="18.75" x14ac:dyDescent="0.3">
      <c r="A22" s="104"/>
      <c r="B22" s="34">
        <v>17</v>
      </c>
      <c r="C22" s="50" t="s">
        <v>14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81">
        <v>11</v>
      </c>
      <c r="J22" s="35">
        <f t="shared" si="1"/>
        <v>39</v>
      </c>
      <c r="K22" s="36">
        <f t="shared" si="4"/>
        <v>124663</v>
      </c>
      <c r="L22" s="36">
        <f t="shared" si="3"/>
        <v>441987</v>
      </c>
      <c r="M22" s="31"/>
      <c r="N22" s="5"/>
    </row>
    <row r="23" spans="1:14" ht="18.75" x14ac:dyDescent="0.3">
      <c r="A23" s="104"/>
      <c r="B23" s="34">
        <v>18</v>
      </c>
      <c r="C23" s="50" t="s">
        <v>15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81">
        <v>11</v>
      </c>
      <c r="J23" s="35">
        <f t="shared" si="1"/>
        <v>39</v>
      </c>
      <c r="K23" s="36">
        <f t="shared" si="4"/>
        <v>124663</v>
      </c>
      <c r="L23" s="36">
        <f t="shared" si="3"/>
        <v>441987</v>
      </c>
      <c r="M23" s="31"/>
      <c r="N23" s="5"/>
    </row>
    <row r="24" spans="1:14" ht="18.75" x14ac:dyDescent="0.3">
      <c r="A24" s="104"/>
      <c r="B24" s="34">
        <v>19</v>
      </c>
      <c r="C24" s="50" t="s">
        <v>16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81">
        <v>11</v>
      </c>
      <c r="J24" s="35">
        <f t="shared" si="1"/>
        <v>39</v>
      </c>
      <c r="K24" s="36">
        <f t="shared" si="4"/>
        <v>124663</v>
      </c>
      <c r="L24" s="36">
        <f t="shared" si="3"/>
        <v>441987</v>
      </c>
      <c r="M24" s="31"/>
      <c r="N24" s="5"/>
    </row>
    <row r="25" spans="1:14" ht="18.75" x14ac:dyDescent="0.3">
      <c r="A25" s="104"/>
      <c r="B25" s="34">
        <v>20</v>
      </c>
      <c r="C25" s="50" t="s">
        <v>20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81">
        <v>38</v>
      </c>
      <c r="J25" s="35">
        <f t="shared" si="1"/>
        <v>12</v>
      </c>
      <c r="K25" s="36">
        <f t="shared" si="4"/>
        <v>430654</v>
      </c>
      <c r="L25" s="36">
        <f t="shared" si="3"/>
        <v>135996</v>
      </c>
      <c r="M25" s="31" t="s">
        <v>226</v>
      </c>
      <c r="N25" s="5"/>
    </row>
    <row r="26" spans="1:14" ht="18.75" x14ac:dyDescent="0.3">
      <c r="A26" s="104"/>
      <c r="B26" s="34">
        <v>21</v>
      </c>
      <c r="C26" s="50" t="s">
        <v>232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81">
        <v>8</v>
      </c>
      <c r="J26" s="35">
        <f t="shared" si="1"/>
        <v>42</v>
      </c>
      <c r="K26" s="36">
        <f t="shared" si="4"/>
        <v>90664</v>
      </c>
      <c r="L26" s="36">
        <f t="shared" si="3"/>
        <v>475986</v>
      </c>
      <c r="M26" s="31"/>
      <c r="N26" s="5"/>
    </row>
    <row r="27" spans="1:14" ht="18.75" x14ac:dyDescent="0.3">
      <c r="A27" s="104"/>
      <c r="B27" s="34">
        <v>22</v>
      </c>
      <c r="C27" s="50" t="s">
        <v>214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81">
        <v>8</v>
      </c>
      <c r="J27" s="35">
        <f t="shared" si="1"/>
        <v>42</v>
      </c>
      <c r="K27" s="36">
        <f t="shared" si="4"/>
        <v>90664</v>
      </c>
      <c r="L27" s="36">
        <f t="shared" si="3"/>
        <v>475986</v>
      </c>
      <c r="M27" s="31"/>
      <c r="N27" s="5"/>
    </row>
    <row r="28" spans="1:14" ht="18.75" x14ac:dyDescent="0.3">
      <c r="A28" s="104"/>
      <c r="B28" s="34">
        <v>23</v>
      </c>
      <c r="C28" s="50" t="s">
        <v>31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81">
        <v>5</v>
      </c>
      <c r="J28" s="35">
        <f t="shared" si="1"/>
        <v>45</v>
      </c>
      <c r="K28" s="36">
        <f t="shared" si="4"/>
        <v>56665</v>
      </c>
      <c r="L28" s="36">
        <f t="shared" si="3"/>
        <v>509985</v>
      </c>
      <c r="M28" s="31"/>
      <c r="N28" s="5"/>
    </row>
    <row r="29" spans="1:14" ht="18.75" x14ac:dyDescent="0.3">
      <c r="A29" s="104"/>
      <c r="B29" s="34">
        <v>24</v>
      </c>
      <c r="C29" s="29" t="s">
        <v>161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81">
        <v>18</v>
      </c>
      <c r="J29" s="35">
        <f t="shared" si="1"/>
        <v>32</v>
      </c>
      <c r="K29" s="36">
        <f t="shared" si="4"/>
        <v>203994</v>
      </c>
      <c r="L29" s="36">
        <f t="shared" si="3"/>
        <v>362656</v>
      </c>
      <c r="M29" s="31" t="s">
        <v>221</v>
      </c>
      <c r="N29" s="5"/>
    </row>
    <row r="30" spans="1:14" ht="18.75" x14ac:dyDescent="0.3">
      <c r="A30" s="104"/>
      <c r="B30" s="34">
        <v>25</v>
      </c>
      <c r="C30" s="29" t="s">
        <v>170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81">
        <v>27</v>
      </c>
      <c r="J30" s="35">
        <f t="shared" si="1"/>
        <v>23</v>
      </c>
      <c r="K30" s="36">
        <f t="shared" si="4"/>
        <v>305991</v>
      </c>
      <c r="L30" s="36">
        <f t="shared" si="3"/>
        <v>260659</v>
      </c>
      <c r="M30" s="31" t="s">
        <v>221</v>
      </c>
      <c r="N30" s="5"/>
    </row>
    <row r="31" spans="1:14" ht="18.75" x14ac:dyDescent="0.3">
      <c r="A31" s="104"/>
      <c r="B31" s="34">
        <v>26</v>
      </c>
      <c r="C31" s="29" t="s">
        <v>172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81">
        <v>23</v>
      </c>
      <c r="J31" s="35">
        <f t="shared" si="1"/>
        <v>27</v>
      </c>
      <c r="K31" s="36">
        <f t="shared" si="4"/>
        <v>260659</v>
      </c>
      <c r="L31" s="36">
        <f t="shared" si="3"/>
        <v>305991</v>
      </c>
      <c r="M31" s="31" t="s">
        <v>221</v>
      </c>
      <c r="N31" s="5"/>
    </row>
    <row r="32" spans="1:14" ht="18.75" x14ac:dyDescent="0.3">
      <c r="A32" s="104"/>
      <c r="B32" s="34">
        <v>27</v>
      </c>
      <c r="C32" s="29" t="s">
        <v>46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81">
        <v>3</v>
      </c>
      <c r="J32" s="35">
        <f t="shared" si="1"/>
        <v>47</v>
      </c>
      <c r="K32" s="36">
        <f t="shared" si="4"/>
        <v>33999</v>
      </c>
      <c r="L32" s="36">
        <f t="shared" si="3"/>
        <v>532651</v>
      </c>
      <c r="M32" s="31"/>
      <c r="N32" s="5"/>
    </row>
    <row r="33" spans="1:14" ht="18.75" x14ac:dyDescent="0.3">
      <c r="A33" s="104"/>
      <c r="B33" s="34">
        <v>28</v>
      </c>
      <c r="C33" s="29" t="s">
        <v>45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81">
        <v>3</v>
      </c>
      <c r="J33" s="35">
        <f t="shared" si="1"/>
        <v>47</v>
      </c>
      <c r="K33" s="36">
        <f t="shared" si="4"/>
        <v>33999</v>
      </c>
      <c r="L33" s="36">
        <f t="shared" si="3"/>
        <v>532651</v>
      </c>
      <c r="M33" s="31"/>
      <c r="N33" s="5"/>
    </row>
    <row r="34" spans="1:14" ht="18.75" x14ac:dyDescent="0.3">
      <c r="A34" s="104"/>
      <c r="B34" s="34">
        <v>29</v>
      </c>
      <c r="C34" s="29" t="s">
        <v>239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81">
        <v>3</v>
      </c>
      <c r="J34" s="35">
        <f t="shared" si="1"/>
        <v>47</v>
      </c>
      <c r="K34" s="36">
        <f t="shared" si="4"/>
        <v>33999</v>
      </c>
      <c r="L34" s="36">
        <f t="shared" si="3"/>
        <v>532651</v>
      </c>
      <c r="M34" s="31"/>
      <c r="N34" s="5"/>
    </row>
    <row r="35" spans="1:14" ht="18.75" x14ac:dyDescent="0.3">
      <c r="A35" s="104"/>
      <c r="B35" s="34">
        <v>30</v>
      </c>
      <c r="C35" s="29" t="s">
        <v>44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81">
        <v>3</v>
      </c>
      <c r="J35" s="35">
        <f t="shared" si="1"/>
        <v>47</v>
      </c>
      <c r="K35" s="36">
        <f t="shared" si="4"/>
        <v>33999</v>
      </c>
      <c r="L35" s="36">
        <f t="shared" si="3"/>
        <v>532651</v>
      </c>
      <c r="M35" s="31"/>
      <c r="N35" s="5"/>
    </row>
    <row r="36" spans="1:14" ht="18.75" x14ac:dyDescent="0.3">
      <c r="A36" s="104"/>
      <c r="B36" s="34">
        <v>31</v>
      </c>
      <c r="C36" s="29" t="s">
        <v>66</v>
      </c>
      <c r="D36" s="33">
        <v>500000</v>
      </c>
      <c r="E36" s="33">
        <v>66650</v>
      </c>
      <c r="F36" s="32">
        <f t="shared" si="0"/>
        <v>566650</v>
      </c>
      <c r="G36" s="34">
        <v>50</v>
      </c>
      <c r="H36" s="32">
        <v>11333</v>
      </c>
      <c r="I36" s="81">
        <v>1</v>
      </c>
      <c r="J36" s="35">
        <f t="shared" si="1"/>
        <v>49</v>
      </c>
      <c r="K36" s="36">
        <f t="shared" si="4"/>
        <v>11333</v>
      </c>
      <c r="L36" s="36">
        <f t="shared" si="3"/>
        <v>555317</v>
      </c>
      <c r="M36" s="31" t="s">
        <v>28</v>
      </c>
      <c r="N36" s="5"/>
    </row>
    <row r="37" spans="1:14" ht="18.75" x14ac:dyDescent="0.3">
      <c r="A37" s="104"/>
      <c r="B37" s="34">
        <v>32</v>
      </c>
      <c r="C37" s="29" t="s">
        <v>67</v>
      </c>
      <c r="D37" s="33">
        <v>500000</v>
      </c>
      <c r="E37" s="33">
        <v>66650</v>
      </c>
      <c r="F37" s="32">
        <f t="shared" si="0"/>
        <v>566650</v>
      </c>
      <c r="G37" s="34">
        <v>50</v>
      </c>
      <c r="H37" s="32">
        <v>11333</v>
      </c>
      <c r="I37" s="81">
        <v>1</v>
      </c>
      <c r="J37" s="35">
        <f t="shared" si="1"/>
        <v>49</v>
      </c>
      <c r="K37" s="36">
        <f t="shared" si="4"/>
        <v>11333</v>
      </c>
      <c r="L37" s="36">
        <f t="shared" si="3"/>
        <v>555317</v>
      </c>
      <c r="M37" s="31" t="s">
        <v>28</v>
      </c>
      <c r="N37" s="5"/>
    </row>
    <row r="38" spans="1:14" ht="18.75" x14ac:dyDescent="0.3">
      <c r="A38" s="104"/>
      <c r="B38" s="34">
        <v>33</v>
      </c>
      <c r="C38" s="29" t="s">
        <v>68</v>
      </c>
      <c r="D38" s="33">
        <v>500000</v>
      </c>
      <c r="E38" s="33">
        <v>66650</v>
      </c>
      <c r="F38" s="32">
        <f t="shared" ref="F38:F69" si="5">D38+E38</f>
        <v>566650</v>
      </c>
      <c r="G38" s="34">
        <v>50</v>
      </c>
      <c r="H38" s="32">
        <v>11333</v>
      </c>
      <c r="I38" s="81">
        <v>1</v>
      </c>
      <c r="J38" s="35">
        <f t="shared" ref="J38:J69" si="6">G38-I38</f>
        <v>49</v>
      </c>
      <c r="K38" s="36">
        <f t="shared" si="4"/>
        <v>11333</v>
      </c>
      <c r="L38" s="36">
        <f t="shared" ref="L38:L69" si="7">F38-K38</f>
        <v>555317</v>
      </c>
      <c r="M38" s="31" t="s">
        <v>28</v>
      </c>
      <c r="N38" s="5"/>
    </row>
    <row r="39" spans="1:14" ht="18.75" x14ac:dyDescent="0.3">
      <c r="A39" s="104"/>
      <c r="B39" s="34">
        <v>34</v>
      </c>
      <c r="C39" s="31" t="s">
        <v>74</v>
      </c>
      <c r="D39" s="33">
        <v>450000</v>
      </c>
      <c r="E39" s="33">
        <v>59985</v>
      </c>
      <c r="F39" s="32">
        <f t="shared" si="5"/>
        <v>509985</v>
      </c>
      <c r="G39" s="34">
        <v>50</v>
      </c>
      <c r="H39" s="32">
        <v>10199.700000000001</v>
      </c>
      <c r="I39" s="34">
        <v>24</v>
      </c>
      <c r="J39" s="35">
        <f t="shared" si="6"/>
        <v>26</v>
      </c>
      <c r="K39" s="32">
        <f t="shared" si="4"/>
        <v>244792.80000000002</v>
      </c>
      <c r="L39" s="33">
        <f t="shared" si="7"/>
        <v>265192.19999999995</v>
      </c>
      <c r="M39" s="31"/>
      <c r="N39" s="5"/>
    </row>
    <row r="40" spans="1:14" ht="18.75" x14ac:dyDescent="0.3">
      <c r="A40" s="104"/>
      <c r="B40" s="34">
        <v>35</v>
      </c>
      <c r="C40" s="31" t="s">
        <v>77</v>
      </c>
      <c r="D40" s="33">
        <v>450000</v>
      </c>
      <c r="E40" s="33">
        <v>59985</v>
      </c>
      <c r="F40" s="32">
        <f t="shared" si="5"/>
        <v>509985</v>
      </c>
      <c r="G40" s="34">
        <v>50</v>
      </c>
      <c r="H40" s="32">
        <v>10199.700000000001</v>
      </c>
      <c r="I40" s="82">
        <v>23</v>
      </c>
      <c r="J40" s="35">
        <f t="shared" si="6"/>
        <v>27</v>
      </c>
      <c r="K40" s="32">
        <f t="shared" ref="K40:K49" si="8">H40*I40</f>
        <v>234593.1</v>
      </c>
      <c r="L40" s="33">
        <f t="shared" si="7"/>
        <v>275391.90000000002</v>
      </c>
      <c r="M40" s="31"/>
      <c r="N40" s="5"/>
    </row>
    <row r="41" spans="1:14" ht="18.75" x14ac:dyDescent="0.3">
      <c r="A41" s="104"/>
      <c r="B41" s="34">
        <v>36</v>
      </c>
      <c r="C41" s="31" t="s">
        <v>78</v>
      </c>
      <c r="D41" s="33">
        <v>450000</v>
      </c>
      <c r="E41" s="33">
        <v>59985</v>
      </c>
      <c r="F41" s="32">
        <f t="shared" si="5"/>
        <v>509985</v>
      </c>
      <c r="G41" s="34">
        <v>50</v>
      </c>
      <c r="H41" s="32">
        <v>10199.700000000001</v>
      </c>
      <c r="I41" s="82">
        <v>23</v>
      </c>
      <c r="J41" s="35">
        <f t="shared" si="6"/>
        <v>27</v>
      </c>
      <c r="K41" s="32">
        <f t="shared" si="8"/>
        <v>234593.1</v>
      </c>
      <c r="L41" s="32">
        <f t="shared" si="7"/>
        <v>275391.90000000002</v>
      </c>
      <c r="M41" s="31"/>
      <c r="N41" s="5"/>
    </row>
    <row r="42" spans="1:14" ht="18.75" x14ac:dyDescent="0.3">
      <c r="A42" s="104"/>
      <c r="B42" s="34">
        <v>37</v>
      </c>
      <c r="C42" s="31" t="s">
        <v>82</v>
      </c>
      <c r="D42" s="33">
        <v>450000</v>
      </c>
      <c r="E42" s="33">
        <v>59985</v>
      </c>
      <c r="F42" s="32">
        <f t="shared" si="5"/>
        <v>509985</v>
      </c>
      <c r="G42" s="34">
        <v>50</v>
      </c>
      <c r="H42" s="32">
        <v>10199.700000000001</v>
      </c>
      <c r="I42" s="34">
        <v>27</v>
      </c>
      <c r="J42" s="35">
        <f t="shared" si="6"/>
        <v>23</v>
      </c>
      <c r="K42" s="36">
        <f t="shared" si="8"/>
        <v>275391.90000000002</v>
      </c>
      <c r="L42" s="36">
        <f t="shared" si="7"/>
        <v>234593.09999999998</v>
      </c>
      <c r="M42" s="31"/>
      <c r="N42" s="5"/>
    </row>
    <row r="43" spans="1:14" ht="18.75" x14ac:dyDescent="0.3">
      <c r="A43" s="104"/>
      <c r="B43" s="34">
        <v>38</v>
      </c>
      <c r="C43" s="31" t="s">
        <v>92</v>
      </c>
      <c r="D43" s="33">
        <v>450000</v>
      </c>
      <c r="E43" s="33">
        <v>59985</v>
      </c>
      <c r="F43" s="32">
        <f t="shared" si="5"/>
        <v>509985</v>
      </c>
      <c r="G43" s="34">
        <v>50</v>
      </c>
      <c r="H43" s="32">
        <v>10199.700000000001</v>
      </c>
      <c r="I43" s="34">
        <v>51</v>
      </c>
      <c r="J43" s="35">
        <f t="shared" si="6"/>
        <v>-1</v>
      </c>
      <c r="K43" s="36">
        <f t="shared" si="8"/>
        <v>520184.7</v>
      </c>
      <c r="L43" s="32">
        <f t="shared" si="7"/>
        <v>-10199.700000000012</v>
      </c>
      <c r="M43" s="31"/>
      <c r="N43" s="5"/>
    </row>
    <row r="44" spans="1:14" ht="18.75" x14ac:dyDescent="0.3">
      <c r="A44" s="104"/>
      <c r="B44" s="34">
        <v>39</v>
      </c>
      <c r="C44" s="31" t="s">
        <v>99</v>
      </c>
      <c r="D44" s="33">
        <v>450000</v>
      </c>
      <c r="E44" s="33">
        <v>59985</v>
      </c>
      <c r="F44" s="32">
        <f t="shared" si="5"/>
        <v>509985</v>
      </c>
      <c r="G44" s="34">
        <v>50</v>
      </c>
      <c r="H44" s="36">
        <v>10199.700000000001</v>
      </c>
      <c r="I44" s="34">
        <v>27</v>
      </c>
      <c r="J44" s="35">
        <f t="shared" si="6"/>
        <v>23</v>
      </c>
      <c r="K44" s="36">
        <f t="shared" si="8"/>
        <v>275391.90000000002</v>
      </c>
      <c r="L44" s="36">
        <f t="shared" si="7"/>
        <v>234593.09999999998</v>
      </c>
      <c r="M44" s="31"/>
      <c r="N44" s="5"/>
    </row>
    <row r="45" spans="1:14" ht="18.75" x14ac:dyDescent="0.3">
      <c r="A45" s="104"/>
      <c r="B45" s="34">
        <v>40</v>
      </c>
      <c r="C45" s="31" t="s">
        <v>194</v>
      </c>
      <c r="D45" s="33">
        <v>450000</v>
      </c>
      <c r="E45" s="33">
        <v>59985</v>
      </c>
      <c r="F45" s="32">
        <f t="shared" si="5"/>
        <v>509985</v>
      </c>
      <c r="G45" s="34">
        <v>50</v>
      </c>
      <c r="H45" s="32">
        <v>10199.700000000001</v>
      </c>
      <c r="I45" s="34">
        <v>51</v>
      </c>
      <c r="J45" s="35">
        <f t="shared" si="6"/>
        <v>-1</v>
      </c>
      <c r="K45" s="36">
        <f t="shared" si="8"/>
        <v>520184.7</v>
      </c>
      <c r="L45" s="32">
        <f t="shared" si="7"/>
        <v>-10199.700000000012</v>
      </c>
      <c r="M45" s="31"/>
      <c r="N45" s="5"/>
    </row>
    <row r="46" spans="1:14" ht="18.75" x14ac:dyDescent="0.3">
      <c r="A46" s="104"/>
      <c r="B46" s="34">
        <v>41</v>
      </c>
      <c r="C46" s="31" t="s">
        <v>115</v>
      </c>
      <c r="D46" s="33">
        <v>450000</v>
      </c>
      <c r="E46" s="33">
        <v>59985</v>
      </c>
      <c r="F46" s="32">
        <f t="shared" si="5"/>
        <v>509985</v>
      </c>
      <c r="G46" s="34">
        <v>50</v>
      </c>
      <c r="H46" s="32">
        <v>10199.700000000001</v>
      </c>
      <c r="I46" s="34">
        <v>51</v>
      </c>
      <c r="J46" s="35">
        <f t="shared" si="6"/>
        <v>-1</v>
      </c>
      <c r="K46" s="36">
        <f t="shared" si="8"/>
        <v>520184.7</v>
      </c>
      <c r="L46" s="32">
        <f t="shared" si="7"/>
        <v>-10199.700000000012</v>
      </c>
      <c r="M46" s="31"/>
      <c r="N46" s="5"/>
    </row>
    <row r="47" spans="1:14" ht="18.75" x14ac:dyDescent="0.3">
      <c r="A47" s="104"/>
      <c r="B47" s="34">
        <v>42</v>
      </c>
      <c r="C47" s="31" t="s">
        <v>196</v>
      </c>
      <c r="D47" s="33">
        <v>450000</v>
      </c>
      <c r="E47" s="33">
        <v>59985</v>
      </c>
      <c r="F47" s="32">
        <f t="shared" si="5"/>
        <v>509985</v>
      </c>
      <c r="G47" s="34">
        <v>50</v>
      </c>
      <c r="H47" s="32">
        <v>10199.700000000001</v>
      </c>
      <c r="I47" s="34">
        <v>42</v>
      </c>
      <c r="J47" s="35">
        <f t="shared" si="6"/>
        <v>8</v>
      </c>
      <c r="K47" s="36">
        <f t="shared" si="8"/>
        <v>428387.4</v>
      </c>
      <c r="L47" s="32">
        <f t="shared" si="7"/>
        <v>81597.599999999977</v>
      </c>
      <c r="M47" s="31"/>
      <c r="N47" s="5"/>
    </row>
    <row r="48" spans="1:14" ht="18.75" x14ac:dyDescent="0.3">
      <c r="A48" s="104"/>
      <c r="B48" s="34">
        <v>43</v>
      </c>
      <c r="C48" s="31" t="s">
        <v>122</v>
      </c>
      <c r="D48" s="33">
        <v>450000</v>
      </c>
      <c r="E48" s="33">
        <v>59985</v>
      </c>
      <c r="F48" s="32">
        <f t="shared" si="5"/>
        <v>509985</v>
      </c>
      <c r="G48" s="34">
        <v>50</v>
      </c>
      <c r="H48" s="36">
        <v>10199.700000000001</v>
      </c>
      <c r="I48" s="34">
        <v>27</v>
      </c>
      <c r="J48" s="35">
        <f t="shared" si="6"/>
        <v>23</v>
      </c>
      <c r="K48" s="36">
        <f t="shared" si="8"/>
        <v>275391.90000000002</v>
      </c>
      <c r="L48" s="36">
        <f t="shared" si="7"/>
        <v>234593.09999999998</v>
      </c>
      <c r="M48" s="31"/>
      <c r="N48" s="5"/>
    </row>
    <row r="49" spans="1:14" ht="18.75" x14ac:dyDescent="0.3">
      <c r="A49" s="104"/>
      <c r="B49" s="34">
        <v>44</v>
      </c>
      <c r="C49" s="31" t="s">
        <v>204</v>
      </c>
      <c r="D49" s="33">
        <v>450000</v>
      </c>
      <c r="E49" s="33">
        <v>59985</v>
      </c>
      <c r="F49" s="32">
        <f t="shared" si="5"/>
        <v>509985</v>
      </c>
      <c r="G49" s="34">
        <v>50</v>
      </c>
      <c r="H49" s="32">
        <v>10199.700000000001</v>
      </c>
      <c r="I49" s="34">
        <v>32</v>
      </c>
      <c r="J49" s="35">
        <f t="shared" si="6"/>
        <v>18</v>
      </c>
      <c r="K49" s="36">
        <f t="shared" si="8"/>
        <v>326390.40000000002</v>
      </c>
      <c r="L49" s="32">
        <f t="shared" si="7"/>
        <v>183594.59999999998</v>
      </c>
      <c r="M49" s="31"/>
      <c r="N49" s="5"/>
    </row>
    <row r="50" spans="1:14" ht="18.75" x14ac:dyDescent="0.3">
      <c r="A50" s="104"/>
      <c r="B50" s="34">
        <v>45</v>
      </c>
      <c r="C50" s="31" t="s">
        <v>205</v>
      </c>
      <c r="D50" s="33">
        <v>450000</v>
      </c>
      <c r="E50" s="33">
        <v>59985</v>
      </c>
      <c r="F50" s="32">
        <f t="shared" si="5"/>
        <v>509985</v>
      </c>
      <c r="G50" s="34">
        <v>50</v>
      </c>
      <c r="H50" s="32">
        <v>10199.700000000001</v>
      </c>
      <c r="I50" s="34">
        <v>51</v>
      </c>
      <c r="J50" s="35">
        <f t="shared" si="6"/>
        <v>-1</v>
      </c>
      <c r="K50" s="36">
        <f t="shared" ref="K50:K60" si="9">I50*H50</f>
        <v>520184.7</v>
      </c>
      <c r="L50" s="32">
        <f t="shared" si="7"/>
        <v>-10199.700000000012</v>
      </c>
      <c r="M50" s="31"/>
      <c r="N50" s="5"/>
    </row>
    <row r="51" spans="1:14" ht="18.75" x14ac:dyDescent="0.3">
      <c r="A51" s="104"/>
      <c r="B51" s="34">
        <v>46</v>
      </c>
      <c r="C51" s="50" t="s">
        <v>146</v>
      </c>
      <c r="D51" s="33">
        <v>450000</v>
      </c>
      <c r="E51" s="33">
        <v>59985</v>
      </c>
      <c r="F51" s="32">
        <f t="shared" si="5"/>
        <v>509985</v>
      </c>
      <c r="G51" s="34">
        <v>50</v>
      </c>
      <c r="H51" s="32">
        <v>10199.700000000001</v>
      </c>
      <c r="I51" s="81">
        <v>16</v>
      </c>
      <c r="J51" s="35">
        <f t="shared" si="6"/>
        <v>34</v>
      </c>
      <c r="K51" s="36">
        <f t="shared" si="9"/>
        <v>163195.20000000001</v>
      </c>
      <c r="L51" s="36">
        <f t="shared" si="7"/>
        <v>346789.8</v>
      </c>
      <c r="M51" s="31"/>
      <c r="N51" s="5"/>
    </row>
    <row r="52" spans="1:14" ht="18.75" x14ac:dyDescent="0.3">
      <c r="A52" s="104"/>
      <c r="B52" s="34">
        <v>47</v>
      </c>
      <c r="C52" s="50" t="s">
        <v>231</v>
      </c>
      <c r="D52" s="33">
        <v>450000</v>
      </c>
      <c r="E52" s="33">
        <v>59985</v>
      </c>
      <c r="F52" s="32">
        <f t="shared" si="5"/>
        <v>509985</v>
      </c>
      <c r="G52" s="34">
        <v>50</v>
      </c>
      <c r="H52" s="32">
        <v>10199.700000000001</v>
      </c>
      <c r="I52" s="81">
        <v>16</v>
      </c>
      <c r="J52" s="35">
        <f t="shared" si="6"/>
        <v>34</v>
      </c>
      <c r="K52" s="36">
        <f t="shared" si="9"/>
        <v>163195.20000000001</v>
      </c>
      <c r="L52" s="36">
        <f t="shared" si="7"/>
        <v>346789.8</v>
      </c>
      <c r="M52" s="31"/>
      <c r="N52" s="5"/>
    </row>
    <row r="53" spans="1:14" ht="18.75" x14ac:dyDescent="0.3">
      <c r="A53" s="104"/>
      <c r="B53" s="34">
        <v>48</v>
      </c>
      <c r="C53" s="50" t="s">
        <v>17</v>
      </c>
      <c r="D53" s="33">
        <v>450000</v>
      </c>
      <c r="E53" s="33">
        <v>59985</v>
      </c>
      <c r="F53" s="32">
        <f t="shared" si="5"/>
        <v>509985</v>
      </c>
      <c r="G53" s="34">
        <v>50</v>
      </c>
      <c r="H53" s="32">
        <v>10199.700000000001</v>
      </c>
      <c r="I53" s="81">
        <v>11</v>
      </c>
      <c r="J53" s="35">
        <f t="shared" si="6"/>
        <v>39</v>
      </c>
      <c r="K53" s="36">
        <f t="shared" si="9"/>
        <v>112196.70000000001</v>
      </c>
      <c r="L53" s="36">
        <f t="shared" si="7"/>
        <v>397788.3</v>
      </c>
      <c r="M53" s="31"/>
      <c r="N53" s="5"/>
    </row>
    <row r="54" spans="1:14" ht="18.75" x14ac:dyDescent="0.3">
      <c r="A54" s="104"/>
      <c r="B54" s="34">
        <v>49</v>
      </c>
      <c r="C54" s="50" t="s">
        <v>22</v>
      </c>
      <c r="D54" s="33">
        <v>450000</v>
      </c>
      <c r="E54" s="33">
        <v>59985</v>
      </c>
      <c r="F54" s="32">
        <f t="shared" si="5"/>
        <v>509985</v>
      </c>
      <c r="G54" s="34">
        <v>50</v>
      </c>
      <c r="H54" s="32">
        <v>10199.700000000001</v>
      </c>
      <c r="I54" s="81">
        <v>8</v>
      </c>
      <c r="J54" s="35">
        <f t="shared" si="6"/>
        <v>42</v>
      </c>
      <c r="K54" s="36">
        <f t="shared" si="9"/>
        <v>81597.600000000006</v>
      </c>
      <c r="L54" s="36">
        <f t="shared" si="7"/>
        <v>428387.4</v>
      </c>
      <c r="M54" s="31"/>
      <c r="N54" s="5"/>
    </row>
    <row r="55" spans="1:14" ht="18.75" x14ac:dyDescent="0.3">
      <c r="A55" s="104"/>
      <c r="B55" s="34">
        <v>50</v>
      </c>
      <c r="C55" s="50" t="s">
        <v>29</v>
      </c>
      <c r="D55" s="33">
        <v>450000</v>
      </c>
      <c r="E55" s="33">
        <v>59985</v>
      </c>
      <c r="F55" s="32">
        <f t="shared" si="5"/>
        <v>509985</v>
      </c>
      <c r="G55" s="34">
        <v>50</v>
      </c>
      <c r="H55" s="32">
        <v>10199.700000000001</v>
      </c>
      <c r="I55" s="81">
        <v>5</v>
      </c>
      <c r="J55" s="35">
        <f t="shared" si="6"/>
        <v>45</v>
      </c>
      <c r="K55" s="36">
        <f t="shared" si="9"/>
        <v>50998.5</v>
      </c>
      <c r="L55" s="36">
        <f t="shared" si="7"/>
        <v>458986.5</v>
      </c>
      <c r="M55" s="31"/>
      <c r="N55" s="5"/>
    </row>
    <row r="56" spans="1:14" ht="18.75" x14ac:dyDescent="0.3">
      <c r="A56" s="104"/>
      <c r="B56" s="34">
        <v>51</v>
      </c>
      <c r="C56" s="29" t="s">
        <v>35</v>
      </c>
      <c r="D56" s="33">
        <v>450000</v>
      </c>
      <c r="E56" s="33">
        <v>59985</v>
      </c>
      <c r="F56" s="32">
        <f t="shared" si="5"/>
        <v>509985</v>
      </c>
      <c r="G56" s="34">
        <v>50</v>
      </c>
      <c r="H56" s="32">
        <v>10199.700000000001</v>
      </c>
      <c r="I56" s="81">
        <v>6</v>
      </c>
      <c r="J56" s="35">
        <f t="shared" si="6"/>
        <v>44</v>
      </c>
      <c r="K56" s="36">
        <f t="shared" si="9"/>
        <v>61198.200000000004</v>
      </c>
      <c r="L56" s="36">
        <f t="shared" si="7"/>
        <v>448786.8</v>
      </c>
      <c r="M56" s="31"/>
      <c r="N56" s="5"/>
    </row>
    <row r="57" spans="1:14" s="21" customFormat="1" ht="18.75" x14ac:dyDescent="0.3">
      <c r="A57" s="104"/>
      <c r="B57" s="34">
        <v>52</v>
      </c>
      <c r="C57" s="29" t="s">
        <v>48</v>
      </c>
      <c r="D57" s="33">
        <v>450000</v>
      </c>
      <c r="E57" s="33">
        <v>59985</v>
      </c>
      <c r="F57" s="32">
        <f t="shared" si="5"/>
        <v>509985</v>
      </c>
      <c r="G57" s="34">
        <v>50</v>
      </c>
      <c r="H57" s="32">
        <v>10199.700000000001</v>
      </c>
      <c r="I57" s="81">
        <v>3</v>
      </c>
      <c r="J57" s="35">
        <f t="shared" si="6"/>
        <v>47</v>
      </c>
      <c r="K57" s="36">
        <f t="shared" si="9"/>
        <v>30599.100000000002</v>
      </c>
      <c r="L57" s="36">
        <f t="shared" si="7"/>
        <v>479385.9</v>
      </c>
      <c r="M57" s="31"/>
      <c r="N57" s="5"/>
    </row>
    <row r="58" spans="1:14" ht="18.75" x14ac:dyDescent="0.3">
      <c r="A58" s="104"/>
      <c r="B58" s="34">
        <v>53</v>
      </c>
      <c r="C58" s="29" t="s">
        <v>63</v>
      </c>
      <c r="D58" s="33">
        <v>450000</v>
      </c>
      <c r="E58" s="33">
        <v>59985</v>
      </c>
      <c r="F58" s="32">
        <f t="shared" si="5"/>
        <v>509985</v>
      </c>
      <c r="G58" s="34">
        <v>50</v>
      </c>
      <c r="H58" s="32">
        <v>10199.700000000001</v>
      </c>
      <c r="I58" s="81">
        <v>1</v>
      </c>
      <c r="J58" s="35">
        <f t="shared" si="6"/>
        <v>49</v>
      </c>
      <c r="K58" s="36">
        <f t="shared" si="9"/>
        <v>10199.700000000001</v>
      </c>
      <c r="L58" s="36">
        <f t="shared" si="7"/>
        <v>499785.3</v>
      </c>
      <c r="M58" s="31" t="s">
        <v>28</v>
      </c>
      <c r="N58" s="5"/>
    </row>
    <row r="59" spans="1:14" ht="18.75" x14ac:dyDescent="0.3">
      <c r="A59" s="104"/>
      <c r="B59" s="34">
        <v>54</v>
      </c>
      <c r="C59" s="29" t="s">
        <v>65</v>
      </c>
      <c r="D59" s="33">
        <v>450000</v>
      </c>
      <c r="E59" s="33">
        <v>59985</v>
      </c>
      <c r="F59" s="32">
        <f t="shared" si="5"/>
        <v>509985</v>
      </c>
      <c r="G59" s="34">
        <v>50</v>
      </c>
      <c r="H59" s="32">
        <v>10199.700000000001</v>
      </c>
      <c r="I59" s="81">
        <v>1</v>
      </c>
      <c r="J59" s="35">
        <f t="shared" si="6"/>
        <v>49</v>
      </c>
      <c r="K59" s="36">
        <f t="shared" si="9"/>
        <v>10199.700000000001</v>
      </c>
      <c r="L59" s="36">
        <f t="shared" si="7"/>
        <v>499785.3</v>
      </c>
      <c r="M59" s="31" t="s">
        <v>28</v>
      </c>
      <c r="N59" s="5"/>
    </row>
    <row r="60" spans="1:14" ht="18.75" x14ac:dyDescent="0.3">
      <c r="A60" s="104"/>
      <c r="B60" s="34">
        <v>55</v>
      </c>
      <c r="C60" s="29" t="s">
        <v>59</v>
      </c>
      <c r="D60" s="33">
        <v>450000</v>
      </c>
      <c r="E60" s="33">
        <v>59985</v>
      </c>
      <c r="F60" s="32">
        <f t="shared" si="5"/>
        <v>509985</v>
      </c>
      <c r="G60" s="34">
        <v>50</v>
      </c>
      <c r="H60" s="32">
        <v>10199.700000000001</v>
      </c>
      <c r="I60" s="81">
        <v>1</v>
      </c>
      <c r="J60" s="35">
        <f t="shared" si="6"/>
        <v>49</v>
      </c>
      <c r="K60" s="36">
        <f t="shared" si="9"/>
        <v>10199.700000000001</v>
      </c>
      <c r="L60" s="36">
        <f t="shared" si="7"/>
        <v>499785.3</v>
      </c>
      <c r="M60" s="31" t="s">
        <v>28</v>
      </c>
      <c r="N60" s="5"/>
    </row>
    <row r="61" spans="1:14" ht="18.75" x14ac:dyDescent="0.3">
      <c r="A61" s="104"/>
      <c r="B61" s="34">
        <v>56</v>
      </c>
      <c r="C61" s="31" t="s">
        <v>189</v>
      </c>
      <c r="D61" s="32">
        <v>330000</v>
      </c>
      <c r="E61" s="33">
        <v>43989</v>
      </c>
      <c r="F61" s="32">
        <f t="shared" si="5"/>
        <v>373989</v>
      </c>
      <c r="G61" s="34">
        <v>50</v>
      </c>
      <c r="H61" s="32">
        <v>7479.78</v>
      </c>
      <c r="I61" s="34">
        <v>42</v>
      </c>
      <c r="J61" s="35">
        <f t="shared" si="6"/>
        <v>8</v>
      </c>
      <c r="K61" s="33">
        <f t="shared" ref="K61:K73" si="10">H61*I61</f>
        <v>314150.76</v>
      </c>
      <c r="L61" s="32">
        <f t="shared" si="7"/>
        <v>59838.239999999991</v>
      </c>
      <c r="M61" s="53"/>
      <c r="N61" s="5"/>
    </row>
    <row r="62" spans="1:14" ht="18.75" x14ac:dyDescent="0.3">
      <c r="A62" s="104"/>
      <c r="B62" s="34">
        <v>57</v>
      </c>
      <c r="C62" s="31" t="s">
        <v>79</v>
      </c>
      <c r="D62" s="32">
        <v>330000</v>
      </c>
      <c r="E62" s="33">
        <v>43989</v>
      </c>
      <c r="F62" s="32">
        <f t="shared" si="5"/>
        <v>373989</v>
      </c>
      <c r="G62" s="34">
        <v>50</v>
      </c>
      <c r="H62" s="32">
        <v>7479.78</v>
      </c>
      <c r="I62" s="34">
        <v>23</v>
      </c>
      <c r="J62" s="35">
        <f t="shared" si="6"/>
        <v>27</v>
      </c>
      <c r="K62" s="32">
        <f t="shared" si="10"/>
        <v>172034.94</v>
      </c>
      <c r="L62" s="36">
        <f t="shared" si="7"/>
        <v>201954.06</v>
      </c>
      <c r="M62" s="31"/>
      <c r="N62" s="5"/>
    </row>
    <row r="63" spans="1:14" ht="18.75" x14ac:dyDescent="0.3">
      <c r="A63" s="104"/>
      <c r="B63" s="34">
        <v>58</v>
      </c>
      <c r="C63" s="31" t="s">
        <v>83</v>
      </c>
      <c r="D63" s="32">
        <v>330000</v>
      </c>
      <c r="E63" s="33">
        <v>43989</v>
      </c>
      <c r="F63" s="32">
        <f t="shared" si="5"/>
        <v>373989</v>
      </c>
      <c r="G63" s="34">
        <v>50</v>
      </c>
      <c r="H63" s="32">
        <v>7479.78</v>
      </c>
      <c r="I63" s="34">
        <v>27</v>
      </c>
      <c r="J63" s="35">
        <f t="shared" si="6"/>
        <v>23</v>
      </c>
      <c r="K63" s="36">
        <f t="shared" si="10"/>
        <v>201954.06</v>
      </c>
      <c r="L63" s="36">
        <f t="shared" si="7"/>
        <v>172034.94</v>
      </c>
      <c r="M63" s="31"/>
      <c r="N63" s="5"/>
    </row>
    <row r="64" spans="1:14" ht="18.75" x14ac:dyDescent="0.3">
      <c r="A64" s="104"/>
      <c r="B64" s="34">
        <v>59</v>
      </c>
      <c r="C64" s="31" t="s">
        <v>95</v>
      </c>
      <c r="D64" s="32">
        <v>330000</v>
      </c>
      <c r="E64" s="33">
        <v>43989</v>
      </c>
      <c r="F64" s="32">
        <f t="shared" si="5"/>
        <v>373989</v>
      </c>
      <c r="G64" s="34">
        <v>50</v>
      </c>
      <c r="H64" s="32">
        <v>7479.78</v>
      </c>
      <c r="I64" s="34">
        <v>23</v>
      </c>
      <c r="J64" s="35">
        <f t="shared" si="6"/>
        <v>27</v>
      </c>
      <c r="K64" s="36">
        <f t="shared" si="10"/>
        <v>172034.94</v>
      </c>
      <c r="L64" s="32">
        <f t="shared" si="7"/>
        <v>201954.06</v>
      </c>
      <c r="M64" s="31"/>
      <c r="N64" s="5"/>
    </row>
    <row r="65" spans="1:14" ht="18.75" x14ac:dyDescent="0.3">
      <c r="A65" s="104"/>
      <c r="B65" s="34">
        <v>60</v>
      </c>
      <c r="C65" s="31" t="s">
        <v>96</v>
      </c>
      <c r="D65" s="32">
        <v>330000</v>
      </c>
      <c r="E65" s="33">
        <v>43989</v>
      </c>
      <c r="F65" s="32">
        <f t="shared" si="5"/>
        <v>373989</v>
      </c>
      <c r="G65" s="34">
        <v>50</v>
      </c>
      <c r="H65" s="36">
        <v>7479.78</v>
      </c>
      <c r="I65" s="34">
        <v>27</v>
      </c>
      <c r="J65" s="35">
        <f t="shared" si="6"/>
        <v>23</v>
      </c>
      <c r="K65" s="36">
        <f t="shared" si="10"/>
        <v>201954.06</v>
      </c>
      <c r="L65" s="36">
        <f t="shared" si="7"/>
        <v>172034.94</v>
      </c>
      <c r="M65" s="31"/>
      <c r="N65" s="5"/>
    </row>
    <row r="66" spans="1:14" ht="18.75" x14ac:dyDescent="0.3">
      <c r="A66" s="104"/>
      <c r="B66" s="34">
        <v>61</v>
      </c>
      <c r="C66" s="31" t="s">
        <v>109</v>
      </c>
      <c r="D66" s="32">
        <v>330000</v>
      </c>
      <c r="E66" s="33">
        <v>43989</v>
      </c>
      <c r="F66" s="32">
        <f t="shared" si="5"/>
        <v>373989</v>
      </c>
      <c r="G66" s="34">
        <v>50</v>
      </c>
      <c r="H66" s="32">
        <v>7479.78</v>
      </c>
      <c r="I66" s="34">
        <v>51</v>
      </c>
      <c r="J66" s="35">
        <f t="shared" si="6"/>
        <v>-1</v>
      </c>
      <c r="K66" s="36">
        <f t="shared" si="10"/>
        <v>381468.77999999997</v>
      </c>
      <c r="L66" s="32">
        <f t="shared" si="7"/>
        <v>-7479.7799999999697</v>
      </c>
      <c r="M66" s="31"/>
      <c r="N66" s="5"/>
    </row>
    <row r="67" spans="1:14" ht="18.75" x14ac:dyDescent="0.3">
      <c r="A67" s="104"/>
      <c r="B67" s="34">
        <v>62</v>
      </c>
      <c r="C67" s="31" t="s">
        <v>233</v>
      </c>
      <c r="D67" s="32">
        <v>330000</v>
      </c>
      <c r="E67" s="33">
        <v>43989</v>
      </c>
      <c r="F67" s="32">
        <f t="shared" si="5"/>
        <v>373989</v>
      </c>
      <c r="G67" s="34">
        <v>50</v>
      </c>
      <c r="H67" s="36">
        <v>7479.78</v>
      </c>
      <c r="I67" s="34">
        <v>27</v>
      </c>
      <c r="J67" s="35">
        <f t="shared" si="6"/>
        <v>23</v>
      </c>
      <c r="K67" s="36">
        <f t="shared" si="10"/>
        <v>201954.06</v>
      </c>
      <c r="L67" s="36">
        <f t="shared" si="7"/>
        <v>172034.94</v>
      </c>
      <c r="M67" s="31"/>
      <c r="N67" s="5"/>
    </row>
    <row r="68" spans="1:14" ht="18.75" x14ac:dyDescent="0.3">
      <c r="A68" s="104"/>
      <c r="B68" s="34">
        <v>63</v>
      </c>
      <c r="C68" s="31" t="s">
        <v>220</v>
      </c>
      <c r="D68" s="32">
        <v>330000</v>
      </c>
      <c r="E68" s="33">
        <v>43989</v>
      </c>
      <c r="F68" s="32">
        <f t="shared" si="5"/>
        <v>373989</v>
      </c>
      <c r="G68" s="34">
        <v>50</v>
      </c>
      <c r="H68" s="32">
        <v>7479.78</v>
      </c>
      <c r="I68" s="34">
        <v>27</v>
      </c>
      <c r="J68" s="35">
        <f t="shared" si="6"/>
        <v>23</v>
      </c>
      <c r="K68" s="36">
        <f t="shared" si="10"/>
        <v>201954.06</v>
      </c>
      <c r="L68" s="32">
        <f t="shared" si="7"/>
        <v>172034.94</v>
      </c>
      <c r="M68" s="31"/>
      <c r="N68" s="5"/>
    </row>
    <row r="69" spans="1:14" ht="18.75" x14ac:dyDescent="0.3">
      <c r="A69" s="104"/>
      <c r="B69" s="34">
        <v>64</v>
      </c>
      <c r="C69" s="31" t="s">
        <v>119</v>
      </c>
      <c r="D69" s="32">
        <v>330000</v>
      </c>
      <c r="E69" s="33">
        <v>43989</v>
      </c>
      <c r="F69" s="32">
        <f t="shared" si="5"/>
        <v>373989</v>
      </c>
      <c r="G69" s="34">
        <v>50</v>
      </c>
      <c r="H69" s="32">
        <v>7479.78</v>
      </c>
      <c r="I69" s="34">
        <v>51</v>
      </c>
      <c r="J69" s="35">
        <f t="shared" si="6"/>
        <v>-1</v>
      </c>
      <c r="K69" s="36">
        <f t="shared" si="10"/>
        <v>381468.77999999997</v>
      </c>
      <c r="L69" s="32">
        <f t="shared" si="7"/>
        <v>-7479.7799999999697</v>
      </c>
      <c r="M69" s="31"/>
      <c r="N69" s="5"/>
    </row>
    <row r="70" spans="1:14" ht="18.75" x14ac:dyDescent="0.3">
      <c r="A70" s="104"/>
      <c r="B70" s="34">
        <v>65</v>
      </c>
      <c r="C70" s="31" t="s">
        <v>135</v>
      </c>
      <c r="D70" s="32">
        <v>330000</v>
      </c>
      <c r="E70" s="33">
        <v>43989</v>
      </c>
      <c r="F70" s="32">
        <f t="shared" ref="F70:F73" si="11">D70+E70</f>
        <v>373989</v>
      </c>
      <c r="G70" s="34">
        <v>50</v>
      </c>
      <c r="H70" s="32">
        <v>7479.78</v>
      </c>
      <c r="I70" s="34">
        <v>48</v>
      </c>
      <c r="J70" s="35">
        <f t="shared" ref="J70:J101" si="12">G70-I70</f>
        <v>2</v>
      </c>
      <c r="K70" s="36">
        <f t="shared" si="10"/>
        <v>359029.44</v>
      </c>
      <c r="L70" s="32">
        <f t="shared" ref="L70:L101" si="13">F70-K70</f>
        <v>14959.559999999998</v>
      </c>
      <c r="M70" s="31"/>
      <c r="N70" s="5"/>
    </row>
    <row r="71" spans="1:14" ht="18.75" x14ac:dyDescent="0.3">
      <c r="A71" s="104"/>
      <c r="B71" s="34">
        <v>66</v>
      </c>
      <c r="C71" s="31" t="s">
        <v>140</v>
      </c>
      <c r="D71" s="32">
        <v>330000</v>
      </c>
      <c r="E71" s="33">
        <v>43989</v>
      </c>
      <c r="F71" s="32">
        <f t="shared" si="11"/>
        <v>373989</v>
      </c>
      <c r="G71" s="34">
        <v>50</v>
      </c>
      <c r="H71" s="36">
        <v>7479.78</v>
      </c>
      <c r="I71" s="34">
        <v>27</v>
      </c>
      <c r="J71" s="35">
        <f t="shared" si="12"/>
        <v>23</v>
      </c>
      <c r="K71" s="36">
        <f t="shared" si="10"/>
        <v>201954.06</v>
      </c>
      <c r="L71" s="36">
        <f t="shared" si="13"/>
        <v>172034.94</v>
      </c>
      <c r="M71" s="31"/>
      <c r="N71" s="5"/>
    </row>
    <row r="72" spans="1:14" ht="18.75" x14ac:dyDescent="0.3">
      <c r="A72" s="104"/>
      <c r="B72" s="34">
        <v>67</v>
      </c>
      <c r="C72" s="31" t="s">
        <v>141</v>
      </c>
      <c r="D72" s="32">
        <v>330000</v>
      </c>
      <c r="E72" s="33">
        <v>43989</v>
      </c>
      <c r="F72" s="32">
        <f t="shared" si="11"/>
        <v>373989</v>
      </c>
      <c r="G72" s="34">
        <v>50</v>
      </c>
      <c r="H72" s="36">
        <v>7479.78</v>
      </c>
      <c r="I72" s="34">
        <v>51</v>
      </c>
      <c r="J72" s="35">
        <f t="shared" si="12"/>
        <v>-1</v>
      </c>
      <c r="K72" s="31">
        <f t="shared" si="10"/>
        <v>381468.77999999997</v>
      </c>
      <c r="L72" s="36">
        <f t="shared" si="13"/>
        <v>-7479.7799999999697</v>
      </c>
      <c r="M72" s="31"/>
      <c r="N72" s="5"/>
    </row>
    <row r="73" spans="1:14" ht="18.75" x14ac:dyDescent="0.3">
      <c r="A73" s="104"/>
      <c r="B73" s="34">
        <v>68</v>
      </c>
      <c r="C73" s="31" t="s">
        <v>175</v>
      </c>
      <c r="D73" s="32">
        <v>330000</v>
      </c>
      <c r="E73" s="33">
        <v>43989</v>
      </c>
      <c r="F73" s="32">
        <f t="shared" si="11"/>
        <v>373989</v>
      </c>
      <c r="G73" s="34">
        <v>50</v>
      </c>
      <c r="H73" s="36">
        <v>7479.78</v>
      </c>
      <c r="I73" s="34">
        <v>22</v>
      </c>
      <c r="J73" s="35">
        <f t="shared" si="12"/>
        <v>28</v>
      </c>
      <c r="K73" s="36">
        <f t="shared" si="10"/>
        <v>164555.16</v>
      </c>
      <c r="L73" s="36">
        <f t="shared" si="13"/>
        <v>209433.84</v>
      </c>
      <c r="M73" s="31"/>
      <c r="N73" s="5"/>
    </row>
    <row r="74" spans="1:14" ht="18.75" x14ac:dyDescent="0.3">
      <c r="A74" s="104"/>
      <c r="B74" s="34">
        <v>69</v>
      </c>
      <c r="C74" s="50" t="s">
        <v>149</v>
      </c>
      <c r="D74" s="33">
        <v>330000</v>
      </c>
      <c r="E74" s="33">
        <v>43989</v>
      </c>
      <c r="F74" s="32">
        <v>373989</v>
      </c>
      <c r="G74" s="34">
        <v>50</v>
      </c>
      <c r="H74" s="32">
        <v>7478.78</v>
      </c>
      <c r="I74" s="81">
        <v>16</v>
      </c>
      <c r="J74" s="35">
        <f t="shared" si="12"/>
        <v>34</v>
      </c>
      <c r="K74" s="36">
        <f t="shared" ref="K74:K98" si="14">I74*H74</f>
        <v>119660.48</v>
      </c>
      <c r="L74" s="36">
        <f t="shared" si="13"/>
        <v>254328.52000000002</v>
      </c>
      <c r="M74" s="31"/>
      <c r="N74" s="5"/>
    </row>
    <row r="75" spans="1:14" ht="18.75" x14ac:dyDescent="0.3">
      <c r="A75" s="104"/>
      <c r="B75" s="34">
        <v>70</v>
      </c>
      <c r="C75" s="50" t="s">
        <v>150</v>
      </c>
      <c r="D75" s="33">
        <v>330000</v>
      </c>
      <c r="E75" s="33">
        <v>43989</v>
      </c>
      <c r="F75" s="32">
        <f t="shared" ref="F75:F106" si="15">D75+E75</f>
        <v>373989</v>
      </c>
      <c r="G75" s="34">
        <v>50</v>
      </c>
      <c r="H75" s="32">
        <v>7479.78</v>
      </c>
      <c r="I75" s="81">
        <v>16</v>
      </c>
      <c r="J75" s="35">
        <f t="shared" si="12"/>
        <v>34</v>
      </c>
      <c r="K75" s="36">
        <f t="shared" si="14"/>
        <v>119676.48</v>
      </c>
      <c r="L75" s="36">
        <f t="shared" si="13"/>
        <v>254312.52000000002</v>
      </c>
      <c r="M75" s="31"/>
      <c r="N75" s="5"/>
    </row>
    <row r="76" spans="1:14" ht="18.75" x14ac:dyDescent="0.3">
      <c r="A76" s="104"/>
      <c r="B76" s="34">
        <v>71</v>
      </c>
      <c r="C76" s="50" t="s">
        <v>209</v>
      </c>
      <c r="D76" s="33">
        <v>330000</v>
      </c>
      <c r="E76" s="33">
        <v>43989</v>
      </c>
      <c r="F76" s="32">
        <f t="shared" si="15"/>
        <v>373989</v>
      </c>
      <c r="G76" s="34">
        <v>50</v>
      </c>
      <c r="H76" s="32">
        <v>7479.78</v>
      </c>
      <c r="I76" s="81">
        <v>13</v>
      </c>
      <c r="J76" s="35">
        <f t="shared" si="12"/>
        <v>37</v>
      </c>
      <c r="K76" s="36">
        <f t="shared" si="14"/>
        <v>97237.14</v>
      </c>
      <c r="L76" s="36">
        <f t="shared" si="13"/>
        <v>276751.86</v>
      </c>
      <c r="M76" s="31"/>
      <c r="N76" s="5"/>
    </row>
    <row r="77" spans="1:14" ht="18.75" x14ac:dyDescent="0.3">
      <c r="A77" s="104"/>
      <c r="B77" s="34">
        <v>72</v>
      </c>
      <c r="C77" s="50" t="s">
        <v>210</v>
      </c>
      <c r="D77" s="33">
        <v>330000</v>
      </c>
      <c r="E77" s="33">
        <v>43989</v>
      </c>
      <c r="F77" s="32">
        <f t="shared" si="15"/>
        <v>373989</v>
      </c>
      <c r="G77" s="34">
        <v>50</v>
      </c>
      <c r="H77" s="32">
        <v>7479.78</v>
      </c>
      <c r="I77" s="81">
        <v>13</v>
      </c>
      <c r="J77" s="35">
        <f t="shared" si="12"/>
        <v>37</v>
      </c>
      <c r="K77" s="36">
        <f t="shared" si="14"/>
        <v>97237.14</v>
      </c>
      <c r="L77" s="36">
        <f t="shared" si="13"/>
        <v>276751.86</v>
      </c>
      <c r="M77" s="31"/>
      <c r="N77" s="5"/>
    </row>
    <row r="78" spans="1:14" ht="18.75" x14ac:dyDescent="0.3">
      <c r="A78" s="104"/>
      <c r="B78" s="34">
        <v>73</v>
      </c>
      <c r="C78" s="50" t="s">
        <v>211</v>
      </c>
      <c r="D78" s="33">
        <v>330000</v>
      </c>
      <c r="E78" s="33">
        <v>43989</v>
      </c>
      <c r="F78" s="32">
        <f t="shared" si="15"/>
        <v>373989</v>
      </c>
      <c r="G78" s="34">
        <v>50</v>
      </c>
      <c r="H78" s="32">
        <v>7479.78</v>
      </c>
      <c r="I78" s="81">
        <v>13</v>
      </c>
      <c r="J78" s="35">
        <f t="shared" si="12"/>
        <v>37</v>
      </c>
      <c r="K78" s="36">
        <f t="shared" si="14"/>
        <v>97237.14</v>
      </c>
      <c r="L78" s="36">
        <f t="shared" si="13"/>
        <v>276751.86</v>
      </c>
      <c r="M78" s="31"/>
      <c r="N78" s="5"/>
    </row>
    <row r="79" spans="1:14" ht="18.75" x14ac:dyDescent="0.3">
      <c r="A79" s="104"/>
      <c r="B79" s="34">
        <v>74</v>
      </c>
      <c r="C79" s="50" t="s">
        <v>212</v>
      </c>
      <c r="D79" s="33">
        <v>330000</v>
      </c>
      <c r="E79" s="33">
        <v>43989</v>
      </c>
      <c r="F79" s="32">
        <f t="shared" si="15"/>
        <v>373989</v>
      </c>
      <c r="G79" s="34">
        <v>50</v>
      </c>
      <c r="H79" s="32">
        <v>7479.78</v>
      </c>
      <c r="I79" s="81">
        <v>12</v>
      </c>
      <c r="J79" s="35">
        <f t="shared" si="12"/>
        <v>38</v>
      </c>
      <c r="K79" s="36">
        <f t="shared" si="14"/>
        <v>89757.36</v>
      </c>
      <c r="L79" s="36">
        <f t="shared" si="13"/>
        <v>284231.64</v>
      </c>
      <c r="M79" s="31"/>
      <c r="N79" s="5"/>
    </row>
    <row r="80" spans="1:14" ht="18.75" x14ac:dyDescent="0.3">
      <c r="A80" s="104"/>
      <c r="B80" s="34">
        <v>75</v>
      </c>
      <c r="C80" s="50" t="s">
        <v>13</v>
      </c>
      <c r="D80" s="33">
        <v>330000</v>
      </c>
      <c r="E80" s="33">
        <v>43989</v>
      </c>
      <c r="F80" s="32">
        <f t="shared" si="15"/>
        <v>373989</v>
      </c>
      <c r="G80" s="34">
        <v>50</v>
      </c>
      <c r="H80" s="32">
        <v>7479.78</v>
      </c>
      <c r="I80" s="81">
        <v>13</v>
      </c>
      <c r="J80" s="35">
        <f t="shared" si="12"/>
        <v>37</v>
      </c>
      <c r="K80" s="36">
        <f t="shared" si="14"/>
        <v>97237.14</v>
      </c>
      <c r="L80" s="36">
        <f t="shared" si="13"/>
        <v>276751.86</v>
      </c>
      <c r="M80" s="31"/>
      <c r="N80" s="5"/>
    </row>
    <row r="81" spans="1:14" ht="18.75" x14ac:dyDescent="0.3">
      <c r="A81" s="104"/>
      <c r="B81" s="34">
        <v>76</v>
      </c>
      <c r="C81" s="50" t="s">
        <v>18</v>
      </c>
      <c r="D81" s="32">
        <v>330000</v>
      </c>
      <c r="E81" s="33">
        <v>43989</v>
      </c>
      <c r="F81" s="32">
        <f t="shared" si="15"/>
        <v>373989</v>
      </c>
      <c r="G81" s="34">
        <v>50</v>
      </c>
      <c r="H81" s="36">
        <v>7479.74</v>
      </c>
      <c r="I81" s="81">
        <v>11</v>
      </c>
      <c r="J81" s="35">
        <f t="shared" si="12"/>
        <v>39</v>
      </c>
      <c r="K81" s="36">
        <f t="shared" si="14"/>
        <v>82277.14</v>
      </c>
      <c r="L81" s="36">
        <f t="shared" si="13"/>
        <v>291711.86</v>
      </c>
      <c r="M81" s="31"/>
      <c r="N81" s="5"/>
    </row>
    <row r="82" spans="1:14" ht="18.75" x14ac:dyDescent="0.3">
      <c r="A82" s="104"/>
      <c r="B82" s="34">
        <v>77</v>
      </c>
      <c r="C82" s="50" t="s">
        <v>19</v>
      </c>
      <c r="D82" s="32">
        <v>330000</v>
      </c>
      <c r="E82" s="33">
        <v>43989</v>
      </c>
      <c r="F82" s="32">
        <f t="shared" si="15"/>
        <v>373989</v>
      </c>
      <c r="G82" s="34">
        <v>50</v>
      </c>
      <c r="H82" s="36">
        <v>7479.74</v>
      </c>
      <c r="I82" s="81">
        <v>11</v>
      </c>
      <c r="J82" s="35">
        <f t="shared" si="12"/>
        <v>39</v>
      </c>
      <c r="K82" s="36">
        <f t="shared" si="14"/>
        <v>82277.14</v>
      </c>
      <c r="L82" s="36">
        <f t="shared" si="13"/>
        <v>291711.86</v>
      </c>
      <c r="M82" s="31"/>
      <c r="N82" s="5"/>
    </row>
    <row r="83" spans="1:14" ht="18.75" x14ac:dyDescent="0.3">
      <c r="A83" s="104"/>
      <c r="B83" s="34">
        <v>78</v>
      </c>
      <c r="C83" s="50" t="s">
        <v>215</v>
      </c>
      <c r="D83" s="32">
        <v>330000</v>
      </c>
      <c r="E83" s="33">
        <v>43989</v>
      </c>
      <c r="F83" s="32">
        <f t="shared" si="15"/>
        <v>373989</v>
      </c>
      <c r="G83" s="34">
        <v>50</v>
      </c>
      <c r="H83" s="36">
        <v>7479.78</v>
      </c>
      <c r="I83" s="81">
        <v>8</v>
      </c>
      <c r="J83" s="35">
        <f t="shared" si="12"/>
        <v>42</v>
      </c>
      <c r="K83" s="36">
        <f t="shared" si="14"/>
        <v>59838.239999999998</v>
      </c>
      <c r="L83" s="36">
        <f t="shared" si="13"/>
        <v>314150.76</v>
      </c>
      <c r="M83" s="31"/>
      <c r="N83" s="5"/>
    </row>
    <row r="84" spans="1:14" ht="18.75" x14ac:dyDescent="0.3">
      <c r="A84" s="104"/>
      <c r="B84" s="34">
        <v>79</v>
      </c>
      <c r="C84" s="50" t="s">
        <v>25</v>
      </c>
      <c r="D84" s="32">
        <v>330000</v>
      </c>
      <c r="E84" s="33">
        <v>43989</v>
      </c>
      <c r="F84" s="32">
        <f t="shared" si="15"/>
        <v>373989</v>
      </c>
      <c r="G84" s="34">
        <v>50</v>
      </c>
      <c r="H84" s="36">
        <v>7479.78</v>
      </c>
      <c r="I84" s="81">
        <v>6</v>
      </c>
      <c r="J84" s="35">
        <f t="shared" si="12"/>
        <v>44</v>
      </c>
      <c r="K84" s="36">
        <f t="shared" si="14"/>
        <v>44878.68</v>
      </c>
      <c r="L84" s="36">
        <f t="shared" si="13"/>
        <v>329110.32</v>
      </c>
      <c r="M84" s="31"/>
      <c r="N84" s="5"/>
    </row>
    <row r="85" spans="1:14" ht="18.75" x14ac:dyDescent="0.3">
      <c r="A85" s="104"/>
      <c r="B85" s="34">
        <v>80</v>
      </c>
      <c r="C85" s="50" t="s">
        <v>26</v>
      </c>
      <c r="D85" s="32">
        <v>330000</v>
      </c>
      <c r="E85" s="33">
        <v>43989</v>
      </c>
      <c r="F85" s="32">
        <f t="shared" si="15"/>
        <v>373989</v>
      </c>
      <c r="G85" s="34">
        <v>50</v>
      </c>
      <c r="H85" s="36">
        <v>7479.78</v>
      </c>
      <c r="I85" s="81">
        <v>6</v>
      </c>
      <c r="J85" s="35">
        <f t="shared" si="12"/>
        <v>44</v>
      </c>
      <c r="K85" s="36">
        <f t="shared" si="14"/>
        <v>44878.68</v>
      </c>
      <c r="L85" s="36">
        <f t="shared" si="13"/>
        <v>329110.32</v>
      </c>
      <c r="M85" s="31"/>
      <c r="N85" s="5"/>
    </row>
    <row r="86" spans="1:14" ht="18.75" x14ac:dyDescent="0.3">
      <c r="A86" s="104"/>
      <c r="B86" s="34">
        <v>81</v>
      </c>
      <c r="C86" s="50" t="s">
        <v>30</v>
      </c>
      <c r="D86" s="32">
        <v>330000</v>
      </c>
      <c r="E86" s="33">
        <v>43989</v>
      </c>
      <c r="F86" s="32">
        <f t="shared" si="15"/>
        <v>373989</v>
      </c>
      <c r="G86" s="34">
        <v>50</v>
      </c>
      <c r="H86" s="36">
        <v>7479.78</v>
      </c>
      <c r="I86" s="81">
        <v>5</v>
      </c>
      <c r="J86" s="35">
        <f t="shared" si="12"/>
        <v>45</v>
      </c>
      <c r="K86" s="36">
        <f t="shared" si="14"/>
        <v>37398.9</v>
      </c>
      <c r="L86" s="36">
        <f t="shared" si="13"/>
        <v>336590.1</v>
      </c>
      <c r="M86" s="31"/>
      <c r="N86" s="5"/>
    </row>
    <row r="87" spans="1:14" ht="18.75" x14ac:dyDescent="0.3">
      <c r="A87" s="104"/>
      <c r="B87" s="34">
        <v>82</v>
      </c>
      <c r="C87" s="29" t="s">
        <v>36</v>
      </c>
      <c r="D87" s="32">
        <v>330000</v>
      </c>
      <c r="E87" s="33">
        <v>43989</v>
      </c>
      <c r="F87" s="32">
        <f t="shared" si="15"/>
        <v>373989</v>
      </c>
      <c r="G87" s="34">
        <v>50</v>
      </c>
      <c r="H87" s="36">
        <v>7479.78</v>
      </c>
      <c r="I87" s="81">
        <v>5</v>
      </c>
      <c r="J87" s="35">
        <f t="shared" si="12"/>
        <v>45</v>
      </c>
      <c r="K87" s="36">
        <f t="shared" si="14"/>
        <v>37398.9</v>
      </c>
      <c r="L87" s="36">
        <f t="shared" si="13"/>
        <v>336590.1</v>
      </c>
      <c r="M87" s="31"/>
      <c r="N87" s="5"/>
    </row>
    <row r="88" spans="1:14" ht="18.75" x14ac:dyDescent="0.3">
      <c r="A88" s="104"/>
      <c r="B88" s="34">
        <v>83</v>
      </c>
      <c r="C88" s="29" t="s">
        <v>37</v>
      </c>
      <c r="D88" s="32">
        <v>330000</v>
      </c>
      <c r="E88" s="33">
        <v>43989</v>
      </c>
      <c r="F88" s="32">
        <f t="shared" si="15"/>
        <v>373989</v>
      </c>
      <c r="G88" s="34">
        <v>50</v>
      </c>
      <c r="H88" s="36">
        <v>7479.78</v>
      </c>
      <c r="I88" s="81">
        <v>6</v>
      </c>
      <c r="J88" s="35">
        <f t="shared" si="12"/>
        <v>44</v>
      </c>
      <c r="K88" s="36">
        <f t="shared" si="14"/>
        <v>44878.68</v>
      </c>
      <c r="L88" s="36">
        <f t="shared" si="13"/>
        <v>329110.32</v>
      </c>
      <c r="M88" s="31"/>
      <c r="N88" s="5"/>
    </row>
    <row r="89" spans="1:14" ht="18.75" x14ac:dyDescent="0.3">
      <c r="A89" s="104"/>
      <c r="B89" s="34">
        <v>84</v>
      </c>
      <c r="C89" s="29" t="s">
        <v>40</v>
      </c>
      <c r="D89" s="32">
        <v>330000</v>
      </c>
      <c r="E89" s="33">
        <v>43989</v>
      </c>
      <c r="F89" s="32">
        <f t="shared" si="15"/>
        <v>373989</v>
      </c>
      <c r="G89" s="34">
        <v>50</v>
      </c>
      <c r="H89" s="36">
        <v>7479.78</v>
      </c>
      <c r="I89" s="81">
        <v>28</v>
      </c>
      <c r="J89" s="35">
        <f t="shared" si="12"/>
        <v>22</v>
      </c>
      <c r="K89" s="36">
        <f t="shared" si="14"/>
        <v>209433.84</v>
      </c>
      <c r="L89" s="36">
        <f t="shared" si="13"/>
        <v>164555.16</v>
      </c>
      <c r="M89" s="31" t="s">
        <v>42</v>
      </c>
      <c r="N89" s="5"/>
    </row>
    <row r="90" spans="1:14" ht="18.75" x14ac:dyDescent="0.3">
      <c r="A90" s="104"/>
      <c r="B90" s="34">
        <v>85</v>
      </c>
      <c r="C90" s="29" t="s">
        <v>173</v>
      </c>
      <c r="D90" s="32">
        <v>330000</v>
      </c>
      <c r="E90" s="33">
        <v>43989</v>
      </c>
      <c r="F90" s="32">
        <f t="shared" si="15"/>
        <v>373989</v>
      </c>
      <c r="G90" s="34">
        <v>50</v>
      </c>
      <c r="H90" s="32">
        <v>7479.78</v>
      </c>
      <c r="I90" s="81">
        <v>17</v>
      </c>
      <c r="J90" s="35">
        <f t="shared" si="12"/>
        <v>33</v>
      </c>
      <c r="K90" s="36">
        <f t="shared" si="14"/>
        <v>127156.26</v>
      </c>
      <c r="L90" s="36">
        <f t="shared" si="13"/>
        <v>246832.74</v>
      </c>
      <c r="M90" s="31" t="s">
        <v>221</v>
      </c>
      <c r="N90" s="5"/>
    </row>
    <row r="91" spans="1:14" ht="18.75" x14ac:dyDescent="0.3">
      <c r="A91" s="104"/>
      <c r="B91" s="34">
        <v>86</v>
      </c>
      <c r="C91" s="29" t="s">
        <v>182</v>
      </c>
      <c r="D91" s="32">
        <v>330000</v>
      </c>
      <c r="E91" s="33">
        <v>43989</v>
      </c>
      <c r="F91" s="32">
        <f t="shared" si="15"/>
        <v>373989</v>
      </c>
      <c r="G91" s="34">
        <v>50</v>
      </c>
      <c r="H91" s="32">
        <v>7479.78</v>
      </c>
      <c r="I91" s="81">
        <v>51</v>
      </c>
      <c r="J91" s="35">
        <f t="shared" si="12"/>
        <v>-1</v>
      </c>
      <c r="K91" s="36">
        <f t="shared" si="14"/>
        <v>381468.77999999997</v>
      </c>
      <c r="L91" s="36">
        <f t="shared" si="13"/>
        <v>-7479.7799999999697</v>
      </c>
      <c r="M91" s="31" t="s">
        <v>221</v>
      </c>
      <c r="N91" s="5"/>
    </row>
    <row r="92" spans="1:14" ht="18.75" x14ac:dyDescent="0.3">
      <c r="A92" s="104"/>
      <c r="B92" s="34">
        <v>87</v>
      </c>
      <c r="C92" s="29" t="s">
        <v>49</v>
      </c>
      <c r="D92" s="32">
        <v>330000</v>
      </c>
      <c r="E92" s="33">
        <v>43989</v>
      </c>
      <c r="F92" s="32">
        <f t="shared" si="15"/>
        <v>373989</v>
      </c>
      <c r="G92" s="34">
        <v>50</v>
      </c>
      <c r="H92" s="32">
        <v>7479.78</v>
      </c>
      <c r="I92" s="81">
        <v>3</v>
      </c>
      <c r="J92" s="35">
        <f t="shared" si="12"/>
        <v>47</v>
      </c>
      <c r="K92" s="36">
        <f t="shared" si="14"/>
        <v>22439.34</v>
      </c>
      <c r="L92" s="36">
        <f t="shared" si="13"/>
        <v>351549.66</v>
      </c>
      <c r="M92" s="31"/>
      <c r="N92" s="5"/>
    </row>
    <row r="93" spans="1:14" ht="18.75" x14ac:dyDescent="0.3">
      <c r="A93" s="104"/>
      <c r="B93" s="34">
        <v>88</v>
      </c>
      <c r="C93" s="29" t="s">
        <v>50</v>
      </c>
      <c r="D93" s="32">
        <v>330000</v>
      </c>
      <c r="E93" s="33">
        <v>43989</v>
      </c>
      <c r="F93" s="32">
        <f t="shared" si="15"/>
        <v>373989</v>
      </c>
      <c r="G93" s="34">
        <v>50</v>
      </c>
      <c r="H93" s="32">
        <v>7479.78</v>
      </c>
      <c r="I93" s="81">
        <v>3</v>
      </c>
      <c r="J93" s="35">
        <f t="shared" si="12"/>
        <v>47</v>
      </c>
      <c r="K93" s="36">
        <f t="shared" si="14"/>
        <v>22439.34</v>
      </c>
      <c r="L93" s="36">
        <f t="shared" si="13"/>
        <v>351549.66</v>
      </c>
      <c r="M93" s="31"/>
      <c r="N93" s="5"/>
    </row>
    <row r="94" spans="1:14" ht="18.75" x14ac:dyDescent="0.3">
      <c r="A94" s="104"/>
      <c r="B94" s="34">
        <v>89</v>
      </c>
      <c r="C94" s="29" t="s">
        <v>70</v>
      </c>
      <c r="D94" s="32">
        <v>330000</v>
      </c>
      <c r="E94" s="33">
        <v>43989</v>
      </c>
      <c r="F94" s="32">
        <f t="shared" si="15"/>
        <v>373989</v>
      </c>
      <c r="G94" s="34">
        <v>50</v>
      </c>
      <c r="H94" s="32">
        <v>7479.78</v>
      </c>
      <c r="I94" s="81">
        <v>1</v>
      </c>
      <c r="J94" s="35">
        <f t="shared" si="12"/>
        <v>49</v>
      </c>
      <c r="K94" s="36">
        <f t="shared" si="14"/>
        <v>7479.78</v>
      </c>
      <c r="L94" s="36">
        <f t="shared" si="13"/>
        <v>366509.22</v>
      </c>
      <c r="M94" s="31" t="s">
        <v>28</v>
      </c>
      <c r="N94" s="5"/>
    </row>
    <row r="95" spans="1:14" ht="18.75" x14ac:dyDescent="0.3">
      <c r="A95" s="104"/>
      <c r="B95" s="34">
        <v>90</v>
      </c>
      <c r="C95" s="29" t="s">
        <v>69</v>
      </c>
      <c r="D95" s="32">
        <v>330000</v>
      </c>
      <c r="E95" s="33">
        <v>43989</v>
      </c>
      <c r="F95" s="32">
        <f t="shared" si="15"/>
        <v>373989</v>
      </c>
      <c r="G95" s="34">
        <v>50</v>
      </c>
      <c r="H95" s="32">
        <v>7479.78</v>
      </c>
      <c r="I95" s="81">
        <v>1</v>
      </c>
      <c r="J95" s="35">
        <f t="shared" si="12"/>
        <v>49</v>
      </c>
      <c r="K95" s="36">
        <f t="shared" si="14"/>
        <v>7479.78</v>
      </c>
      <c r="L95" s="36">
        <f t="shared" si="13"/>
        <v>366509.22</v>
      </c>
      <c r="M95" s="31" t="s">
        <v>28</v>
      </c>
      <c r="N95" s="5"/>
    </row>
    <row r="96" spans="1:14" ht="18.75" x14ac:dyDescent="0.3">
      <c r="A96" s="104"/>
      <c r="B96" s="34">
        <v>91</v>
      </c>
      <c r="C96" s="29" t="s">
        <v>62</v>
      </c>
      <c r="D96" s="32">
        <v>330000</v>
      </c>
      <c r="E96" s="33">
        <v>43989</v>
      </c>
      <c r="F96" s="32">
        <f t="shared" si="15"/>
        <v>373989</v>
      </c>
      <c r="G96" s="34">
        <v>50</v>
      </c>
      <c r="H96" s="32">
        <v>7479.78</v>
      </c>
      <c r="I96" s="81">
        <v>1</v>
      </c>
      <c r="J96" s="35">
        <f t="shared" si="12"/>
        <v>49</v>
      </c>
      <c r="K96" s="36">
        <f t="shared" si="14"/>
        <v>7479.78</v>
      </c>
      <c r="L96" s="36">
        <f t="shared" si="13"/>
        <v>366509.22</v>
      </c>
      <c r="M96" s="31" t="s">
        <v>28</v>
      </c>
      <c r="N96" s="5"/>
    </row>
    <row r="97" spans="1:14" ht="18.75" x14ac:dyDescent="0.3">
      <c r="A97" s="104"/>
      <c r="B97" s="34">
        <v>92</v>
      </c>
      <c r="C97" s="29" t="s">
        <v>64</v>
      </c>
      <c r="D97" s="32">
        <v>330000</v>
      </c>
      <c r="E97" s="33">
        <v>43989</v>
      </c>
      <c r="F97" s="32">
        <f t="shared" si="15"/>
        <v>373989</v>
      </c>
      <c r="G97" s="34">
        <v>50</v>
      </c>
      <c r="H97" s="32">
        <v>7479.78</v>
      </c>
      <c r="I97" s="81">
        <v>1</v>
      </c>
      <c r="J97" s="35">
        <f t="shared" si="12"/>
        <v>49</v>
      </c>
      <c r="K97" s="36">
        <f t="shared" si="14"/>
        <v>7479.78</v>
      </c>
      <c r="L97" s="36">
        <f t="shared" si="13"/>
        <v>366509.22</v>
      </c>
      <c r="M97" s="31" t="s">
        <v>28</v>
      </c>
      <c r="N97" s="5"/>
    </row>
    <row r="98" spans="1:14" ht="18.75" x14ac:dyDescent="0.3">
      <c r="A98" s="104"/>
      <c r="B98" s="34">
        <v>93</v>
      </c>
      <c r="C98" s="29" t="s">
        <v>174</v>
      </c>
      <c r="D98" s="33">
        <v>200000</v>
      </c>
      <c r="E98" s="33">
        <v>26660</v>
      </c>
      <c r="F98" s="32">
        <f t="shared" si="15"/>
        <v>226660</v>
      </c>
      <c r="G98" s="34">
        <v>40</v>
      </c>
      <c r="H98" s="32">
        <v>5666.5</v>
      </c>
      <c r="I98" s="81">
        <v>37</v>
      </c>
      <c r="J98" s="35">
        <f t="shared" si="12"/>
        <v>3</v>
      </c>
      <c r="K98" s="36">
        <f t="shared" si="14"/>
        <v>209660.5</v>
      </c>
      <c r="L98" s="36">
        <f t="shared" si="13"/>
        <v>16999.5</v>
      </c>
      <c r="M98" s="31" t="s">
        <v>221</v>
      </c>
      <c r="N98" s="5"/>
    </row>
    <row r="99" spans="1:14" ht="18.75" x14ac:dyDescent="0.3">
      <c r="A99" s="104"/>
      <c r="B99" s="34">
        <v>94</v>
      </c>
      <c r="C99" s="31" t="s">
        <v>73</v>
      </c>
      <c r="D99" s="33">
        <v>150000</v>
      </c>
      <c r="E99" s="33">
        <v>19995</v>
      </c>
      <c r="F99" s="32">
        <f t="shared" si="15"/>
        <v>169995</v>
      </c>
      <c r="G99" s="34">
        <v>50</v>
      </c>
      <c r="H99" s="32">
        <v>3399.9</v>
      </c>
      <c r="I99" s="82">
        <v>27</v>
      </c>
      <c r="J99" s="35">
        <f t="shared" si="12"/>
        <v>23</v>
      </c>
      <c r="K99" s="32">
        <f>H99*I99</f>
        <v>91797.3</v>
      </c>
      <c r="L99" s="33">
        <f t="shared" si="13"/>
        <v>78197.7</v>
      </c>
      <c r="M99" s="31"/>
      <c r="N99" s="5"/>
    </row>
    <row r="100" spans="1:14" ht="18.75" x14ac:dyDescent="0.3">
      <c r="A100" s="104"/>
      <c r="B100" s="34">
        <v>95</v>
      </c>
      <c r="C100" s="31" t="s">
        <v>75</v>
      </c>
      <c r="D100" s="33">
        <v>150000</v>
      </c>
      <c r="E100" s="33">
        <v>19995</v>
      </c>
      <c r="F100" s="32">
        <f t="shared" si="15"/>
        <v>169995</v>
      </c>
      <c r="G100" s="34">
        <v>50</v>
      </c>
      <c r="H100" s="32">
        <v>3399.9</v>
      </c>
      <c r="I100" s="82">
        <v>51</v>
      </c>
      <c r="J100" s="35">
        <f t="shared" si="12"/>
        <v>-1</v>
      </c>
      <c r="K100" s="32">
        <f>I100*H100</f>
        <v>173394.9</v>
      </c>
      <c r="L100" s="33">
        <f t="shared" si="13"/>
        <v>-3399.8999999999942</v>
      </c>
      <c r="M100" s="31"/>
      <c r="N100" s="5"/>
    </row>
    <row r="101" spans="1:14" ht="18.75" x14ac:dyDescent="0.3">
      <c r="A101" s="104"/>
      <c r="B101" s="34">
        <v>96</v>
      </c>
      <c r="C101" s="31" t="s">
        <v>76</v>
      </c>
      <c r="D101" s="33">
        <v>150000</v>
      </c>
      <c r="E101" s="33">
        <v>19995</v>
      </c>
      <c r="F101" s="32">
        <f t="shared" si="15"/>
        <v>169995</v>
      </c>
      <c r="G101" s="34">
        <v>50</v>
      </c>
      <c r="H101" s="32">
        <v>3399.9</v>
      </c>
      <c r="I101" s="82">
        <v>27</v>
      </c>
      <c r="J101" s="35">
        <f t="shared" si="12"/>
        <v>23</v>
      </c>
      <c r="K101" s="32">
        <f>H101*I101</f>
        <v>91797.3</v>
      </c>
      <c r="L101" s="32">
        <f t="shared" si="13"/>
        <v>78197.7</v>
      </c>
      <c r="M101" s="31"/>
      <c r="N101" s="5"/>
    </row>
    <row r="102" spans="1:14" ht="18.75" x14ac:dyDescent="0.3">
      <c r="A102" s="104"/>
      <c r="B102" s="34">
        <v>97</v>
      </c>
      <c r="C102" s="31" t="s">
        <v>190</v>
      </c>
      <c r="D102" s="33">
        <v>150000</v>
      </c>
      <c r="E102" s="33">
        <v>19995</v>
      </c>
      <c r="F102" s="32">
        <f t="shared" si="15"/>
        <v>169995</v>
      </c>
      <c r="G102" s="34">
        <v>50</v>
      </c>
      <c r="H102" s="32">
        <v>3399.9</v>
      </c>
      <c r="I102" s="82">
        <v>42</v>
      </c>
      <c r="J102" s="35">
        <f t="shared" ref="J102:J133" si="16">G102-I102</f>
        <v>8</v>
      </c>
      <c r="K102" s="32">
        <f>H102*I102</f>
        <v>142795.80000000002</v>
      </c>
      <c r="L102" s="33">
        <f t="shared" ref="L102:L133" si="17">F102-K102</f>
        <v>27199.199999999983</v>
      </c>
      <c r="M102" s="31"/>
      <c r="N102" s="5"/>
    </row>
    <row r="103" spans="1:14" ht="18.75" x14ac:dyDescent="0.3">
      <c r="A103" s="104"/>
      <c r="B103" s="34">
        <v>98</v>
      </c>
      <c r="C103" s="31" t="s">
        <v>80</v>
      </c>
      <c r="D103" s="33">
        <v>150000</v>
      </c>
      <c r="E103" s="33">
        <v>19995</v>
      </c>
      <c r="F103" s="32">
        <f t="shared" si="15"/>
        <v>169995</v>
      </c>
      <c r="G103" s="34">
        <v>50</v>
      </c>
      <c r="H103" s="32">
        <v>3399.9</v>
      </c>
      <c r="I103" s="34">
        <v>51</v>
      </c>
      <c r="J103" s="35">
        <f t="shared" si="16"/>
        <v>-1</v>
      </c>
      <c r="K103" s="33">
        <f>I103*H103</f>
        <v>173394.9</v>
      </c>
      <c r="L103" s="36">
        <f t="shared" si="17"/>
        <v>-3399.8999999999942</v>
      </c>
      <c r="M103" s="31"/>
      <c r="N103" s="5"/>
    </row>
    <row r="104" spans="1:14" ht="18.75" x14ac:dyDescent="0.3">
      <c r="A104" s="104"/>
      <c r="B104" s="34">
        <v>99</v>
      </c>
      <c r="C104" s="31" t="s">
        <v>81</v>
      </c>
      <c r="D104" s="33">
        <v>150000</v>
      </c>
      <c r="E104" s="33">
        <v>19995</v>
      </c>
      <c r="F104" s="32">
        <f t="shared" si="15"/>
        <v>169995</v>
      </c>
      <c r="G104" s="34">
        <v>50</v>
      </c>
      <c r="H104" s="32">
        <v>3399.9</v>
      </c>
      <c r="I104" s="34">
        <v>27</v>
      </c>
      <c r="J104" s="35">
        <f t="shared" si="16"/>
        <v>23</v>
      </c>
      <c r="K104" s="36">
        <f t="shared" ref="K104:K125" si="18">H104*I104</f>
        <v>91797.3</v>
      </c>
      <c r="L104" s="32">
        <f t="shared" si="17"/>
        <v>78197.7</v>
      </c>
      <c r="M104" s="31"/>
      <c r="N104" s="5"/>
    </row>
    <row r="105" spans="1:14" ht="18.75" x14ac:dyDescent="0.3">
      <c r="A105" s="104"/>
      <c r="B105" s="34">
        <v>100</v>
      </c>
      <c r="C105" s="31" t="s">
        <v>84</v>
      </c>
      <c r="D105" s="33">
        <v>150000</v>
      </c>
      <c r="E105" s="33">
        <v>19995</v>
      </c>
      <c r="F105" s="32">
        <f t="shared" si="15"/>
        <v>169995</v>
      </c>
      <c r="G105" s="34">
        <v>50</v>
      </c>
      <c r="H105" s="32">
        <v>3399.9</v>
      </c>
      <c r="I105" s="34">
        <v>27</v>
      </c>
      <c r="J105" s="35">
        <f t="shared" si="16"/>
        <v>23</v>
      </c>
      <c r="K105" s="36">
        <f t="shared" si="18"/>
        <v>91797.3</v>
      </c>
      <c r="L105" s="32">
        <f t="shared" si="17"/>
        <v>78197.7</v>
      </c>
      <c r="M105" s="31"/>
      <c r="N105" s="5"/>
    </row>
    <row r="106" spans="1:14" ht="18.75" x14ac:dyDescent="0.3">
      <c r="A106" s="104"/>
      <c r="B106" s="34">
        <v>101</v>
      </c>
      <c r="C106" s="31" t="s">
        <v>86</v>
      </c>
      <c r="D106" s="33">
        <v>150000</v>
      </c>
      <c r="E106" s="33">
        <v>19995</v>
      </c>
      <c r="F106" s="32">
        <f t="shared" si="15"/>
        <v>169995</v>
      </c>
      <c r="G106" s="34">
        <v>50</v>
      </c>
      <c r="H106" s="32">
        <v>3399.9</v>
      </c>
      <c r="I106" s="34">
        <v>42</v>
      </c>
      <c r="J106" s="35">
        <f t="shared" si="16"/>
        <v>8</v>
      </c>
      <c r="K106" s="36">
        <f t="shared" si="18"/>
        <v>142795.80000000002</v>
      </c>
      <c r="L106" s="32">
        <f t="shared" si="17"/>
        <v>27199.199999999983</v>
      </c>
      <c r="M106" s="31"/>
      <c r="N106" s="5"/>
    </row>
    <row r="107" spans="1:14" ht="18.75" x14ac:dyDescent="0.3">
      <c r="A107" s="104"/>
      <c r="B107" s="34">
        <v>102</v>
      </c>
      <c r="C107" s="31" t="s">
        <v>87</v>
      </c>
      <c r="D107" s="33">
        <v>150000</v>
      </c>
      <c r="E107" s="33">
        <v>19995</v>
      </c>
      <c r="F107" s="32">
        <f t="shared" ref="F107:F138" si="19">D107+E107</f>
        <v>169995</v>
      </c>
      <c r="G107" s="34">
        <v>50</v>
      </c>
      <c r="H107" s="32">
        <v>3399.9</v>
      </c>
      <c r="I107" s="34">
        <v>42</v>
      </c>
      <c r="J107" s="35">
        <f t="shared" si="16"/>
        <v>8</v>
      </c>
      <c r="K107" s="36">
        <f t="shared" si="18"/>
        <v>142795.80000000002</v>
      </c>
      <c r="L107" s="32">
        <f t="shared" si="17"/>
        <v>27199.199999999983</v>
      </c>
      <c r="M107" s="31"/>
      <c r="N107" s="5"/>
    </row>
    <row r="108" spans="1:14" ht="18.75" x14ac:dyDescent="0.3">
      <c r="A108" s="104"/>
      <c r="B108" s="34">
        <v>103</v>
      </c>
      <c r="C108" s="31" t="s">
        <v>89</v>
      </c>
      <c r="D108" s="33">
        <v>150000</v>
      </c>
      <c r="E108" s="33">
        <v>19995</v>
      </c>
      <c r="F108" s="32">
        <f t="shared" si="19"/>
        <v>169995</v>
      </c>
      <c r="G108" s="34">
        <v>50</v>
      </c>
      <c r="H108" s="32">
        <v>3399.9</v>
      </c>
      <c r="I108" s="34">
        <v>27</v>
      </c>
      <c r="J108" s="35">
        <f t="shared" si="16"/>
        <v>23</v>
      </c>
      <c r="K108" s="36">
        <f t="shared" si="18"/>
        <v>91797.3</v>
      </c>
      <c r="L108" s="32">
        <f t="shared" si="17"/>
        <v>78197.7</v>
      </c>
      <c r="M108" s="31"/>
      <c r="N108" s="5"/>
    </row>
    <row r="109" spans="1:14" ht="18.75" x14ac:dyDescent="0.3">
      <c r="A109" s="104"/>
      <c r="B109" s="34">
        <v>104</v>
      </c>
      <c r="C109" s="31" t="s">
        <v>91</v>
      </c>
      <c r="D109" s="33">
        <v>150000</v>
      </c>
      <c r="E109" s="33">
        <v>19995</v>
      </c>
      <c r="F109" s="32">
        <f t="shared" si="19"/>
        <v>169995</v>
      </c>
      <c r="G109" s="34">
        <v>50</v>
      </c>
      <c r="H109" s="32">
        <v>3399.9</v>
      </c>
      <c r="I109" s="34">
        <v>42</v>
      </c>
      <c r="J109" s="35">
        <f t="shared" si="16"/>
        <v>8</v>
      </c>
      <c r="K109" s="36">
        <f t="shared" si="18"/>
        <v>142795.80000000002</v>
      </c>
      <c r="L109" s="32">
        <f t="shared" si="17"/>
        <v>27199.199999999983</v>
      </c>
      <c r="M109" s="31"/>
      <c r="N109" s="5"/>
    </row>
    <row r="110" spans="1:14" ht="18.75" x14ac:dyDescent="0.3">
      <c r="A110" s="104"/>
      <c r="B110" s="34">
        <v>105</v>
      </c>
      <c r="C110" s="31" t="s">
        <v>94</v>
      </c>
      <c r="D110" s="33">
        <v>150000</v>
      </c>
      <c r="E110" s="33">
        <v>19995</v>
      </c>
      <c r="F110" s="32">
        <f t="shared" si="19"/>
        <v>169995</v>
      </c>
      <c r="G110" s="34">
        <v>50</v>
      </c>
      <c r="H110" s="32">
        <v>3399.9</v>
      </c>
      <c r="I110" s="34">
        <v>27</v>
      </c>
      <c r="J110" s="35">
        <f t="shared" si="16"/>
        <v>23</v>
      </c>
      <c r="K110" s="36">
        <f t="shared" si="18"/>
        <v>91797.3</v>
      </c>
      <c r="L110" s="32">
        <f t="shared" si="17"/>
        <v>78197.7</v>
      </c>
      <c r="M110" s="31"/>
      <c r="N110" s="5"/>
    </row>
    <row r="111" spans="1:14" ht="18.75" x14ac:dyDescent="0.3">
      <c r="A111" s="104"/>
      <c r="B111" s="34">
        <v>106</v>
      </c>
      <c r="C111" s="31" t="s">
        <v>224</v>
      </c>
      <c r="D111" s="33">
        <v>150000</v>
      </c>
      <c r="E111" s="33">
        <v>19995</v>
      </c>
      <c r="F111" s="32">
        <f t="shared" si="19"/>
        <v>169995</v>
      </c>
      <c r="G111" s="34">
        <v>50</v>
      </c>
      <c r="H111" s="32">
        <v>3399.9</v>
      </c>
      <c r="I111" s="34">
        <v>42</v>
      </c>
      <c r="J111" s="35">
        <f t="shared" si="16"/>
        <v>8</v>
      </c>
      <c r="K111" s="36">
        <f t="shared" si="18"/>
        <v>142795.80000000002</v>
      </c>
      <c r="L111" s="32">
        <f t="shared" si="17"/>
        <v>27199.199999999983</v>
      </c>
      <c r="M111" s="31"/>
      <c r="N111" s="5"/>
    </row>
    <row r="112" spans="1:14" ht="18.75" x14ac:dyDescent="0.3">
      <c r="A112" s="104"/>
      <c r="B112" s="34">
        <v>107</v>
      </c>
      <c r="C112" s="31" t="s">
        <v>193</v>
      </c>
      <c r="D112" s="33">
        <v>150000</v>
      </c>
      <c r="E112" s="33">
        <v>19995</v>
      </c>
      <c r="F112" s="32">
        <f t="shared" si="19"/>
        <v>169995</v>
      </c>
      <c r="G112" s="34">
        <v>50</v>
      </c>
      <c r="H112" s="32">
        <v>3399.9</v>
      </c>
      <c r="I112" s="34">
        <v>27</v>
      </c>
      <c r="J112" s="35">
        <f t="shared" si="16"/>
        <v>23</v>
      </c>
      <c r="K112" s="36">
        <f t="shared" si="18"/>
        <v>91797.3</v>
      </c>
      <c r="L112" s="32">
        <f t="shared" si="17"/>
        <v>78197.7</v>
      </c>
      <c r="M112" s="31"/>
      <c r="N112" s="5"/>
    </row>
    <row r="113" spans="1:14" ht="18.75" x14ac:dyDescent="0.3">
      <c r="A113" s="104"/>
      <c r="B113" s="34">
        <v>108</v>
      </c>
      <c r="C113" s="31" t="s">
        <v>101</v>
      </c>
      <c r="D113" s="33">
        <v>150000</v>
      </c>
      <c r="E113" s="33">
        <v>19995</v>
      </c>
      <c r="F113" s="32">
        <f t="shared" si="19"/>
        <v>169995</v>
      </c>
      <c r="G113" s="34">
        <v>50</v>
      </c>
      <c r="H113" s="32">
        <v>3399.9</v>
      </c>
      <c r="I113" s="34">
        <v>25</v>
      </c>
      <c r="J113" s="35">
        <f t="shared" si="16"/>
        <v>25</v>
      </c>
      <c r="K113" s="36">
        <f t="shared" si="18"/>
        <v>84997.5</v>
      </c>
      <c r="L113" s="32">
        <f t="shared" si="17"/>
        <v>84997.5</v>
      </c>
      <c r="M113" s="31"/>
      <c r="N113" s="5"/>
    </row>
    <row r="114" spans="1:14" ht="18.75" x14ac:dyDescent="0.3">
      <c r="A114" s="104"/>
      <c r="B114" s="34">
        <v>109</v>
      </c>
      <c r="C114" s="31" t="s">
        <v>102</v>
      </c>
      <c r="D114" s="33">
        <v>150000</v>
      </c>
      <c r="E114" s="33">
        <v>19995</v>
      </c>
      <c r="F114" s="32">
        <f t="shared" si="19"/>
        <v>169995</v>
      </c>
      <c r="G114" s="34">
        <v>50</v>
      </c>
      <c r="H114" s="32">
        <v>3399.9</v>
      </c>
      <c r="I114" s="34">
        <v>27</v>
      </c>
      <c r="J114" s="35">
        <f t="shared" si="16"/>
        <v>23</v>
      </c>
      <c r="K114" s="36">
        <f t="shared" si="18"/>
        <v>91797.3</v>
      </c>
      <c r="L114" s="32">
        <f t="shared" si="17"/>
        <v>78197.7</v>
      </c>
      <c r="M114" s="31"/>
      <c r="N114" s="5"/>
    </row>
    <row r="115" spans="1:14" ht="18.75" x14ac:dyDescent="0.3">
      <c r="A115" s="104"/>
      <c r="B115" s="34">
        <v>110</v>
      </c>
      <c r="C115" s="31" t="s">
        <v>104</v>
      </c>
      <c r="D115" s="33">
        <v>150000</v>
      </c>
      <c r="E115" s="33">
        <v>19995</v>
      </c>
      <c r="F115" s="32">
        <f t="shared" si="19"/>
        <v>169995</v>
      </c>
      <c r="G115" s="34">
        <v>50</v>
      </c>
      <c r="H115" s="32">
        <v>3399.9</v>
      </c>
      <c r="I115" s="34">
        <v>42</v>
      </c>
      <c r="J115" s="35">
        <f t="shared" si="16"/>
        <v>8</v>
      </c>
      <c r="K115" s="36">
        <f t="shared" si="18"/>
        <v>142795.80000000002</v>
      </c>
      <c r="L115" s="32">
        <f t="shared" si="17"/>
        <v>27199.199999999983</v>
      </c>
      <c r="M115" s="31"/>
      <c r="N115" s="5"/>
    </row>
    <row r="116" spans="1:14" ht="18.75" x14ac:dyDescent="0.3">
      <c r="A116" s="104"/>
      <c r="B116" s="34">
        <v>111</v>
      </c>
      <c r="C116" s="31" t="s">
        <v>110</v>
      </c>
      <c r="D116" s="33">
        <v>150000</v>
      </c>
      <c r="E116" s="33">
        <v>19995</v>
      </c>
      <c r="F116" s="32">
        <f t="shared" si="19"/>
        <v>169995</v>
      </c>
      <c r="G116" s="34">
        <v>50</v>
      </c>
      <c r="H116" s="32">
        <v>3399.9</v>
      </c>
      <c r="I116" s="34">
        <v>27</v>
      </c>
      <c r="J116" s="35">
        <f t="shared" si="16"/>
        <v>23</v>
      </c>
      <c r="K116" s="36">
        <f t="shared" si="18"/>
        <v>91797.3</v>
      </c>
      <c r="L116" s="32">
        <f t="shared" si="17"/>
        <v>78197.7</v>
      </c>
      <c r="M116" s="31"/>
      <c r="N116" s="5"/>
    </row>
    <row r="117" spans="1:14" ht="18.75" x14ac:dyDescent="0.3">
      <c r="A117" s="104"/>
      <c r="B117" s="34">
        <v>112</v>
      </c>
      <c r="C117" s="31" t="s">
        <v>225</v>
      </c>
      <c r="D117" s="33">
        <v>150000</v>
      </c>
      <c r="E117" s="33">
        <v>19995</v>
      </c>
      <c r="F117" s="32">
        <f t="shared" si="19"/>
        <v>169995</v>
      </c>
      <c r="G117" s="34">
        <v>50</v>
      </c>
      <c r="H117" s="32">
        <v>3399.9</v>
      </c>
      <c r="I117" s="34">
        <v>42</v>
      </c>
      <c r="J117" s="35">
        <f t="shared" si="16"/>
        <v>8</v>
      </c>
      <c r="K117" s="36">
        <f t="shared" si="18"/>
        <v>142795.80000000002</v>
      </c>
      <c r="L117" s="32">
        <f t="shared" si="17"/>
        <v>27199.199999999983</v>
      </c>
      <c r="M117" s="31"/>
      <c r="N117" s="5"/>
    </row>
    <row r="118" spans="1:14" ht="18.75" x14ac:dyDescent="0.3">
      <c r="A118" s="104"/>
      <c r="B118" s="34">
        <v>113</v>
      </c>
      <c r="C118" s="31" t="s">
        <v>113</v>
      </c>
      <c r="D118" s="33">
        <v>150000</v>
      </c>
      <c r="E118" s="33">
        <v>19995</v>
      </c>
      <c r="F118" s="32">
        <f t="shared" si="19"/>
        <v>169995</v>
      </c>
      <c r="G118" s="34">
        <v>50</v>
      </c>
      <c r="H118" s="32">
        <v>3399.9</v>
      </c>
      <c r="I118" s="34">
        <v>42</v>
      </c>
      <c r="J118" s="35">
        <f t="shared" si="16"/>
        <v>8</v>
      </c>
      <c r="K118" s="36">
        <f t="shared" si="18"/>
        <v>142795.80000000002</v>
      </c>
      <c r="L118" s="32">
        <f t="shared" si="17"/>
        <v>27199.199999999983</v>
      </c>
      <c r="M118" s="31"/>
      <c r="N118" s="5"/>
    </row>
    <row r="119" spans="1:14" ht="18.75" x14ac:dyDescent="0.3">
      <c r="A119" s="104"/>
      <c r="B119" s="34">
        <v>114</v>
      </c>
      <c r="C119" s="31" t="s">
        <v>114</v>
      </c>
      <c r="D119" s="33">
        <v>150000</v>
      </c>
      <c r="E119" s="33">
        <v>19995</v>
      </c>
      <c r="F119" s="32">
        <f t="shared" si="19"/>
        <v>169995</v>
      </c>
      <c r="G119" s="34">
        <v>50</v>
      </c>
      <c r="H119" s="32">
        <v>3399.9</v>
      </c>
      <c r="I119" s="34">
        <v>27</v>
      </c>
      <c r="J119" s="35">
        <f t="shared" si="16"/>
        <v>23</v>
      </c>
      <c r="K119" s="36">
        <f t="shared" si="18"/>
        <v>91797.3</v>
      </c>
      <c r="L119" s="32">
        <f t="shared" si="17"/>
        <v>78197.7</v>
      </c>
      <c r="M119" s="31"/>
      <c r="N119" s="5"/>
    </row>
    <row r="120" spans="1:14" ht="18.75" x14ac:dyDescent="0.3">
      <c r="A120" s="104"/>
      <c r="B120" s="34">
        <v>115</v>
      </c>
      <c r="C120" s="31" t="s">
        <v>236</v>
      </c>
      <c r="D120" s="33">
        <v>150000</v>
      </c>
      <c r="E120" s="33">
        <v>19995</v>
      </c>
      <c r="F120" s="32">
        <f t="shared" si="19"/>
        <v>169995</v>
      </c>
      <c r="G120" s="34">
        <v>50</v>
      </c>
      <c r="H120" s="32">
        <v>3399.9</v>
      </c>
      <c r="I120" s="34">
        <v>27</v>
      </c>
      <c r="J120" s="35">
        <f t="shared" si="16"/>
        <v>23</v>
      </c>
      <c r="K120" s="36">
        <f t="shared" si="18"/>
        <v>91797.3</v>
      </c>
      <c r="L120" s="32">
        <f t="shared" si="17"/>
        <v>78197.7</v>
      </c>
      <c r="M120" s="31"/>
      <c r="N120" s="5"/>
    </row>
    <row r="121" spans="1:14" ht="18.75" x14ac:dyDescent="0.3">
      <c r="A121" s="104"/>
      <c r="B121" s="34">
        <v>116</v>
      </c>
      <c r="C121" s="31" t="s">
        <v>117</v>
      </c>
      <c r="D121" s="33">
        <v>150000</v>
      </c>
      <c r="E121" s="33">
        <v>19995</v>
      </c>
      <c r="F121" s="32">
        <f t="shared" si="19"/>
        <v>169995</v>
      </c>
      <c r="G121" s="34">
        <v>50</v>
      </c>
      <c r="H121" s="32">
        <v>3399.9</v>
      </c>
      <c r="I121" s="34">
        <v>42</v>
      </c>
      <c r="J121" s="35">
        <f t="shared" si="16"/>
        <v>8</v>
      </c>
      <c r="K121" s="36">
        <f t="shared" si="18"/>
        <v>142795.80000000002</v>
      </c>
      <c r="L121" s="32">
        <f t="shared" si="17"/>
        <v>27199.199999999983</v>
      </c>
      <c r="M121" s="31"/>
      <c r="N121" s="5"/>
    </row>
    <row r="122" spans="1:14" ht="18.75" x14ac:dyDescent="0.3">
      <c r="A122" s="104"/>
      <c r="B122" s="34">
        <v>117</v>
      </c>
      <c r="C122" s="31" t="s">
        <v>155</v>
      </c>
      <c r="D122" s="33">
        <v>150000</v>
      </c>
      <c r="E122" s="33">
        <v>19995</v>
      </c>
      <c r="F122" s="32">
        <f t="shared" si="19"/>
        <v>169995</v>
      </c>
      <c r="G122" s="34">
        <v>50</v>
      </c>
      <c r="H122" s="32">
        <v>3399.9</v>
      </c>
      <c r="I122" s="34">
        <v>27</v>
      </c>
      <c r="J122" s="35">
        <f t="shared" si="16"/>
        <v>23</v>
      </c>
      <c r="K122" s="36">
        <f t="shared" si="18"/>
        <v>91797.3</v>
      </c>
      <c r="L122" s="32">
        <f t="shared" si="17"/>
        <v>78197.7</v>
      </c>
      <c r="M122" s="31"/>
      <c r="N122" s="5"/>
    </row>
    <row r="123" spans="1:14" ht="18.75" x14ac:dyDescent="0.3">
      <c r="A123" s="104"/>
      <c r="B123" s="34">
        <v>118</v>
      </c>
      <c r="C123" s="31" t="s">
        <v>176</v>
      </c>
      <c r="D123" s="33">
        <v>150000</v>
      </c>
      <c r="E123" s="33">
        <v>19995</v>
      </c>
      <c r="F123" s="32">
        <f t="shared" si="19"/>
        <v>169995</v>
      </c>
      <c r="G123" s="34">
        <v>50</v>
      </c>
      <c r="H123" s="32">
        <v>3399.9</v>
      </c>
      <c r="I123" s="34">
        <v>42</v>
      </c>
      <c r="J123" s="35">
        <f t="shared" si="16"/>
        <v>8</v>
      </c>
      <c r="K123" s="36">
        <f t="shared" si="18"/>
        <v>142795.80000000002</v>
      </c>
      <c r="L123" s="32">
        <f t="shared" si="17"/>
        <v>27199.199999999983</v>
      </c>
      <c r="M123" s="31"/>
      <c r="N123" s="5"/>
    </row>
    <row r="124" spans="1:14" ht="18.75" x14ac:dyDescent="0.3">
      <c r="A124" s="104"/>
      <c r="B124" s="34">
        <v>119</v>
      </c>
      <c r="C124" s="31" t="s">
        <v>120</v>
      </c>
      <c r="D124" s="33">
        <v>150000</v>
      </c>
      <c r="E124" s="33">
        <v>19995</v>
      </c>
      <c r="F124" s="32">
        <f t="shared" si="19"/>
        <v>169995</v>
      </c>
      <c r="G124" s="34">
        <v>50</v>
      </c>
      <c r="H124" s="32">
        <v>3399.9</v>
      </c>
      <c r="I124" s="34">
        <v>27</v>
      </c>
      <c r="J124" s="35">
        <f t="shared" si="16"/>
        <v>23</v>
      </c>
      <c r="K124" s="36">
        <f t="shared" si="18"/>
        <v>91797.3</v>
      </c>
      <c r="L124" s="32">
        <f t="shared" si="17"/>
        <v>78197.7</v>
      </c>
      <c r="M124" s="31"/>
      <c r="N124" s="5"/>
    </row>
    <row r="125" spans="1:14" ht="18.75" x14ac:dyDescent="0.3">
      <c r="A125" s="104"/>
      <c r="B125" s="34">
        <v>120</v>
      </c>
      <c r="C125" s="31" t="s">
        <v>197</v>
      </c>
      <c r="D125" s="33">
        <v>150000</v>
      </c>
      <c r="E125" s="33">
        <v>19995</v>
      </c>
      <c r="F125" s="32">
        <f t="shared" si="19"/>
        <v>169995</v>
      </c>
      <c r="G125" s="34">
        <v>50</v>
      </c>
      <c r="H125" s="32">
        <v>3399.9</v>
      </c>
      <c r="I125" s="34">
        <v>27</v>
      </c>
      <c r="J125" s="35">
        <f t="shared" si="16"/>
        <v>23</v>
      </c>
      <c r="K125" s="36">
        <f t="shared" si="18"/>
        <v>91797.3</v>
      </c>
      <c r="L125" s="32">
        <f t="shared" si="17"/>
        <v>78197.7</v>
      </c>
      <c r="M125" s="31"/>
      <c r="N125" s="5"/>
    </row>
    <row r="126" spans="1:14" ht="18.75" x14ac:dyDescent="0.3">
      <c r="A126" s="104"/>
      <c r="B126" s="34">
        <v>121</v>
      </c>
      <c r="C126" s="31" t="s">
        <v>124</v>
      </c>
      <c r="D126" s="33">
        <v>150000</v>
      </c>
      <c r="E126" s="33">
        <v>19995</v>
      </c>
      <c r="F126" s="32">
        <f t="shared" si="19"/>
        <v>169995</v>
      </c>
      <c r="G126" s="34">
        <v>50</v>
      </c>
      <c r="H126" s="32">
        <v>3399.9</v>
      </c>
      <c r="I126" s="34">
        <v>27</v>
      </c>
      <c r="J126" s="35">
        <f t="shared" si="16"/>
        <v>23</v>
      </c>
      <c r="K126" s="36">
        <f>I126*H126</f>
        <v>91797.3</v>
      </c>
      <c r="L126" s="32">
        <f t="shared" si="17"/>
        <v>78197.7</v>
      </c>
      <c r="M126" s="31"/>
      <c r="N126" s="5"/>
    </row>
    <row r="127" spans="1:14" ht="18.75" x14ac:dyDescent="0.3">
      <c r="A127" s="104"/>
      <c r="B127" s="34">
        <v>122</v>
      </c>
      <c r="C127" s="31" t="s">
        <v>126</v>
      </c>
      <c r="D127" s="33">
        <v>150000</v>
      </c>
      <c r="E127" s="33">
        <v>19995</v>
      </c>
      <c r="F127" s="32">
        <f t="shared" si="19"/>
        <v>169995</v>
      </c>
      <c r="G127" s="34">
        <v>50</v>
      </c>
      <c r="H127" s="32">
        <v>3399.9</v>
      </c>
      <c r="I127" s="34">
        <v>51</v>
      </c>
      <c r="J127" s="35">
        <f t="shared" si="16"/>
        <v>-1</v>
      </c>
      <c r="K127" s="36">
        <f t="shared" ref="K127:K144" si="20">H127*I127</f>
        <v>173394.9</v>
      </c>
      <c r="L127" s="32">
        <f t="shared" si="17"/>
        <v>-3399.8999999999942</v>
      </c>
      <c r="M127" s="31"/>
      <c r="N127" s="5"/>
    </row>
    <row r="128" spans="1:14" ht="18.75" x14ac:dyDescent="0.3">
      <c r="A128" s="104"/>
      <c r="B128" s="34">
        <v>123</v>
      </c>
      <c r="C128" s="31" t="s">
        <v>127</v>
      </c>
      <c r="D128" s="33">
        <v>150000</v>
      </c>
      <c r="E128" s="33">
        <v>19995</v>
      </c>
      <c r="F128" s="32">
        <f t="shared" si="19"/>
        <v>169995</v>
      </c>
      <c r="G128" s="34">
        <v>50</v>
      </c>
      <c r="H128" s="32">
        <v>3399.9</v>
      </c>
      <c r="I128" s="34">
        <v>42</v>
      </c>
      <c r="J128" s="35">
        <f t="shared" si="16"/>
        <v>8</v>
      </c>
      <c r="K128" s="36">
        <f t="shared" si="20"/>
        <v>142795.80000000002</v>
      </c>
      <c r="L128" s="32">
        <f t="shared" si="17"/>
        <v>27199.199999999983</v>
      </c>
      <c r="M128" s="31"/>
      <c r="N128" s="5"/>
    </row>
    <row r="129" spans="1:14" ht="18.75" x14ac:dyDescent="0.3">
      <c r="A129" s="104"/>
      <c r="B129" s="34">
        <v>124</v>
      </c>
      <c r="C129" s="31" t="s">
        <v>200</v>
      </c>
      <c r="D129" s="33">
        <v>150000</v>
      </c>
      <c r="E129" s="33">
        <v>19995</v>
      </c>
      <c r="F129" s="32">
        <f t="shared" si="19"/>
        <v>169995</v>
      </c>
      <c r="G129" s="34">
        <v>50</v>
      </c>
      <c r="H129" s="32">
        <v>3399.9</v>
      </c>
      <c r="I129" s="34">
        <v>42</v>
      </c>
      <c r="J129" s="35">
        <f t="shared" si="16"/>
        <v>8</v>
      </c>
      <c r="K129" s="36">
        <f t="shared" si="20"/>
        <v>142795.80000000002</v>
      </c>
      <c r="L129" s="32">
        <f t="shared" si="17"/>
        <v>27199.199999999983</v>
      </c>
      <c r="M129" s="31"/>
      <c r="N129" s="5"/>
    </row>
    <row r="130" spans="1:14" ht="18.75" x14ac:dyDescent="0.3">
      <c r="A130" s="104"/>
      <c r="B130" s="34">
        <v>125</v>
      </c>
      <c r="C130" s="31" t="s">
        <v>199</v>
      </c>
      <c r="D130" s="33">
        <v>150000</v>
      </c>
      <c r="E130" s="33">
        <v>19995</v>
      </c>
      <c r="F130" s="32">
        <f t="shared" si="19"/>
        <v>169995</v>
      </c>
      <c r="G130" s="34">
        <v>50</v>
      </c>
      <c r="H130" s="32">
        <v>3399.9</v>
      </c>
      <c r="I130" s="34">
        <v>42</v>
      </c>
      <c r="J130" s="35">
        <f t="shared" si="16"/>
        <v>8</v>
      </c>
      <c r="K130" s="36">
        <f t="shared" si="20"/>
        <v>142795.80000000002</v>
      </c>
      <c r="L130" s="32">
        <f t="shared" si="17"/>
        <v>27199.199999999983</v>
      </c>
      <c r="M130" s="31"/>
      <c r="N130" s="5"/>
    </row>
    <row r="131" spans="1:14" ht="18.75" x14ac:dyDescent="0.3">
      <c r="A131" s="104"/>
      <c r="B131" s="34">
        <v>126</v>
      </c>
      <c r="C131" s="31" t="s">
        <v>129</v>
      </c>
      <c r="D131" s="33">
        <v>150000</v>
      </c>
      <c r="E131" s="33">
        <v>19995</v>
      </c>
      <c r="F131" s="32">
        <f t="shared" si="19"/>
        <v>169995</v>
      </c>
      <c r="G131" s="34">
        <v>50</v>
      </c>
      <c r="H131" s="32">
        <v>3399.9</v>
      </c>
      <c r="I131" s="34">
        <v>25</v>
      </c>
      <c r="J131" s="35">
        <f t="shared" si="16"/>
        <v>25</v>
      </c>
      <c r="K131" s="36">
        <f t="shared" si="20"/>
        <v>84997.5</v>
      </c>
      <c r="L131" s="32">
        <f t="shared" si="17"/>
        <v>84997.5</v>
      </c>
      <c r="M131" s="31"/>
      <c r="N131" s="5"/>
    </row>
    <row r="132" spans="1:14" ht="18.75" x14ac:dyDescent="0.3">
      <c r="A132" s="104"/>
      <c r="B132" s="34">
        <v>127</v>
      </c>
      <c r="C132" s="31" t="s">
        <v>130</v>
      </c>
      <c r="D132" s="33">
        <v>150000</v>
      </c>
      <c r="E132" s="33">
        <v>19995</v>
      </c>
      <c r="F132" s="32">
        <f t="shared" si="19"/>
        <v>169995</v>
      </c>
      <c r="G132" s="34">
        <v>50</v>
      </c>
      <c r="H132" s="32">
        <v>3399.9</v>
      </c>
      <c r="I132" s="34">
        <v>27</v>
      </c>
      <c r="J132" s="35">
        <f t="shared" si="16"/>
        <v>23</v>
      </c>
      <c r="K132" s="36">
        <f t="shared" si="20"/>
        <v>91797.3</v>
      </c>
      <c r="L132" s="32">
        <f t="shared" si="17"/>
        <v>78197.7</v>
      </c>
      <c r="M132" s="31"/>
      <c r="N132" s="5"/>
    </row>
    <row r="133" spans="1:14" ht="18.75" x14ac:dyDescent="0.3">
      <c r="A133" s="104"/>
      <c r="B133" s="34">
        <v>128</v>
      </c>
      <c r="C133" s="31" t="s">
        <v>131</v>
      </c>
      <c r="D133" s="33">
        <v>150000</v>
      </c>
      <c r="E133" s="33">
        <v>19995</v>
      </c>
      <c r="F133" s="32">
        <f t="shared" si="19"/>
        <v>169995</v>
      </c>
      <c r="G133" s="34">
        <v>50</v>
      </c>
      <c r="H133" s="32">
        <v>3399.9</v>
      </c>
      <c r="I133" s="34">
        <v>27</v>
      </c>
      <c r="J133" s="35">
        <f t="shared" si="16"/>
        <v>23</v>
      </c>
      <c r="K133" s="36">
        <f t="shared" si="20"/>
        <v>91797.3</v>
      </c>
      <c r="L133" s="32">
        <f t="shared" si="17"/>
        <v>78197.7</v>
      </c>
      <c r="M133" s="31"/>
      <c r="N133" s="5"/>
    </row>
    <row r="134" spans="1:14" ht="18.75" x14ac:dyDescent="0.3">
      <c r="A134" s="104"/>
      <c r="B134" s="34">
        <v>129</v>
      </c>
      <c r="C134" s="31" t="s">
        <v>201</v>
      </c>
      <c r="D134" s="33">
        <v>150000</v>
      </c>
      <c r="E134" s="33">
        <v>19995</v>
      </c>
      <c r="F134" s="32">
        <f t="shared" si="19"/>
        <v>169995</v>
      </c>
      <c r="G134" s="34">
        <v>50</v>
      </c>
      <c r="H134" s="32">
        <v>3399.9</v>
      </c>
      <c r="I134" s="34">
        <v>27</v>
      </c>
      <c r="J134" s="35">
        <f t="shared" ref="J134:J165" si="21">G134-I134</f>
        <v>23</v>
      </c>
      <c r="K134" s="36">
        <f t="shared" si="20"/>
        <v>91797.3</v>
      </c>
      <c r="L134" s="32">
        <f t="shared" ref="L134:L144" si="22">F134-K134</f>
        <v>78197.7</v>
      </c>
      <c r="M134" s="31"/>
      <c r="N134" s="5"/>
    </row>
    <row r="135" spans="1:14" ht="18.75" x14ac:dyDescent="0.3">
      <c r="A135" s="104"/>
      <c r="B135" s="34">
        <v>130</v>
      </c>
      <c r="C135" s="31" t="s">
        <v>202</v>
      </c>
      <c r="D135" s="33">
        <v>150000</v>
      </c>
      <c r="E135" s="33">
        <v>19995</v>
      </c>
      <c r="F135" s="32">
        <f t="shared" si="19"/>
        <v>169995</v>
      </c>
      <c r="G135" s="34">
        <v>50</v>
      </c>
      <c r="H135" s="32">
        <v>3399.9</v>
      </c>
      <c r="I135" s="34">
        <v>52</v>
      </c>
      <c r="J135" s="35">
        <f t="shared" si="21"/>
        <v>-2</v>
      </c>
      <c r="K135" s="36">
        <f t="shared" si="20"/>
        <v>176794.80000000002</v>
      </c>
      <c r="L135" s="32">
        <f t="shared" si="22"/>
        <v>-6799.8000000000175</v>
      </c>
      <c r="M135" s="31"/>
      <c r="N135" s="5"/>
    </row>
    <row r="136" spans="1:14" ht="18.75" x14ac:dyDescent="0.3">
      <c r="A136" s="104"/>
      <c r="B136" s="34">
        <v>131</v>
      </c>
      <c r="C136" s="31" t="s">
        <v>223</v>
      </c>
      <c r="D136" s="33">
        <v>150000</v>
      </c>
      <c r="E136" s="33">
        <v>19995</v>
      </c>
      <c r="F136" s="32">
        <f t="shared" si="19"/>
        <v>169995</v>
      </c>
      <c r="G136" s="34">
        <v>50</v>
      </c>
      <c r="H136" s="32">
        <v>3399.9</v>
      </c>
      <c r="I136" s="34">
        <v>51</v>
      </c>
      <c r="J136" s="35">
        <f t="shared" si="21"/>
        <v>-1</v>
      </c>
      <c r="K136" s="36">
        <f t="shared" si="20"/>
        <v>173394.9</v>
      </c>
      <c r="L136" s="32">
        <f t="shared" si="22"/>
        <v>-3399.8999999999942</v>
      </c>
      <c r="M136" s="31"/>
      <c r="N136" s="5"/>
    </row>
    <row r="137" spans="1:14" ht="18.75" x14ac:dyDescent="0.3">
      <c r="A137" s="104"/>
      <c r="B137" s="34">
        <v>132</v>
      </c>
      <c r="C137" s="31" t="s">
        <v>133</v>
      </c>
      <c r="D137" s="33">
        <v>150000</v>
      </c>
      <c r="E137" s="33">
        <v>19995</v>
      </c>
      <c r="F137" s="32">
        <f t="shared" si="19"/>
        <v>169995</v>
      </c>
      <c r="G137" s="34">
        <v>50</v>
      </c>
      <c r="H137" s="32">
        <v>3399.9</v>
      </c>
      <c r="I137" s="34">
        <v>27</v>
      </c>
      <c r="J137" s="35">
        <f t="shared" si="21"/>
        <v>23</v>
      </c>
      <c r="K137" s="36">
        <f t="shared" si="20"/>
        <v>91797.3</v>
      </c>
      <c r="L137" s="32">
        <f t="shared" si="22"/>
        <v>78197.7</v>
      </c>
      <c r="M137" s="31"/>
      <c r="N137" s="5"/>
    </row>
    <row r="138" spans="1:14" ht="18.75" x14ac:dyDescent="0.3">
      <c r="A138" s="104"/>
      <c r="B138" s="34">
        <v>133</v>
      </c>
      <c r="C138" s="31" t="s">
        <v>134</v>
      </c>
      <c r="D138" s="33">
        <v>150000</v>
      </c>
      <c r="E138" s="33">
        <v>19995</v>
      </c>
      <c r="F138" s="32">
        <f t="shared" si="19"/>
        <v>169995</v>
      </c>
      <c r="G138" s="34">
        <v>50</v>
      </c>
      <c r="H138" s="32">
        <v>3399.9</v>
      </c>
      <c r="I138" s="34">
        <v>42</v>
      </c>
      <c r="J138" s="35">
        <f t="shared" si="21"/>
        <v>8</v>
      </c>
      <c r="K138" s="36">
        <f t="shared" si="20"/>
        <v>142795.80000000002</v>
      </c>
      <c r="L138" s="32">
        <f t="shared" si="22"/>
        <v>27199.199999999983</v>
      </c>
      <c r="M138" s="31"/>
      <c r="N138" s="5"/>
    </row>
    <row r="139" spans="1:14" ht="18.75" x14ac:dyDescent="0.3">
      <c r="A139" s="104"/>
      <c r="B139" s="34">
        <v>134</v>
      </c>
      <c r="C139" s="31" t="s">
        <v>203</v>
      </c>
      <c r="D139" s="33">
        <v>150000</v>
      </c>
      <c r="E139" s="33">
        <v>19995</v>
      </c>
      <c r="F139" s="32">
        <f t="shared" ref="F139:F170" si="23">D139+E139</f>
        <v>169995</v>
      </c>
      <c r="G139" s="34">
        <v>50</v>
      </c>
      <c r="H139" s="32">
        <v>3399.9</v>
      </c>
      <c r="I139" s="34">
        <v>42</v>
      </c>
      <c r="J139" s="35">
        <f t="shared" si="21"/>
        <v>8</v>
      </c>
      <c r="K139" s="36">
        <f t="shared" si="20"/>
        <v>142795.80000000002</v>
      </c>
      <c r="L139" s="32">
        <f t="shared" si="22"/>
        <v>27199.199999999983</v>
      </c>
      <c r="M139" s="31"/>
      <c r="N139" s="5"/>
    </row>
    <row r="140" spans="1:14" ht="18.75" x14ac:dyDescent="0.3">
      <c r="A140" s="104"/>
      <c r="B140" s="34">
        <v>135</v>
      </c>
      <c r="C140" s="31" t="s">
        <v>136</v>
      </c>
      <c r="D140" s="33">
        <v>150000</v>
      </c>
      <c r="E140" s="33">
        <v>19995</v>
      </c>
      <c r="F140" s="32">
        <f t="shared" si="23"/>
        <v>169995</v>
      </c>
      <c r="G140" s="34">
        <v>50</v>
      </c>
      <c r="H140" s="32">
        <v>3399.9</v>
      </c>
      <c r="I140" s="34">
        <v>42</v>
      </c>
      <c r="J140" s="35">
        <f t="shared" si="21"/>
        <v>8</v>
      </c>
      <c r="K140" s="36">
        <f t="shared" si="20"/>
        <v>142795.80000000002</v>
      </c>
      <c r="L140" s="32">
        <f t="shared" si="22"/>
        <v>27199.199999999983</v>
      </c>
      <c r="M140" s="31"/>
      <c r="N140" s="5"/>
    </row>
    <row r="141" spans="1:14" ht="18.75" x14ac:dyDescent="0.3">
      <c r="A141" s="104"/>
      <c r="B141" s="34">
        <v>136</v>
      </c>
      <c r="C141" s="31" t="s">
        <v>137</v>
      </c>
      <c r="D141" s="33">
        <v>150000</v>
      </c>
      <c r="E141" s="33">
        <v>19995</v>
      </c>
      <c r="F141" s="32">
        <f t="shared" si="23"/>
        <v>169995</v>
      </c>
      <c r="G141" s="34">
        <v>50</v>
      </c>
      <c r="H141" s="32">
        <v>3399.9</v>
      </c>
      <c r="I141" s="34">
        <v>27</v>
      </c>
      <c r="J141" s="35">
        <f t="shared" si="21"/>
        <v>23</v>
      </c>
      <c r="K141" s="36">
        <f t="shared" si="20"/>
        <v>91797.3</v>
      </c>
      <c r="L141" s="32">
        <f t="shared" si="22"/>
        <v>78197.7</v>
      </c>
      <c r="M141" s="31"/>
      <c r="N141" s="5"/>
    </row>
    <row r="142" spans="1:14" ht="18.75" x14ac:dyDescent="0.3">
      <c r="A142" s="104"/>
      <c r="B142" s="34">
        <v>137</v>
      </c>
      <c r="C142" s="31" t="s">
        <v>230</v>
      </c>
      <c r="D142" s="33">
        <v>150000</v>
      </c>
      <c r="E142" s="33">
        <v>19995</v>
      </c>
      <c r="F142" s="32">
        <f t="shared" si="23"/>
        <v>169995</v>
      </c>
      <c r="G142" s="34">
        <v>50</v>
      </c>
      <c r="H142" s="32">
        <v>3399.9</v>
      </c>
      <c r="I142" s="34">
        <v>32</v>
      </c>
      <c r="J142" s="35">
        <f t="shared" si="21"/>
        <v>18</v>
      </c>
      <c r="K142" s="36">
        <f t="shared" si="20"/>
        <v>108796.8</v>
      </c>
      <c r="L142" s="32">
        <f t="shared" si="22"/>
        <v>61198.2</v>
      </c>
      <c r="M142" s="31"/>
      <c r="N142" s="5"/>
    </row>
    <row r="143" spans="1:14" ht="18.75" x14ac:dyDescent="0.3">
      <c r="A143" s="104"/>
      <c r="B143" s="34">
        <v>138</v>
      </c>
      <c r="C143" s="31" t="s">
        <v>139</v>
      </c>
      <c r="D143" s="33">
        <v>150000</v>
      </c>
      <c r="E143" s="33">
        <v>19995</v>
      </c>
      <c r="F143" s="32">
        <f t="shared" si="23"/>
        <v>169995</v>
      </c>
      <c r="G143" s="34">
        <v>50</v>
      </c>
      <c r="H143" s="32">
        <v>3399.9</v>
      </c>
      <c r="I143" s="34">
        <v>27</v>
      </c>
      <c r="J143" s="35">
        <f t="shared" si="21"/>
        <v>23</v>
      </c>
      <c r="K143" s="36">
        <f t="shared" si="20"/>
        <v>91797.3</v>
      </c>
      <c r="L143" s="32">
        <f t="shared" si="22"/>
        <v>78197.7</v>
      </c>
      <c r="M143" s="31"/>
      <c r="N143" s="5"/>
    </row>
    <row r="144" spans="1:14" ht="18.75" x14ac:dyDescent="0.3">
      <c r="A144" s="104"/>
      <c r="B144" s="34">
        <v>139</v>
      </c>
      <c r="C144" s="31" t="s">
        <v>229</v>
      </c>
      <c r="D144" s="33">
        <v>150000</v>
      </c>
      <c r="E144" s="33">
        <v>19995</v>
      </c>
      <c r="F144" s="32">
        <f t="shared" si="23"/>
        <v>169995</v>
      </c>
      <c r="G144" s="34">
        <v>50</v>
      </c>
      <c r="H144" s="32">
        <v>3399.9</v>
      </c>
      <c r="I144" s="34">
        <v>22</v>
      </c>
      <c r="J144" s="35">
        <f t="shared" si="21"/>
        <v>28</v>
      </c>
      <c r="K144" s="36">
        <f t="shared" si="20"/>
        <v>74797.8</v>
      </c>
      <c r="L144" s="36">
        <f t="shared" si="22"/>
        <v>95197.2</v>
      </c>
      <c r="M144" s="31"/>
      <c r="N144" s="5"/>
    </row>
    <row r="145" spans="1:14" ht="18.75" x14ac:dyDescent="0.3">
      <c r="A145" s="104"/>
      <c r="B145" s="34">
        <v>140</v>
      </c>
      <c r="C145" s="31" t="s">
        <v>207</v>
      </c>
      <c r="D145" s="33">
        <v>150000</v>
      </c>
      <c r="E145" s="33">
        <v>19995</v>
      </c>
      <c r="F145" s="32">
        <f t="shared" si="23"/>
        <v>169995</v>
      </c>
      <c r="G145" s="34">
        <v>50</v>
      </c>
      <c r="H145" s="32">
        <v>3399.9</v>
      </c>
      <c r="I145" s="34">
        <v>22</v>
      </c>
      <c r="J145" s="35">
        <f t="shared" si="21"/>
        <v>28</v>
      </c>
      <c r="K145" s="36">
        <f t="shared" ref="K145:K170" si="24">I145*H145</f>
        <v>74797.8</v>
      </c>
      <c r="L145" s="36">
        <f>F145-H145</f>
        <v>166595.1</v>
      </c>
      <c r="M145" s="31"/>
      <c r="N145" s="5"/>
    </row>
    <row r="146" spans="1:14" ht="18.75" x14ac:dyDescent="0.3">
      <c r="A146" s="104"/>
      <c r="B146" s="34">
        <v>141</v>
      </c>
      <c r="C146" s="50" t="s">
        <v>147</v>
      </c>
      <c r="D146" s="33">
        <v>150000</v>
      </c>
      <c r="E146" s="33">
        <v>19995</v>
      </c>
      <c r="F146" s="32">
        <f t="shared" si="23"/>
        <v>169995</v>
      </c>
      <c r="G146" s="34">
        <v>50</v>
      </c>
      <c r="H146" s="32">
        <v>3399.9</v>
      </c>
      <c r="I146" s="81">
        <v>16</v>
      </c>
      <c r="J146" s="35">
        <f t="shared" si="21"/>
        <v>34</v>
      </c>
      <c r="K146" s="36">
        <f t="shared" si="24"/>
        <v>54398.400000000001</v>
      </c>
      <c r="L146" s="36">
        <f t="shared" ref="L146:L170" si="25">F146-K146</f>
        <v>115596.6</v>
      </c>
      <c r="M146" s="31"/>
      <c r="N146" s="5"/>
    </row>
    <row r="147" spans="1:14" ht="18.75" x14ac:dyDescent="0.3">
      <c r="A147" s="104"/>
      <c r="B147" s="34">
        <v>142</v>
      </c>
      <c r="C147" s="50" t="s">
        <v>151</v>
      </c>
      <c r="D147" s="33">
        <v>150000</v>
      </c>
      <c r="E147" s="33">
        <v>19995</v>
      </c>
      <c r="F147" s="32">
        <f t="shared" si="23"/>
        <v>169995</v>
      </c>
      <c r="G147" s="34">
        <v>50</v>
      </c>
      <c r="H147" s="32">
        <v>3399.9</v>
      </c>
      <c r="I147" s="81">
        <v>16</v>
      </c>
      <c r="J147" s="35">
        <f t="shared" si="21"/>
        <v>34</v>
      </c>
      <c r="K147" s="36">
        <f t="shared" si="24"/>
        <v>54398.400000000001</v>
      </c>
      <c r="L147" s="36">
        <f t="shared" si="25"/>
        <v>115596.6</v>
      </c>
      <c r="M147" s="31"/>
      <c r="N147" s="5"/>
    </row>
    <row r="148" spans="1:14" ht="18.75" x14ac:dyDescent="0.3">
      <c r="A148" s="104"/>
      <c r="B148" s="34">
        <v>143</v>
      </c>
      <c r="C148" s="50" t="s">
        <v>152</v>
      </c>
      <c r="D148" s="33">
        <v>150000</v>
      </c>
      <c r="E148" s="33">
        <v>19995</v>
      </c>
      <c r="F148" s="32">
        <f t="shared" si="23"/>
        <v>169995</v>
      </c>
      <c r="G148" s="34">
        <v>50</v>
      </c>
      <c r="H148" s="32">
        <v>3399.9</v>
      </c>
      <c r="I148" s="81">
        <v>16</v>
      </c>
      <c r="J148" s="35">
        <f t="shared" si="21"/>
        <v>34</v>
      </c>
      <c r="K148" s="36">
        <f t="shared" si="24"/>
        <v>54398.400000000001</v>
      </c>
      <c r="L148" s="36">
        <f t="shared" si="25"/>
        <v>115596.6</v>
      </c>
      <c r="M148" s="31"/>
      <c r="N148" s="5"/>
    </row>
    <row r="149" spans="1:14" ht="18.75" x14ac:dyDescent="0.3">
      <c r="A149" s="104"/>
      <c r="B149" s="34">
        <v>144</v>
      </c>
      <c r="C149" s="50" t="s">
        <v>153</v>
      </c>
      <c r="D149" s="33">
        <v>150000</v>
      </c>
      <c r="E149" s="33">
        <v>19995</v>
      </c>
      <c r="F149" s="32">
        <f t="shared" si="23"/>
        <v>169995</v>
      </c>
      <c r="G149" s="34">
        <v>50</v>
      </c>
      <c r="H149" s="32">
        <v>3399.9</v>
      </c>
      <c r="I149" s="81">
        <v>16</v>
      </c>
      <c r="J149" s="35">
        <f t="shared" si="21"/>
        <v>34</v>
      </c>
      <c r="K149" s="36">
        <f t="shared" si="24"/>
        <v>54398.400000000001</v>
      </c>
      <c r="L149" s="36">
        <f t="shared" si="25"/>
        <v>115596.6</v>
      </c>
      <c r="M149" s="31"/>
      <c r="N149" s="5"/>
    </row>
    <row r="150" spans="1:14" ht="18.75" x14ac:dyDescent="0.3">
      <c r="A150" s="104"/>
      <c r="B150" s="34">
        <v>145</v>
      </c>
      <c r="C150" s="50" t="s">
        <v>216</v>
      </c>
      <c r="D150" s="33">
        <v>150000</v>
      </c>
      <c r="E150" s="33">
        <v>19995</v>
      </c>
      <c r="F150" s="32">
        <f t="shared" si="23"/>
        <v>169995</v>
      </c>
      <c r="G150" s="34">
        <v>50</v>
      </c>
      <c r="H150" s="32">
        <v>3399.9</v>
      </c>
      <c r="I150" s="81">
        <v>8</v>
      </c>
      <c r="J150" s="35">
        <f t="shared" si="21"/>
        <v>42</v>
      </c>
      <c r="K150" s="36">
        <f t="shared" si="24"/>
        <v>27199.200000000001</v>
      </c>
      <c r="L150" s="36">
        <f t="shared" si="25"/>
        <v>142795.79999999999</v>
      </c>
      <c r="M150" s="31"/>
      <c r="N150" s="5"/>
    </row>
    <row r="151" spans="1:14" s="22" customFormat="1" ht="18.75" x14ac:dyDescent="0.3">
      <c r="B151" s="34">
        <v>146</v>
      </c>
      <c r="C151" s="50" t="s">
        <v>213</v>
      </c>
      <c r="D151" s="33">
        <v>150000</v>
      </c>
      <c r="E151" s="33">
        <v>19995</v>
      </c>
      <c r="F151" s="32">
        <f t="shared" si="23"/>
        <v>169995</v>
      </c>
      <c r="G151" s="34">
        <v>50</v>
      </c>
      <c r="H151" s="32">
        <v>3399.9</v>
      </c>
      <c r="I151" s="81">
        <v>8</v>
      </c>
      <c r="J151" s="35">
        <f t="shared" si="21"/>
        <v>42</v>
      </c>
      <c r="K151" s="36">
        <f t="shared" si="24"/>
        <v>27199.200000000001</v>
      </c>
      <c r="L151" s="36">
        <f t="shared" si="25"/>
        <v>142795.79999999999</v>
      </c>
      <c r="M151" s="31"/>
      <c r="N151" s="5"/>
    </row>
    <row r="152" spans="1:14" ht="18.75" x14ac:dyDescent="0.3">
      <c r="A152" s="5"/>
      <c r="B152" s="34">
        <v>147</v>
      </c>
      <c r="C152" s="50" t="s">
        <v>23</v>
      </c>
      <c r="D152" s="33">
        <v>150000</v>
      </c>
      <c r="E152" s="33">
        <v>19995</v>
      </c>
      <c r="F152" s="32">
        <f t="shared" si="23"/>
        <v>169995</v>
      </c>
      <c r="G152" s="34">
        <v>50</v>
      </c>
      <c r="H152" s="32">
        <v>3399.9</v>
      </c>
      <c r="I152" s="81">
        <v>8</v>
      </c>
      <c r="J152" s="35">
        <f t="shared" si="21"/>
        <v>42</v>
      </c>
      <c r="K152" s="36">
        <f t="shared" si="24"/>
        <v>27199.200000000001</v>
      </c>
      <c r="L152" s="36">
        <f t="shared" si="25"/>
        <v>142795.79999999999</v>
      </c>
      <c r="M152" s="31"/>
      <c r="N152" s="5"/>
    </row>
    <row r="153" spans="1:14" ht="18.75" x14ac:dyDescent="0.3">
      <c r="A153" s="5"/>
      <c r="B153" s="34">
        <v>148</v>
      </c>
      <c r="C153" s="50" t="s">
        <v>24</v>
      </c>
      <c r="D153" s="33">
        <v>150000</v>
      </c>
      <c r="E153" s="33">
        <v>19995</v>
      </c>
      <c r="F153" s="32">
        <f t="shared" si="23"/>
        <v>169995</v>
      </c>
      <c r="G153" s="34">
        <v>50</v>
      </c>
      <c r="H153" s="32">
        <v>3399.9</v>
      </c>
      <c r="I153" s="81">
        <v>8</v>
      </c>
      <c r="J153" s="35">
        <f t="shared" si="21"/>
        <v>42</v>
      </c>
      <c r="K153" s="36">
        <f t="shared" si="24"/>
        <v>27199.200000000001</v>
      </c>
      <c r="L153" s="36">
        <f t="shared" si="25"/>
        <v>142795.79999999999</v>
      </c>
      <c r="M153" s="31"/>
      <c r="N153" s="5"/>
    </row>
    <row r="154" spans="1:14" ht="18.75" x14ac:dyDescent="0.3">
      <c r="A154" s="104"/>
      <c r="B154" s="34">
        <v>149</v>
      </c>
      <c r="C154" s="50" t="s">
        <v>27</v>
      </c>
      <c r="D154" s="33">
        <v>150000</v>
      </c>
      <c r="E154" s="33">
        <v>19995</v>
      </c>
      <c r="F154" s="32">
        <f t="shared" si="23"/>
        <v>169995</v>
      </c>
      <c r="G154" s="34">
        <v>50</v>
      </c>
      <c r="H154" s="32">
        <v>3399.9</v>
      </c>
      <c r="I154" s="81">
        <v>6</v>
      </c>
      <c r="J154" s="35">
        <f t="shared" si="21"/>
        <v>44</v>
      </c>
      <c r="K154" s="36">
        <f t="shared" si="24"/>
        <v>20399.400000000001</v>
      </c>
      <c r="L154" s="36">
        <f t="shared" si="25"/>
        <v>149595.6</v>
      </c>
      <c r="M154" s="31"/>
      <c r="N154" s="5"/>
    </row>
    <row r="155" spans="1:14" ht="18.75" x14ac:dyDescent="0.3">
      <c r="A155" s="104"/>
      <c r="B155" s="34">
        <v>150</v>
      </c>
      <c r="C155" s="29" t="s">
        <v>32</v>
      </c>
      <c r="D155" s="33">
        <v>150000</v>
      </c>
      <c r="E155" s="33">
        <v>19995</v>
      </c>
      <c r="F155" s="32">
        <f t="shared" si="23"/>
        <v>169995</v>
      </c>
      <c r="G155" s="34">
        <v>50</v>
      </c>
      <c r="H155" s="32">
        <v>3399.9</v>
      </c>
      <c r="I155" s="81">
        <v>6</v>
      </c>
      <c r="J155" s="35">
        <f t="shared" si="21"/>
        <v>44</v>
      </c>
      <c r="K155" s="36">
        <f t="shared" si="24"/>
        <v>20399.400000000001</v>
      </c>
      <c r="L155" s="36">
        <f t="shared" si="25"/>
        <v>149595.6</v>
      </c>
      <c r="M155" s="31"/>
      <c r="N155" s="5"/>
    </row>
    <row r="156" spans="1:14" ht="18.75" x14ac:dyDescent="0.3">
      <c r="A156" s="104"/>
      <c r="B156" s="34">
        <v>151</v>
      </c>
      <c r="C156" s="29" t="s">
        <v>33</v>
      </c>
      <c r="D156" s="33">
        <v>150000</v>
      </c>
      <c r="E156" s="33">
        <v>19995</v>
      </c>
      <c r="F156" s="32">
        <f t="shared" si="23"/>
        <v>169995</v>
      </c>
      <c r="G156" s="34">
        <v>50</v>
      </c>
      <c r="H156" s="32">
        <v>3399.9</v>
      </c>
      <c r="I156" s="81">
        <v>6</v>
      </c>
      <c r="J156" s="35">
        <f t="shared" si="21"/>
        <v>44</v>
      </c>
      <c r="K156" s="36">
        <f t="shared" si="24"/>
        <v>20399.400000000001</v>
      </c>
      <c r="L156" s="36">
        <f t="shared" si="25"/>
        <v>149595.6</v>
      </c>
      <c r="M156" s="31"/>
      <c r="N156" s="5"/>
    </row>
    <row r="157" spans="1:14" ht="18.75" x14ac:dyDescent="0.3">
      <c r="A157" s="104"/>
      <c r="B157" s="34">
        <v>152</v>
      </c>
      <c r="C157" s="29" t="s">
        <v>34</v>
      </c>
      <c r="D157" s="33">
        <v>150000</v>
      </c>
      <c r="E157" s="33">
        <v>19995</v>
      </c>
      <c r="F157" s="32">
        <f t="shared" si="23"/>
        <v>169995</v>
      </c>
      <c r="G157" s="34">
        <v>50</v>
      </c>
      <c r="H157" s="32">
        <v>3399.9</v>
      </c>
      <c r="I157" s="81">
        <v>6</v>
      </c>
      <c r="J157" s="35">
        <f t="shared" si="21"/>
        <v>44</v>
      </c>
      <c r="K157" s="36">
        <f t="shared" si="24"/>
        <v>20399.400000000001</v>
      </c>
      <c r="L157" s="36">
        <f t="shared" si="25"/>
        <v>149595.6</v>
      </c>
      <c r="M157" s="31"/>
      <c r="N157" s="5"/>
    </row>
    <row r="158" spans="1:14" ht="18.75" x14ac:dyDescent="0.3">
      <c r="A158" s="104"/>
      <c r="B158" s="34">
        <v>153</v>
      </c>
      <c r="C158" s="29" t="s">
        <v>41</v>
      </c>
      <c r="D158" s="33">
        <v>150000</v>
      </c>
      <c r="E158" s="33">
        <v>19995</v>
      </c>
      <c r="F158" s="32">
        <f t="shared" si="23"/>
        <v>169995</v>
      </c>
      <c r="G158" s="34">
        <v>50</v>
      </c>
      <c r="H158" s="32">
        <v>3399.9</v>
      </c>
      <c r="I158" s="81">
        <v>4</v>
      </c>
      <c r="J158" s="35">
        <f t="shared" si="21"/>
        <v>46</v>
      </c>
      <c r="K158" s="36">
        <f t="shared" si="24"/>
        <v>13599.6</v>
      </c>
      <c r="L158" s="36">
        <f t="shared" si="25"/>
        <v>156395.4</v>
      </c>
      <c r="M158" s="31"/>
      <c r="N158" s="5"/>
    </row>
    <row r="159" spans="1:14" ht="18.75" x14ac:dyDescent="0.3">
      <c r="A159" s="104"/>
      <c r="B159" s="34">
        <v>154</v>
      </c>
      <c r="C159" s="29" t="s">
        <v>157</v>
      </c>
      <c r="D159" s="33">
        <v>150000</v>
      </c>
      <c r="E159" s="33">
        <v>19995</v>
      </c>
      <c r="F159" s="32">
        <f t="shared" si="23"/>
        <v>169995</v>
      </c>
      <c r="G159" s="34">
        <v>50</v>
      </c>
      <c r="H159" s="32">
        <v>3399</v>
      </c>
      <c r="I159" s="81">
        <v>18</v>
      </c>
      <c r="J159" s="35">
        <f t="shared" si="21"/>
        <v>32</v>
      </c>
      <c r="K159" s="36">
        <f t="shared" si="24"/>
        <v>61182</v>
      </c>
      <c r="L159" s="36">
        <f t="shared" si="25"/>
        <v>108813</v>
      </c>
      <c r="M159" s="31" t="s">
        <v>221</v>
      </c>
      <c r="N159" s="5"/>
    </row>
    <row r="160" spans="1:14" ht="18.75" x14ac:dyDescent="0.3">
      <c r="A160" s="104"/>
      <c r="B160" s="34">
        <v>155</v>
      </c>
      <c r="C160" s="29" t="s">
        <v>158</v>
      </c>
      <c r="D160" s="33">
        <v>150000</v>
      </c>
      <c r="E160" s="33">
        <v>19995</v>
      </c>
      <c r="F160" s="32">
        <f t="shared" si="23"/>
        <v>169995</v>
      </c>
      <c r="G160" s="34">
        <v>50</v>
      </c>
      <c r="H160" s="32">
        <v>3399.9</v>
      </c>
      <c r="I160" s="34">
        <v>42</v>
      </c>
      <c r="J160" s="35">
        <f t="shared" si="21"/>
        <v>8</v>
      </c>
      <c r="K160" s="36">
        <f t="shared" si="24"/>
        <v>142795.80000000002</v>
      </c>
      <c r="L160" s="36">
        <f t="shared" si="25"/>
        <v>27199.199999999983</v>
      </c>
      <c r="M160" s="31" t="s">
        <v>221</v>
      </c>
      <c r="N160" s="5"/>
    </row>
    <row r="161" spans="1:14" ht="18.75" x14ac:dyDescent="0.3">
      <c r="A161" s="104"/>
      <c r="B161" s="34">
        <v>156</v>
      </c>
      <c r="C161" s="29" t="s">
        <v>165</v>
      </c>
      <c r="D161" s="33">
        <v>150000</v>
      </c>
      <c r="E161" s="33">
        <v>19995</v>
      </c>
      <c r="F161" s="32">
        <f t="shared" si="23"/>
        <v>169995</v>
      </c>
      <c r="G161" s="34">
        <v>50</v>
      </c>
      <c r="H161" s="32">
        <v>3399</v>
      </c>
      <c r="I161" s="81">
        <v>18</v>
      </c>
      <c r="J161" s="35">
        <f t="shared" si="21"/>
        <v>32</v>
      </c>
      <c r="K161" s="36">
        <f t="shared" si="24"/>
        <v>61182</v>
      </c>
      <c r="L161" s="36">
        <f t="shared" si="25"/>
        <v>108813</v>
      </c>
      <c r="M161" s="31" t="s">
        <v>221</v>
      </c>
      <c r="N161" s="5"/>
    </row>
    <row r="162" spans="1:14" ht="18.75" x14ac:dyDescent="0.3">
      <c r="A162" s="104"/>
      <c r="B162" s="34">
        <v>157</v>
      </c>
      <c r="C162" s="29" t="s">
        <v>168</v>
      </c>
      <c r="D162" s="33">
        <v>150000</v>
      </c>
      <c r="E162" s="33">
        <v>19995</v>
      </c>
      <c r="F162" s="32">
        <f t="shared" si="23"/>
        <v>169995</v>
      </c>
      <c r="G162" s="34">
        <v>50</v>
      </c>
      <c r="H162" s="32">
        <v>3399</v>
      </c>
      <c r="I162" s="81">
        <v>18</v>
      </c>
      <c r="J162" s="35">
        <f t="shared" si="21"/>
        <v>32</v>
      </c>
      <c r="K162" s="36">
        <f t="shared" si="24"/>
        <v>61182</v>
      </c>
      <c r="L162" s="36">
        <f t="shared" si="25"/>
        <v>108813</v>
      </c>
      <c r="M162" s="31" t="s">
        <v>221</v>
      </c>
      <c r="N162" s="5"/>
    </row>
    <row r="163" spans="1:14" s="21" customFormat="1" ht="18.75" x14ac:dyDescent="0.3">
      <c r="A163" s="105"/>
      <c r="B163" s="34">
        <v>158</v>
      </c>
      <c r="C163" s="29" t="s">
        <v>181</v>
      </c>
      <c r="D163" s="33">
        <v>150000</v>
      </c>
      <c r="E163" s="33">
        <v>19995</v>
      </c>
      <c r="F163" s="32">
        <f t="shared" si="23"/>
        <v>169995</v>
      </c>
      <c r="G163" s="34">
        <v>50</v>
      </c>
      <c r="H163" s="32">
        <v>3399</v>
      </c>
      <c r="I163" s="81">
        <v>16</v>
      </c>
      <c r="J163" s="35">
        <f t="shared" si="21"/>
        <v>34</v>
      </c>
      <c r="K163" s="36">
        <f t="shared" si="24"/>
        <v>54384</v>
      </c>
      <c r="L163" s="36">
        <f t="shared" si="25"/>
        <v>115611</v>
      </c>
      <c r="M163" s="31" t="s">
        <v>221</v>
      </c>
      <c r="N163" s="37"/>
    </row>
    <row r="164" spans="1:14" ht="18.75" x14ac:dyDescent="0.3">
      <c r="A164" s="104"/>
      <c r="B164" s="34">
        <v>159</v>
      </c>
      <c r="C164" s="29" t="s">
        <v>52</v>
      </c>
      <c r="D164" s="33">
        <v>150000</v>
      </c>
      <c r="E164" s="33">
        <v>19995</v>
      </c>
      <c r="F164" s="32">
        <f t="shared" si="23"/>
        <v>169995</v>
      </c>
      <c r="G164" s="34">
        <v>50</v>
      </c>
      <c r="H164" s="32">
        <v>3399.9</v>
      </c>
      <c r="I164" s="81">
        <v>3</v>
      </c>
      <c r="J164" s="35">
        <f t="shared" si="21"/>
        <v>47</v>
      </c>
      <c r="K164" s="36">
        <f t="shared" si="24"/>
        <v>10199.700000000001</v>
      </c>
      <c r="L164" s="36">
        <f t="shared" si="25"/>
        <v>159795.29999999999</v>
      </c>
      <c r="M164" s="31"/>
      <c r="N164" s="5"/>
    </row>
    <row r="165" spans="1:14" ht="18.75" x14ac:dyDescent="0.3">
      <c r="A165" s="104"/>
      <c r="B165" s="34">
        <v>160</v>
      </c>
      <c r="C165" s="29" t="s">
        <v>53</v>
      </c>
      <c r="D165" s="33">
        <v>150000</v>
      </c>
      <c r="E165" s="33">
        <v>19995</v>
      </c>
      <c r="F165" s="32">
        <f t="shared" si="23"/>
        <v>169995</v>
      </c>
      <c r="G165" s="34">
        <v>50</v>
      </c>
      <c r="H165" s="32">
        <v>3399.9</v>
      </c>
      <c r="I165" s="81">
        <v>3</v>
      </c>
      <c r="J165" s="35">
        <f t="shared" si="21"/>
        <v>47</v>
      </c>
      <c r="K165" s="36">
        <f t="shared" si="24"/>
        <v>10199.700000000001</v>
      </c>
      <c r="L165" s="36">
        <f t="shared" si="25"/>
        <v>159795.29999999999</v>
      </c>
      <c r="M165" s="31"/>
      <c r="N165" s="5"/>
    </row>
    <row r="166" spans="1:14" ht="18.75" x14ac:dyDescent="0.3">
      <c r="A166" s="104"/>
      <c r="B166" s="34">
        <v>161</v>
      </c>
      <c r="C166" s="29" t="s">
        <v>250</v>
      </c>
      <c r="D166" s="33">
        <v>150000</v>
      </c>
      <c r="E166" s="33">
        <v>19995</v>
      </c>
      <c r="F166" s="32">
        <f t="shared" si="23"/>
        <v>169995</v>
      </c>
      <c r="G166" s="34">
        <v>50</v>
      </c>
      <c r="H166" s="32">
        <v>3399.9</v>
      </c>
      <c r="I166" s="81">
        <v>3</v>
      </c>
      <c r="J166" s="35">
        <f t="shared" ref="J166:J170" si="26">G166-I166</f>
        <v>47</v>
      </c>
      <c r="K166" s="36">
        <f t="shared" si="24"/>
        <v>10199.700000000001</v>
      </c>
      <c r="L166" s="36">
        <f t="shared" si="25"/>
        <v>159795.29999999999</v>
      </c>
      <c r="M166" s="31"/>
      <c r="N166" s="5"/>
    </row>
    <row r="167" spans="1:14" ht="18.75" x14ac:dyDescent="0.3">
      <c r="A167" s="104"/>
      <c r="B167" s="34">
        <v>162</v>
      </c>
      <c r="C167" s="29" t="s">
        <v>51</v>
      </c>
      <c r="D167" s="33">
        <v>150000</v>
      </c>
      <c r="E167" s="33">
        <v>19995</v>
      </c>
      <c r="F167" s="32">
        <f t="shared" si="23"/>
        <v>169995</v>
      </c>
      <c r="G167" s="34">
        <v>50</v>
      </c>
      <c r="H167" s="32">
        <v>3339.9</v>
      </c>
      <c r="I167" s="81">
        <v>3</v>
      </c>
      <c r="J167" s="35">
        <f t="shared" si="26"/>
        <v>47</v>
      </c>
      <c r="K167" s="36">
        <f t="shared" si="24"/>
        <v>10019.700000000001</v>
      </c>
      <c r="L167" s="36">
        <f t="shared" si="25"/>
        <v>159975.29999999999</v>
      </c>
      <c r="M167" s="31"/>
      <c r="N167" s="5"/>
    </row>
    <row r="168" spans="1:14" ht="18.75" x14ac:dyDescent="0.3">
      <c r="A168" s="104"/>
      <c r="B168" s="34">
        <v>163</v>
      </c>
      <c r="C168" s="29" t="s">
        <v>58</v>
      </c>
      <c r="D168" s="33">
        <v>150000</v>
      </c>
      <c r="E168" s="33">
        <v>19995</v>
      </c>
      <c r="F168" s="32">
        <f t="shared" si="23"/>
        <v>169995</v>
      </c>
      <c r="G168" s="34">
        <v>50</v>
      </c>
      <c r="H168" s="32">
        <v>3399.9</v>
      </c>
      <c r="I168" s="81">
        <v>1</v>
      </c>
      <c r="J168" s="35">
        <f t="shared" si="26"/>
        <v>49</v>
      </c>
      <c r="K168" s="36">
        <f t="shared" si="24"/>
        <v>3399.9</v>
      </c>
      <c r="L168" s="36">
        <f t="shared" si="25"/>
        <v>166595.1</v>
      </c>
      <c r="M168" s="31" t="s">
        <v>28</v>
      </c>
      <c r="N168" s="5"/>
    </row>
    <row r="169" spans="1:14" ht="18.75" x14ac:dyDescent="0.3">
      <c r="A169" s="104"/>
      <c r="B169" s="34">
        <v>164</v>
      </c>
      <c r="C169" s="29" t="s">
        <v>61</v>
      </c>
      <c r="D169" s="33">
        <v>150000</v>
      </c>
      <c r="E169" s="33">
        <v>19995</v>
      </c>
      <c r="F169" s="32">
        <f t="shared" si="23"/>
        <v>169995</v>
      </c>
      <c r="G169" s="34">
        <v>50</v>
      </c>
      <c r="H169" s="32">
        <v>3399.9</v>
      </c>
      <c r="I169" s="81">
        <v>1</v>
      </c>
      <c r="J169" s="35">
        <f t="shared" si="26"/>
        <v>49</v>
      </c>
      <c r="K169" s="36">
        <f t="shared" si="24"/>
        <v>3399.9</v>
      </c>
      <c r="L169" s="36">
        <f t="shared" si="25"/>
        <v>166595.1</v>
      </c>
      <c r="M169" s="31" t="s">
        <v>28</v>
      </c>
      <c r="N169" s="5"/>
    </row>
    <row r="170" spans="1:14" ht="18.75" x14ac:dyDescent="0.3">
      <c r="A170" s="104"/>
      <c r="B170" s="34">
        <v>165</v>
      </c>
      <c r="C170" s="29" t="s">
        <v>60</v>
      </c>
      <c r="D170" s="33">
        <v>150000</v>
      </c>
      <c r="E170" s="33">
        <v>19995</v>
      </c>
      <c r="F170" s="32">
        <f t="shared" si="23"/>
        <v>169995</v>
      </c>
      <c r="G170" s="34">
        <v>50</v>
      </c>
      <c r="H170" s="32">
        <v>3399.9</v>
      </c>
      <c r="I170" s="81">
        <v>1</v>
      </c>
      <c r="J170" s="35">
        <f t="shared" si="26"/>
        <v>49</v>
      </c>
      <c r="K170" s="36">
        <f t="shared" si="24"/>
        <v>3399.9</v>
      </c>
      <c r="L170" s="36">
        <f t="shared" si="25"/>
        <v>166595.1</v>
      </c>
      <c r="M170" s="31" t="s">
        <v>28</v>
      </c>
      <c r="N170" s="5"/>
    </row>
    <row r="171" spans="1:14" s="57" customFormat="1" ht="18.75" x14ac:dyDescent="0.3">
      <c r="A171" s="102"/>
      <c r="B171" s="71"/>
      <c r="C171" s="69" t="s">
        <v>296</v>
      </c>
      <c r="D171" s="72">
        <f>SUM(D6:D170)</f>
        <v>49610000</v>
      </c>
      <c r="E171" s="72">
        <f t="shared" ref="E171:F171" si="27">SUM(E6:E170)</f>
        <v>6578354.9199999999</v>
      </c>
      <c r="F171" s="72">
        <f t="shared" si="27"/>
        <v>56188354.920000002</v>
      </c>
      <c r="G171" s="71"/>
      <c r="H171" s="72">
        <f>SUM(H6:H170)</f>
        <v>1136362.2099999997</v>
      </c>
      <c r="I171" s="73"/>
      <c r="J171" s="74"/>
      <c r="K171" s="72">
        <f t="shared" ref="K171:L171" si="28">SUM(K6:K170)</f>
        <v>25041755.280000001</v>
      </c>
      <c r="L171" s="72">
        <f t="shared" si="28"/>
        <v>31217997.539999999</v>
      </c>
      <c r="M171" s="53"/>
      <c r="N171" s="22"/>
    </row>
    <row r="172" spans="1:14" ht="18.75" x14ac:dyDescent="0.3">
      <c r="A172" s="104"/>
      <c r="B172" s="34"/>
      <c r="C172" s="29"/>
      <c r="D172" s="33"/>
      <c r="E172" s="33"/>
      <c r="F172" s="32"/>
      <c r="G172" s="34"/>
      <c r="H172" s="32"/>
      <c r="I172" s="50"/>
      <c r="J172" s="35"/>
      <c r="K172" s="36"/>
      <c r="L172" s="36"/>
      <c r="M172" s="31"/>
      <c r="N172" s="5"/>
    </row>
    <row r="173" spans="1:14" ht="21" x14ac:dyDescent="0.35">
      <c r="A173" s="104"/>
      <c r="B173" s="41"/>
      <c r="C173" s="51" t="s">
        <v>222</v>
      </c>
      <c r="D173" s="100"/>
      <c r="E173" s="100"/>
      <c r="F173" s="100"/>
      <c r="G173" s="100"/>
      <c r="H173" s="100"/>
      <c r="I173" s="100"/>
      <c r="J173" s="100"/>
      <c r="K173" s="100"/>
      <c r="L173" s="100"/>
      <c r="M173" s="31"/>
      <c r="N173" s="5"/>
    </row>
    <row r="174" spans="1:14" ht="18.75" x14ac:dyDescent="0.3">
      <c r="A174" s="104"/>
      <c r="B174" s="34">
        <v>1</v>
      </c>
      <c r="C174" s="29" t="s">
        <v>177</v>
      </c>
      <c r="D174" s="33">
        <v>500000</v>
      </c>
      <c r="E174" s="33">
        <v>66650</v>
      </c>
      <c r="F174" s="32">
        <f>D174+E174</f>
        <v>566650</v>
      </c>
      <c r="G174" s="34">
        <v>50</v>
      </c>
      <c r="H174" s="32">
        <v>4155.4332999999997</v>
      </c>
      <c r="I174" s="50">
        <v>48</v>
      </c>
      <c r="J174" s="35">
        <f>G174-I174</f>
        <v>2</v>
      </c>
      <c r="K174" s="36">
        <f>I174*H174</f>
        <v>199460.79839999997</v>
      </c>
      <c r="L174" s="36">
        <f>F174-K174</f>
        <v>367189.20160000003</v>
      </c>
      <c r="M174" s="31"/>
      <c r="N174" s="5"/>
    </row>
    <row r="175" spans="1:14" ht="18.75" x14ac:dyDescent="0.3">
      <c r="A175" s="104"/>
      <c r="B175" s="34">
        <v>2</v>
      </c>
      <c r="C175" s="31" t="s">
        <v>111</v>
      </c>
      <c r="D175" s="33">
        <v>500000</v>
      </c>
      <c r="E175" s="33">
        <v>66650</v>
      </c>
      <c r="F175" s="32">
        <f>D175+E175</f>
        <v>566650</v>
      </c>
      <c r="G175" s="34">
        <v>50</v>
      </c>
      <c r="H175" s="36">
        <v>4155.4332999999997</v>
      </c>
      <c r="I175" s="31">
        <v>27</v>
      </c>
      <c r="J175" s="35">
        <f>G175-I175</f>
        <v>23</v>
      </c>
      <c r="K175" s="36">
        <f>H175*I175</f>
        <v>112196.6991</v>
      </c>
      <c r="L175" s="36">
        <f>F175-K175</f>
        <v>454453.30090000003</v>
      </c>
      <c r="M175" s="31"/>
      <c r="N175" s="5"/>
    </row>
    <row r="176" spans="1:14" ht="18.75" x14ac:dyDescent="0.3">
      <c r="A176" s="104"/>
      <c r="B176" s="34">
        <v>3</v>
      </c>
      <c r="C176" s="31" t="s">
        <v>118</v>
      </c>
      <c r="D176" s="32">
        <v>330000</v>
      </c>
      <c r="E176" s="33">
        <v>43989</v>
      </c>
      <c r="F176" s="32">
        <f>D176+E176</f>
        <v>373989</v>
      </c>
      <c r="G176" s="34">
        <v>50</v>
      </c>
      <c r="H176" s="32">
        <v>2742.5859999999998</v>
      </c>
      <c r="I176" s="31">
        <v>43</v>
      </c>
      <c r="J176" s="35">
        <f>G176-I176</f>
        <v>7</v>
      </c>
      <c r="K176" s="36">
        <f>H176*I176</f>
        <v>117931.19799999999</v>
      </c>
      <c r="L176" s="32">
        <f>F176-K176</f>
        <v>256057.80200000003</v>
      </c>
      <c r="M176" s="31"/>
      <c r="N176" s="5"/>
    </row>
    <row r="177" spans="1:14" ht="18.75" x14ac:dyDescent="0.3">
      <c r="A177" s="104"/>
      <c r="B177" s="41"/>
      <c r="C177" s="69" t="s">
        <v>296</v>
      </c>
      <c r="D177" s="72">
        <f>SUM(D174:D176)</f>
        <v>1330000</v>
      </c>
      <c r="E177" s="72">
        <f t="shared" ref="E177:F177" si="29">SUM(E174:E176)</f>
        <v>177289</v>
      </c>
      <c r="F177" s="72">
        <f t="shared" si="29"/>
        <v>1507289</v>
      </c>
      <c r="G177" s="71"/>
      <c r="H177" s="72">
        <f>SUM(H174:H176)</f>
        <v>11053.452599999999</v>
      </c>
      <c r="I177" s="73"/>
      <c r="J177" s="74"/>
      <c r="K177" s="72">
        <f t="shared" ref="K177:L177" si="30">SUM(K174:K176)</f>
        <v>429588.69549999991</v>
      </c>
      <c r="L177" s="72">
        <f t="shared" si="30"/>
        <v>1077700.3045000001</v>
      </c>
      <c r="M177" s="31"/>
      <c r="N177" s="5"/>
    </row>
    <row r="178" spans="1:14" ht="18.75" x14ac:dyDescent="0.3">
      <c r="A178" s="104"/>
      <c r="B178" s="34"/>
      <c r="C178" s="48"/>
      <c r="D178" s="43"/>
      <c r="E178" s="44"/>
      <c r="F178" s="43"/>
      <c r="G178" s="41"/>
      <c r="H178" s="43"/>
      <c r="I178" s="46"/>
      <c r="J178" s="47"/>
      <c r="K178" s="45"/>
      <c r="L178" s="45"/>
      <c r="M178" s="49"/>
      <c r="N178" s="5"/>
    </row>
    <row r="179" spans="1:14" ht="21" x14ac:dyDescent="0.35">
      <c r="A179" s="104"/>
      <c r="B179" s="41"/>
      <c r="C179" s="51" t="s">
        <v>217</v>
      </c>
      <c r="D179" s="100"/>
      <c r="E179" s="100"/>
      <c r="F179" s="100"/>
      <c r="G179" s="100"/>
      <c r="H179" s="100"/>
      <c r="I179" s="46"/>
      <c r="J179" s="47"/>
      <c r="K179" s="45"/>
      <c r="L179" s="45"/>
      <c r="M179" s="49"/>
      <c r="N179" s="5"/>
    </row>
    <row r="180" spans="1:14" ht="18.75" x14ac:dyDescent="0.3">
      <c r="A180" s="5"/>
      <c r="B180" s="34">
        <v>1</v>
      </c>
      <c r="C180" s="29" t="s">
        <v>160</v>
      </c>
      <c r="D180" s="33">
        <v>500000</v>
      </c>
      <c r="E180" s="33">
        <v>66650</v>
      </c>
      <c r="F180" s="32">
        <f t="shared" ref="F180:F196" si="31">D180+E180</f>
        <v>566650</v>
      </c>
      <c r="G180" s="34">
        <v>50</v>
      </c>
      <c r="H180" s="32">
        <v>11333</v>
      </c>
      <c r="I180" s="50">
        <v>22</v>
      </c>
      <c r="J180" s="35">
        <f t="shared" ref="J180:J196" si="32">G180-I180</f>
        <v>28</v>
      </c>
      <c r="K180" s="36">
        <f t="shared" ref="K180:K196" si="33">H180*I180</f>
        <v>249326</v>
      </c>
      <c r="L180" s="32">
        <f t="shared" ref="L180:L196" si="34">F180-K180</f>
        <v>317324</v>
      </c>
      <c r="M180" s="49"/>
      <c r="N180" s="5"/>
    </row>
    <row r="181" spans="1:14" ht="18.75" x14ac:dyDescent="0.3">
      <c r="A181" s="5"/>
      <c r="B181" s="34">
        <v>2</v>
      </c>
      <c r="C181" s="29" t="s">
        <v>179</v>
      </c>
      <c r="D181" s="33">
        <v>500000</v>
      </c>
      <c r="E181" s="33">
        <v>66650</v>
      </c>
      <c r="F181" s="32">
        <f t="shared" si="31"/>
        <v>566650</v>
      </c>
      <c r="G181" s="34">
        <v>50</v>
      </c>
      <c r="H181" s="32">
        <v>11333</v>
      </c>
      <c r="I181" s="50">
        <v>51</v>
      </c>
      <c r="J181" s="35">
        <f t="shared" si="32"/>
        <v>-1</v>
      </c>
      <c r="K181" s="36">
        <f t="shared" si="33"/>
        <v>577983</v>
      </c>
      <c r="L181" s="32">
        <f t="shared" si="34"/>
        <v>-11333</v>
      </c>
      <c r="M181" s="49"/>
      <c r="N181" s="5"/>
    </row>
    <row r="182" spans="1:14" ht="18.75" x14ac:dyDescent="0.3">
      <c r="B182" s="34">
        <v>3</v>
      </c>
      <c r="C182" s="29" t="s">
        <v>156</v>
      </c>
      <c r="D182" s="33">
        <v>450000</v>
      </c>
      <c r="E182" s="33">
        <v>59985</v>
      </c>
      <c r="F182" s="32">
        <f t="shared" si="31"/>
        <v>509985</v>
      </c>
      <c r="G182" s="34">
        <v>50</v>
      </c>
      <c r="H182" s="32">
        <v>10199.700000000001</v>
      </c>
      <c r="I182" s="50">
        <v>51</v>
      </c>
      <c r="J182" s="35">
        <f t="shared" si="32"/>
        <v>-1</v>
      </c>
      <c r="K182" s="36">
        <f t="shared" si="33"/>
        <v>520184.7</v>
      </c>
      <c r="L182" s="32">
        <f t="shared" si="34"/>
        <v>-10199.700000000012</v>
      </c>
      <c r="M182" s="49"/>
      <c r="N182" s="5"/>
    </row>
    <row r="183" spans="1:14" ht="18.75" x14ac:dyDescent="0.3">
      <c r="B183" s="34">
        <v>4</v>
      </c>
      <c r="C183" s="29" t="s">
        <v>164</v>
      </c>
      <c r="D183" s="33">
        <v>450000</v>
      </c>
      <c r="E183" s="33">
        <v>59985</v>
      </c>
      <c r="F183" s="32">
        <f t="shared" si="31"/>
        <v>509985</v>
      </c>
      <c r="G183" s="34">
        <v>50</v>
      </c>
      <c r="H183" s="32">
        <v>10199.700000000001</v>
      </c>
      <c r="I183" s="50">
        <v>28</v>
      </c>
      <c r="J183" s="35">
        <f t="shared" si="32"/>
        <v>22</v>
      </c>
      <c r="K183" s="36">
        <f t="shared" si="33"/>
        <v>285591.60000000003</v>
      </c>
      <c r="L183" s="32">
        <f t="shared" si="34"/>
        <v>224393.39999999997</v>
      </c>
      <c r="M183" s="49"/>
      <c r="N183" s="5"/>
    </row>
    <row r="184" spans="1:14" ht="18.75" x14ac:dyDescent="0.3">
      <c r="B184" s="34">
        <v>5</v>
      </c>
      <c r="C184" s="29" t="s">
        <v>183</v>
      </c>
      <c r="D184" s="33">
        <v>450000</v>
      </c>
      <c r="E184" s="33">
        <v>59985</v>
      </c>
      <c r="F184" s="32">
        <f t="shared" si="31"/>
        <v>509985</v>
      </c>
      <c r="G184" s="34">
        <v>50</v>
      </c>
      <c r="H184" s="32">
        <v>10199.700000000001</v>
      </c>
      <c r="I184" s="50">
        <v>13</v>
      </c>
      <c r="J184" s="35">
        <f t="shared" si="32"/>
        <v>37</v>
      </c>
      <c r="K184" s="36">
        <f t="shared" si="33"/>
        <v>132596.1</v>
      </c>
      <c r="L184" s="32">
        <f t="shared" si="34"/>
        <v>377388.9</v>
      </c>
      <c r="M184" s="49"/>
      <c r="N184" s="5"/>
    </row>
    <row r="185" spans="1:14" s="23" customFormat="1" ht="18.75" x14ac:dyDescent="0.3">
      <c r="A185"/>
      <c r="B185" s="34">
        <v>6</v>
      </c>
      <c r="C185" s="29" t="s">
        <v>184</v>
      </c>
      <c r="D185" s="32">
        <v>330000</v>
      </c>
      <c r="E185" s="33">
        <v>43989</v>
      </c>
      <c r="F185" s="32">
        <f t="shared" si="31"/>
        <v>373989</v>
      </c>
      <c r="G185" s="34">
        <v>50</v>
      </c>
      <c r="H185" s="32">
        <v>7479.78</v>
      </c>
      <c r="I185" s="50">
        <v>40</v>
      </c>
      <c r="J185" s="35">
        <f t="shared" si="32"/>
        <v>10</v>
      </c>
      <c r="K185" s="36">
        <f t="shared" si="33"/>
        <v>299191.2</v>
      </c>
      <c r="L185" s="32">
        <f t="shared" si="34"/>
        <v>74797.799999999988</v>
      </c>
      <c r="M185" s="49"/>
      <c r="N185" s="5"/>
    </row>
    <row r="186" spans="1:14" ht="18.75" x14ac:dyDescent="0.3">
      <c r="B186" s="34">
        <v>7</v>
      </c>
      <c r="C186" s="29" t="s">
        <v>185</v>
      </c>
      <c r="D186" s="32">
        <v>330000</v>
      </c>
      <c r="E186" s="33">
        <v>43989</v>
      </c>
      <c r="F186" s="32">
        <f t="shared" si="31"/>
        <v>373989</v>
      </c>
      <c r="G186" s="34">
        <v>50</v>
      </c>
      <c r="H186" s="32">
        <v>7479.78</v>
      </c>
      <c r="I186" s="50">
        <v>51</v>
      </c>
      <c r="J186" s="35">
        <f t="shared" si="32"/>
        <v>-1</v>
      </c>
      <c r="K186" s="36">
        <f t="shared" si="33"/>
        <v>381468.77999999997</v>
      </c>
      <c r="L186" s="32">
        <f t="shared" si="34"/>
        <v>-7479.7799999999697</v>
      </c>
      <c r="M186" s="49"/>
      <c r="N186" s="5"/>
    </row>
    <row r="187" spans="1:14" ht="18.75" x14ac:dyDescent="0.3">
      <c r="B187" s="34">
        <v>8</v>
      </c>
      <c r="C187" s="29" t="s">
        <v>180</v>
      </c>
      <c r="D187" s="32">
        <v>330000</v>
      </c>
      <c r="E187" s="33">
        <v>43989</v>
      </c>
      <c r="F187" s="32">
        <f t="shared" si="31"/>
        <v>373989</v>
      </c>
      <c r="G187" s="34">
        <v>50</v>
      </c>
      <c r="H187" s="32">
        <v>7479.78</v>
      </c>
      <c r="I187" s="50">
        <v>22</v>
      </c>
      <c r="J187" s="35">
        <f t="shared" si="32"/>
        <v>28</v>
      </c>
      <c r="K187" s="36">
        <f t="shared" si="33"/>
        <v>164555.16</v>
      </c>
      <c r="L187" s="32">
        <f t="shared" si="34"/>
        <v>209433.84</v>
      </c>
      <c r="M187" s="49"/>
      <c r="N187" s="5"/>
    </row>
    <row r="188" spans="1:14" ht="18.75" x14ac:dyDescent="0.3">
      <c r="B188" s="34">
        <v>9</v>
      </c>
      <c r="C188" s="29" t="s">
        <v>169</v>
      </c>
      <c r="D188" s="33">
        <v>180000</v>
      </c>
      <c r="E188" s="33">
        <v>23994</v>
      </c>
      <c r="F188" s="32">
        <f t="shared" si="31"/>
        <v>203994</v>
      </c>
      <c r="G188" s="34">
        <v>40</v>
      </c>
      <c r="H188" s="32">
        <v>5099.8500000000004</v>
      </c>
      <c r="I188" s="50">
        <v>39</v>
      </c>
      <c r="J188" s="35">
        <f t="shared" si="32"/>
        <v>1</v>
      </c>
      <c r="K188" s="36">
        <f t="shared" si="33"/>
        <v>198894.15000000002</v>
      </c>
      <c r="L188" s="32">
        <f t="shared" si="34"/>
        <v>5099.8499999999767</v>
      </c>
      <c r="M188" s="49"/>
      <c r="N188" s="5"/>
    </row>
    <row r="189" spans="1:14" ht="18.75" x14ac:dyDescent="0.3">
      <c r="B189" s="34">
        <v>10</v>
      </c>
      <c r="C189" s="29" t="s">
        <v>159</v>
      </c>
      <c r="D189" s="33">
        <v>150000</v>
      </c>
      <c r="E189" s="33">
        <v>19995</v>
      </c>
      <c r="F189" s="32">
        <f t="shared" si="31"/>
        <v>169995</v>
      </c>
      <c r="G189" s="34">
        <v>50</v>
      </c>
      <c r="H189" s="32">
        <v>3399.9</v>
      </c>
      <c r="I189" s="50">
        <v>51</v>
      </c>
      <c r="J189" s="35">
        <f t="shared" si="32"/>
        <v>-1</v>
      </c>
      <c r="K189" s="36">
        <f t="shared" si="33"/>
        <v>173394.9</v>
      </c>
      <c r="L189" s="32">
        <f t="shared" si="34"/>
        <v>-3399.8999999999942</v>
      </c>
      <c r="M189" s="49"/>
      <c r="N189" s="5"/>
    </row>
    <row r="190" spans="1:14" ht="18.75" x14ac:dyDescent="0.3">
      <c r="B190" s="34">
        <v>11</v>
      </c>
      <c r="C190" s="29" t="s">
        <v>162</v>
      </c>
      <c r="D190" s="33">
        <v>150000</v>
      </c>
      <c r="E190" s="33">
        <v>19995</v>
      </c>
      <c r="F190" s="32">
        <f t="shared" si="31"/>
        <v>169995</v>
      </c>
      <c r="G190" s="34">
        <v>50</v>
      </c>
      <c r="H190" s="32">
        <v>3399.9</v>
      </c>
      <c r="I190" s="50">
        <v>22</v>
      </c>
      <c r="J190" s="35">
        <f t="shared" si="32"/>
        <v>28</v>
      </c>
      <c r="K190" s="36">
        <f t="shared" si="33"/>
        <v>74797.8</v>
      </c>
      <c r="L190" s="32">
        <f t="shared" si="34"/>
        <v>95197.2</v>
      </c>
      <c r="M190" s="49"/>
    </row>
    <row r="191" spans="1:14" ht="18.75" x14ac:dyDescent="0.3">
      <c r="B191" s="34">
        <v>12</v>
      </c>
      <c r="C191" s="29" t="s">
        <v>163</v>
      </c>
      <c r="D191" s="33">
        <v>150000</v>
      </c>
      <c r="E191" s="33">
        <v>19995</v>
      </c>
      <c r="F191" s="32">
        <f t="shared" si="31"/>
        <v>169995</v>
      </c>
      <c r="G191" s="34">
        <v>50</v>
      </c>
      <c r="H191" s="32">
        <v>3399.9</v>
      </c>
      <c r="I191" s="50">
        <v>22</v>
      </c>
      <c r="J191" s="35">
        <f t="shared" si="32"/>
        <v>28</v>
      </c>
      <c r="K191" s="36">
        <f t="shared" si="33"/>
        <v>74797.8</v>
      </c>
      <c r="L191" s="32">
        <f t="shared" si="34"/>
        <v>95197.2</v>
      </c>
      <c r="M191" s="49"/>
    </row>
    <row r="192" spans="1:14" ht="18.75" x14ac:dyDescent="0.3">
      <c r="B192" s="34">
        <v>13</v>
      </c>
      <c r="C192" s="29" t="s">
        <v>167</v>
      </c>
      <c r="D192" s="33">
        <v>150000</v>
      </c>
      <c r="E192" s="33">
        <v>19995</v>
      </c>
      <c r="F192" s="32">
        <f t="shared" si="31"/>
        <v>169995</v>
      </c>
      <c r="G192" s="34">
        <v>50</v>
      </c>
      <c r="H192" s="32">
        <v>3399.9</v>
      </c>
      <c r="I192" s="50">
        <v>22</v>
      </c>
      <c r="J192" s="35">
        <f t="shared" si="32"/>
        <v>28</v>
      </c>
      <c r="K192" s="36">
        <f t="shared" si="33"/>
        <v>74797.8</v>
      </c>
      <c r="L192" s="32">
        <f t="shared" si="34"/>
        <v>95197.2</v>
      </c>
      <c r="M192" s="49"/>
    </row>
    <row r="193" spans="1:14" ht="18.75" x14ac:dyDescent="0.3">
      <c r="B193" s="34">
        <v>14</v>
      </c>
      <c r="C193" s="29" t="s">
        <v>186</v>
      </c>
      <c r="D193" s="33">
        <v>150000</v>
      </c>
      <c r="E193" s="33">
        <v>19995</v>
      </c>
      <c r="F193" s="32">
        <f t="shared" si="31"/>
        <v>169995</v>
      </c>
      <c r="G193" s="34">
        <v>50</v>
      </c>
      <c r="H193" s="32">
        <v>3399.9</v>
      </c>
      <c r="I193" s="50">
        <v>22</v>
      </c>
      <c r="J193" s="35">
        <f t="shared" si="32"/>
        <v>28</v>
      </c>
      <c r="K193" s="36">
        <f t="shared" si="33"/>
        <v>74797.8</v>
      </c>
      <c r="L193" s="32">
        <f t="shared" si="34"/>
        <v>95197.2</v>
      </c>
      <c r="M193" s="49"/>
    </row>
    <row r="194" spans="1:14" ht="18.75" x14ac:dyDescent="0.3">
      <c r="B194" s="34">
        <v>15</v>
      </c>
      <c r="C194" s="29" t="s">
        <v>188</v>
      </c>
      <c r="D194" s="33">
        <v>150000</v>
      </c>
      <c r="E194" s="33">
        <v>19995</v>
      </c>
      <c r="F194" s="32">
        <f t="shared" si="31"/>
        <v>169995</v>
      </c>
      <c r="G194" s="34">
        <v>50</v>
      </c>
      <c r="H194" s="32">
        <v>3399.9</v>
      </c>
      <c r="I194" s="50">
        <v>22</v>
      </c>
      <c r="J194" s="35">
        <f t="shared" si="32"/>
        <v>28</v>
      </c>
      <c r="K194" s="36">
        <f t="shared" si="33"/>
        <v>74797.8</v>
      </c>
      <c r="L194" s="32">
        <f t="shared" si="34"/>
        <v>95197.2</v>
      </c>
      <c r="M194" s="42"/>
    </row>
    <row r="195" spans="1:14" ht="18.75" x14ac:dyDescent="0.3">
      <c r="B195" s="34">
        <v>16</v>
      </c>
      <c r="C195" s="29" t="s">
        <v>166</v>
      </c>
      <c r="D195" s="33">
        <v>150000</v>
      </c>
      <c r="E195" s="33">
        <v>19995</v>
      </c>
      <c r="F195" s="32">
        <f t="shared" si="31"/>
        <v>169995</v>
      </c>
      <c r="G195" s="34">
        <v>50</v>
      </c>
      <c r="H195" s="32">
        <v>3399.9</v>
      </c>
      <c r="I195" s="50">
        <v>22</v>
      </c>
      <c r="J195" s="35">
        <f t="shared" si="32"/>
        <v>28</v>
      </c>
      <c r="K195" s="36">
        <f t="shared" si="33"/>
        <v>74797.8</v>
      </c>
      <c r="L195" s="32">
        <f t="shared" si="34"/>
        <v>95197.2</v>
      </c>
      <c r="M195" s="49"/>
    </row>
    <row r="196" spans="1:14" s="21" customFormat="1" ht="18.75" x14ac:dyDescent="0.3">
      <c r="A196" s="105"/>
      <c r="B196" s="34">
        <v>17</v>
      </c>
      <c r="C196" s="29" t="s">
        <v>57</v>
      </c>
      <c r="D196" s="33">
        <v>450000</v>
      </c>
      <c r="E196" s="33">
        <v>59985</v>
      </c>
      <c r="F196" s="32">
        <f t="shared" si="31"/>
        <v>509985</v>
      </c>
      <c r="G196" s="34">
        <v>50</v>
      </c>
      <c r="H196" s="32">
        <v>10199.700000000001</v>
      </c>
      <c r="I196" s="50">
        <v>1</v>
      </c>
      <c r="J196" s="35">
        <f t="shared" si="32"/>
        <v>49</v>
      </c>
      <c r="K196" s="36">
        <f t="shared" si="33"/>
        <v>10199.700000000001</v>
      </c>
      <c r="L196" s="36">
        <f t="shared" si="34"/>
        <v>499785.3</v>
      </c>
      <c r="M196" s="31" t="s">
        <v>255</v>
      </c>
      <c r="N196" s="37"/>
    </row>
    <row r="197" spans="1:14" s="75" customFormat="1" ht="18.75" x14ac:dyDescent="0.3">
      <c r="A197" s="78"/>
      <c r="B197" s="71"/>
      <c r="C197" s="69" t="s">
        <v>296</v>
      </c>
      <c r="D197" s="72">
        <f>SUM(D180:D196)</f>
        <v>5020000</v>
      </c>
      <c r="E197" s="72">
        <f t="shared" ref="E197:F197" si="35">SUM(E180:E196)</f>
        <v>669166</v>
      </c>
      <c r="F197" s="72">
        <f t="shared" si="35"/>
        <v>5689166</v>
      </c>
      <c r="G197" s="71"/>
      <c r="H197" s="72">
        <f>SUM(H180:H196)</f>
        <v>114803.28999999995</v>
      </c>
      <c r="I197" s="73"/>
      <c r="J197" s="74"/>
      <c r="K197" s="72">
        <f t="shared" ref="K197:L197" si="36">SUM(K180:K196)</f>
        <v>3442172.0899999989</v>
      </c>
      <c r="L197" s="72">
        <f t="shared" si="36"/>
        <v>2246993.9099999997</v>
      </c>
      <c r="M197" s="53"/>
      <c r="N197" s="70"/>
    </row>
    <row r="198" spans="1:14" s="23" customFormat="1" ht="18.75" x14ac:dyDescent="0.3">
      <c r="A198" s="77"/>
      <c r="B198" s="41"/>
      <c r="C198" s="56"/>
      <c r="D198" s="44"/>
      <c r="E198" s="44"/>
      <c r="F198" s="43"/>
      <c r="G198" s="41"/>
      <c r="H198" s="43"/>
      <c r="I198" s="46"/>
      <c r="J198" s="47"/>
      <c r="K198" s="45"/>
      <c r="L198" s="45"/>
      <c r="M198" s="42"/>
      <c r="N198" s="38"/>
    </row>
    <row r="199" spans="1:14" ht="18.75" x14ac:dyDescent="0.3">
      <c r="B199" s="9">
        <f>B196+B176+B170</f>
        <v>185</v>
      </c>
      <c r="C199" s="30" t="s">
        <v>38</v>
      </c>
      <c r="D199" s="17">
        <f>D197+D177+D171</f>
        <v>55960000</v>
      </c>
      <c r="E199" s="17">
        <f t="shared" ref="E199:F199" si="37">E197+E177+E171</f>
        <v>7424809.9199999999</v>
      </c>
      <c r="F199" s="17">
        <f t="shared" si="37"/>
        <v>63384809.920000002</v>
      </c>
      <c r="G199" s="17"/>
      <c r="H199" s="17">
        <f>H197+H177+H171</f>
        <v>1262218.9525999997</v>
      </c>
      <c r="I199" s="17"/>
      <c r="J199" s="17"/>
      <c r="K199" s="17">
        <f t="shared" ref="K199:L199" si="38">K197+K177+K171</f>
        <v>28913516.065499999</v>
      </c>
      <c r="L199" s="17">
        <f t="shared" si="38"/>
        <v>34542691.754500002</v>
      </c>
      <c r="M199" s="9"/>
    </row>
    <row r="200" spans="1:14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</row>
    <row r="201" spans="1:14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</row>
    <row r="202" spans="1:14" x14ac:dyDescent="0.25"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</row>
    <row r="203" spans="1:14" ht="18.75" x14ac:dyDescent="0.3">
      <c r="B203" s="1"/>
      <c r="C203" s="8" t="s">
        <v>280</v>
      </c>
      <c r="D203" s="12"/>
      <c r="E203" s="12"/>
      <c r="F203" s="12"/>
      <c r="G203" s="12"/>
      <c r="H203" s="12"/>
      <c r="I203" s="12"/>
      <c r="J203" s="12"/>
      <c r="K203" s="12"/>
      <c r="L203" s="12"/>
      <c r="M203" s="1"/>
    </row>
    <row r="204" spans="1:14" ht="37.5" x14ac:dyDescent="0.3">
      <c r="B204" s="7" t="s">
        <v>2</v>
      </c>
      <c r="C204" s="7" t="s">
        <v>0</v>
      </c>
      <c r="D204" s="8" t="s">
        <v>3</v>
      </c>
      <c r="E204" s="8" t="s">
        <v>4</v>
      </c>
      <c r="F204" s="8" t="s">
        <v>1</v>
      </c>
      <c r="G204" s="10" t="s">
        <v>11</v>
      </c>
      <c r="H204" s="10" t="s">
        <v>10</v>
      </c>
      <c r="I204" s="11" t="s">
        <v>5</v>
      </c>
      <c r="J204" s="11" t="s">
        <v>6</v>
      </c>
      <c r="K204" s="10" t="s">
        <v>7</v>
      </c>
      <c r="L204" s="10" t="s">
        <v>8</v>
      </c>
      <c r="M204" s="10" t="s">
        <v>9</v>
      </c>
    </row>
    <row r="205" spans="1:14" ht="18.75" x14ac:dyDescent="0.3">
      <c r="B205" s="88">
        <v>1</v>
      </c>
      <c r="C205" s="66" t="s">
        <v>281</v>
      </c>
      <c r="D205" s="33">
        <v>450000</v>
      </c>
      <c r="E205" s="33">
        <v>59985</v>
      </c>
      <c r="F205" s="32">
        <f>D205+E205</f>
        <v>509985</v>
      </c>
      <c r="G205" s="34">
        <v>50</v>
      </c>
      <c r="H205" s="87">
        <v>10199.700000000001</v>
      </c>
      <c r="I205" s="9">
        <v>43</v>
      </c>
      <c r="J205" s="9">
        <f>G205-I205</f>
        <v>7</v>
      </c>
      <c r="K205" s="92">
        <f>H205*I205</f>
        <v>438587.10000000003</v>
      </c>
      <c r="L205" s="32">
        <f t="shared" ref="L205" si="39">F205-K205</f>
        <v>71397.899999999965</v>
      </c>
      <c r="M205" s="1"/>
    </row>
    <row r="206" spans="1:14" x14ac:dyDescent="0.25"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</row>
    <row r="207" spans="1:14" s="22" customFormat="1" ht="18.75" x14ac:dyDescent="0.3">
      <c r="B207" s="8"/>
      <c r="C207" s="30" t="s">
        <v>279</v>
      </c>
      <c r="D207" s="83">
        <f>D205+D199</f>
        <v>56410000</v>
      </c>
      <c r="E207" s="83">
        <f t="shared" ref="E207:F207" si="40">E205+E199</f>
        <v>7484794.9199999999</v>
      </c>
      <c r="F207" s="83">
        <f t="shared" si="40"/>
        <v>63894794.920000002</v>
      </c>
      <c r="G207" s="8"/>
      <c r="H207" s="83">
        <f>H205+H199</f>
        <v>1272418.6525999997</v>
      </c>
      <c r="I207" s="8"/>
      <c r="J207" s="8"/>
      <c r="K207" s="83">
        <f t="shared" ref="K207:L207" si="41">K205+K199</f>
        <v>29352103.1655</v>
      </c>
      <c r="L207" s="83">
        <f t="shared" si="41"/>
        <v>34614089.6545</v>
      </c>
      <c r="M207" s="8"/>
    </row>
    <row r="208" spans="1:14" ht="18.75" x14ac:dyDescent="0.3">
      <c r="D208" s="55"/>
      <c r="E208" s="55"/>
      <c r="F208" s="55"/>
      <c r="G208" s="55"/>
      <c r="H208" s="55"/>
      <c r="I208" s="55"/>
      <c r="J208" s="55"/>
      <c r="K208" s="55"/>
      <c r="L208" s="55"/>
    </row>
    <row r="211" spans="4:8" x14ac:dyDescent="0.25">
      <c r="H211" s="54"/>
    </row>
    <row r="212" spans="4:8" x14ac:dyDescent="0.25">
      <c r="D212" s="54"/>
      <c r="E212" s="54"/>
      <c r="F212" s="54"/>
    </row>
  </sheetData>
  <sortState ref="C6:M170">
    <sortCondition descending="1" ref="D6:D170"/>
  </sortState>
  <pageMargins left="0.7" right="0.7" top="0.75" bottom="0.75" header="0.3" footer="0.3"/>
  <pageSetup paperSize="5" scale="5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227"/>
  <sheetViews>
    <sheetView topLeftCell="A168" workbookViewId="0">
      <selection activeCell="C171" sqref="C171"/>
    </sheetView>
  </sheetViews>
  <sheetFormatPr defaultRowHeight="15" x14ac:dyDescent="0.25"/>
  <cols>
    <col min="2" max="2" width="9.28515625" bestFit="1" customWidth="1"/>
    <col min="3" max="3" width="42.42578125" customWidth="1"/>
    <col min="4" max="4" width="19.85546875" customWidth="1"/>
    <col min="5" max="5" width="17.85546875" customWidth="1"/>
    <col min="6" max="6" width="19.85546875" customWidth="1"/>
    <col min="7" max="7" width="17" customWidth="1"/>
    <col min="8" max="8" width="18.28515625" bestFit="1" customWidth="1"/>
    <col min="9" max="9" width="20" bestFit="1" customWidth="1"/>
    <col min="10" max="10" width="12.7109375" customWidth="1"/>
    <col min="11" max="11" width="19.7109375" bestFit="1" customWidth="1"/>
    <col min="12" max="13" width="21.7109375" bestFit="1" customWidth="1"/>
    <col min="14" max="14" width="14.28515625" bestFit="1" customWidth="1"/>
  </cols>
  <sheetData>
    <row r="1" spans="2:15" ht="18.75" x14ac:dyDescent="0.3">
      <c r="B1" s="5"/>
      <c r="C1" s="5"/>
      <c r="D1" s="6"/>
      <c r="E1" s="5"/>
      <c r="F1" s="6"/>
      <c r="G1" s="6"/>
      <c r="H1" s="5"/>
      <c r="I1" s="5"/>
      <c r="J1" s="5"/>
      <c r="K1" s="5"/>
      <c r="L1" s="5"/>
      <c r="M1" s="5"/>
      <c r="N1" s="5"/>
      <c r="O1" s="5"/>
    </row>
    <row r="2" spans="2:15" ht="42.75" customHeight="1" x14ac:dyDescent="0.35">
      <c r="B2" s="95"/>
      <c r="C2" s="94" t="s">
        <v>12</v>
      </c>
      <c r="D2" s="95"/>
      <c r="E2" s="94"/>
      <c r="F2" s="94"/>
      <c r="G2" s="95"/>
      <c r="H2" s="5"/>
      <c r="I2" s="5"/>
      <c r="J2" s="5"/>
      <c r="K2" s="5"/>
      <c r="L2" s="5"/>
      <c r="M2" s="5"/>
      <c r="N2" s="10"/>
      <c r="O2" s="5"/>
    </row>
    <row r="3" spans="2:15" ht="21" x14ac:dyDescent="0.35">
      <c r="B3" s="95"/>
      <c r="C3" s="94" t="s">
        <v>71</v>
      </c>
      <c r="D3" s="95"/>
      <c r="E3" s="94"/>
      <c r="F3" s="94"/>
      <c r="G3" s="94"/>
      <c r="H3" s="5"/>
      <c r="I3" s="5"/>
      <c r="J3" s="5"/>
      <c r="K3" s="5"/>
      <c r="L3" s="5"/>
      <c r="M3" s="5"/>
      <c r="N3" s="8"/>
      <c r="O3" s="5"/>
    </row>
    <row r="4" spans="2:15" ht="18.75" x14ac:dyDescent="0.3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9"/>
      <c r="O4" s="5"/>
    </row>
    <row r="5" spans="2:15" ht="56.2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 s="65"/>
      <c r="O5" s="5"/>
    </row>
    <row r="6" spans="2:15" ht="18.75" x14ac:dyDescent="0.3">
      <c r="B6" s="58">
        <v>1</v>
      </c>
      <c r="C6" s="64" t="s">
        <v>191</v>
      </c>
      <c r="D6" s="59">
        <v>500000</v>
      </c>
      <c r="E6" s="59">
        <v>66650</v>
      </c>
      <c r="F6" s="60">
        <f t="shared" ref="F6:F37" si="0">D6+E6</f>
        <v>566650</v>
      </c>
      <c r="G6" s="58">
        <v>50</v>
      </c>
      <c r="H6" s="60">
        <v>11333</v>
      </c>
      <c r="I6" s="58">
        <v>28</v>
      </c>
      <c r="J6" s="62">
        <f t="shared" ref="J6:J37" si="1">G6-I6</f>
        <v>22</v>
      </c>
      <c r="K6" s="59">
        <f t="shared" ref="K6:K14" si="2">H6*I6</f>
        <v>317324</v>
      </c>
      <c r="L6" s="63">
        <f t="shared" ref="L6:L37" si="3">F6-K6</f>
        <v>249326</v>
      </c>
      <c r="M6" s="64"/>
      <c r="N6" s="9"/>
      <c r="O6" s="5"/>
    </row>
    <row r="7" spans="2:15" ht="18.75" x14ac:dyDescent="0.3"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4">
        <v>28</v>
      </c>
      <c r="J7" s="35">
        <f t="shared" si="1"/>
        <v>22</v>
      </c>
      <c r="K7" s="33">
        <f t="shared" si="2"/>
        <v>317324</v>
      </c>
      <c r="L7" s="36">
        <f t="shared" si="3"/>
        <v>249326</v>
      </c>
      <c r="M7" s="31"/>
      <c r="N7" s="9"/>
      <c r="O7" s="5"/>
    </row>
    <row r="8" spans="2:15" ht="18.75" x14ac:dyDescent="0.3"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4">
        <v>43</v>
      </c>
      <c r="J8" s="35">
        <f t="shared" si="1"/>
        <v>7</v>
      </c>
      <c r="K8" s="36">
        <f t="shared" si="2"/>
        <v>487319</v>
      </c>
      <c r="L8" s="32">
        <f t="shared" si="3"/>
        <v>79331</v>
      </c>
      <c r="M8" s="31"/>
      <c r="N8" s="9"/>
      <c r="O8" s="5"/>
    </row>
    <row r="9" spans="2:15" ht="18.75" x14ac:dyDescent="0.3"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4">
        <v>43</v>
      </c>
      <c r="J9" s="35">
        <f t="shared" si="1"/>
        <v>7</v>
      </c>
      <c r="K9" s="36">
        <f t="shared" si="2"/>
        <v>487319</v>
      </c>
      <c r="L9" s="32">
        <f t="shared" si="3"/>
        <v>79331</v>
      </c>
      <c r="M9" s="31"/>
      <c r="N9" s="9"/>
      <c r="O9" s="5"/>
    </row>
    <row r="10" spans="2:15" ht="18.75" x14ac:dyDescent="0.3"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4">
        <v>43</v>
      </c>
      <c r="J10" s="35">
        <f t="shared" si="1"/>
        <v>7</v>
      </c>
      <c r="K10" s="36">
        <f t="shared" si="2"/>
        <v>487319</v>
      </c>
      <c r="L10" s="32">
        <f t="shared" si="3"/>
        <v>79331</v>
      </c>
      <c r="M10" s="31"/>
      <c r="N10" s="9"/>
      <c r="O10" s="5"/>
    </row>
    <row r="11" spans="2:15" ht="18.75" x14ac:dyDescent="0.3"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4">
        <v>28</v>
      </c>
      <c r="J11" s="35">
        <f t="shared" si="1"/>
        <v>22</v>
      </c>
      <c r="K11" s="36">
        <f t="shared" si="2"/>
        <v>317324</v>
      </c>
      <c r="L11" s="36">
        <f t="shared" si="3"/>
        <v>249326</v>
      </c>
      <c r="M11" s="31"/>
      <c r="N11" s="9"/>
      <c r="O11" s="5"/>
    </row>
    <row r="12" spans="2:15" ht="18.75" x14ac:dyDescent="0.3"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4">
        <v>27</v>
      </c>
      <c r="J12" s="35">
        <f t="shared" si="1"/>
        <v>23</v>
      </c>
      <c r="K12" s="36">
        <f t="shared" si="2"/>
        <v>305991</v>
      </c>
      <c r="L12" s="36">
        <f t="shared" si="3"/>
        <v>260659</v>
      </c>
      <c r="M12" s="31"/>
      <c r="N12" s="9"/>
      <c r="O12" s="5"/>
    </row>
    <row r="13" spans="2:15" ht="18.75" x14ac:dyDescent="0.3">
      <c r="B13" s="34">
        <v>8</v>
      </c>
      <c r="C13" s="31" t="s">
        <v>121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2">
        <v>11333</v>
      </c>
      <c r="I13" s="34">
        <v>49</v>
      </c>
      <c r="J13" s="35">
        <f t="shared" si="1"/>
        <v>1</v>
      </c>
      <c r="K13" s="36">
        <f t="shared" si="2"/>
        <v>555317</v>
      </c>
      <c r="L13" s="32">
        <f t="shared" si="3"/>
        <v>11333</v>
      </c>
      <c r="M13" s="31"/>
      <c r="N13" s="9"/>
      <c r="O13" s="5"/>
    </row>
    <row r="14" spans="2:15" ht="18.75" x14ac:dyDescent="0.3">
      <c r="B14" s="34">
        <v>9</v>
      </c>
      <c r="C14" s="31" t="s">
        <v>123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6">
        <v>11333</v>
      </c>
      <c r="I14" s="34">
        <v>28</v>
      </c>
      <c r="J14" s="35">
        <f t="shared" si="1"/>
        <v>22</v>
      </c>
      <c r="K14" s="36">
        <f t="shared" si="2"/>
        <v>317324</v>
      </c>
      <c r="L14" s="36">
        <f t="shared" si="3"/>
        <v>249326</v>
      </c>
      <c r="M14" s="31"/>
      <c r="N14" s="9"/>
      <c r="O14" s="5"/>
    </row>
    <row r="15" spans="2:15" ht="18.75" x14ac:dyDescent="0.3">
      <c r="B15" s="34">
        <v>10</v>
      </c>
      <c r="C15" s="31" t="s">
        <v>144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4">
        <v>23</v>
      </c>
      <c r="J15" s="35">
        <f t="shared" si="1"/>
        <v>27</v>
      </c>
      <c r="K15" s="36">
        <f t="shared" ref="K15:K24" si="4">I15*H15</f>
        <v>260659</v>
      </c>
      <c r="L15" s="36">
        <f t="shared" si="3"/>
        <v>305991</v>
      </c>
      <c r="M15" s="31"/>
      <c r="N15" s="9"/>
      <c r="O15" s="5"/>
    </row>
    <row r="16" spans="2:15" ht="18.75" x14ac:dyDescent="0.3">
      <c r="B16" s="34">
        <v>11</v>
      </c>
      <c r="C16" s="31" t="s">
        <v>145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2">
        <v>11333</v>
      </c>
      <c r="I16" s="34">
        <v>23</v>
      </c>
      <c r="J16" s="35">
        <f t="shared" si="1"/>
        <v>27</v>
      </c>
      <c r="K16" s="36">
        <f t="shared" si="4"/>
        <v>260659</v>
      </c>
      <c r="L16" s="36">
        <f t="shared" si="3"/>
        <v>305991</v>
      </c>
      <c r="M16" s="31"/>
      <c r="N16" s="9"/>
      <c r="O16" s="5"/>
    </row>
    <row r="17" spans="2:15" ht="18.75" x14ac:dyDescent="0.3">
      <c r="B17" s="34">
        <v>12</v>
      </c>
      <c r="C17" s="50" t="s">
        <v>154</v>
      </c>
      <c r="D17" s="33">
        <v>500000</v>
      </c>
      <c r="E17" s="33">
        <v>31991.919999999998</v>
      </c>
      <c r="F17" s="32">
        <f t="shared" si="0"/>
        <v>531991.92000000004</v>
      </c>
      <c r="G17" s="34">
        <v>24</v>
      </c>
      <c r="H17" s="32">
        <v>22166.33</v>
      </c>
      <c r="I17" s="81">
        <v>17</v>
      </c>
      <c r="J17" s="35">
        <f t="shared" si="1"/>
        <v>7</v>
      </c>
      <c r="K17" s="36">
        <f t="shared" si="4"/>
        <v>376827.61000000004</v>
      </c>
      <c r="L17" s="36">
        <f t="shared" si="3"/>
        <v>155164.31</v>
      </c>
      <c r="M17" s="31"/>
      <c r="N17" s="9"/>
      <c r="O17" s="5"/>
    </row>
    <row r="18" spans="2:15" ht="18.75" x14ac:dyDescent="0.3">
      <c r="B18" s="34">
        <v>13</v>
      </c>
      <c r="C18" s="50" t="s">
        <v>208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81">
        <v>14</v>
      </c>
      <c r="J18" s="35">
        <f t="shared" si="1"/>
        <v>36</v>
      </c>
      <c r="K18" s="36">
        <f t="shared" si="4"/>
        <v>158662</v>
      </c>
      <c r="L18" s="36">
        <f t="shared" si="3"/>
        <v>407988</v>
      </c>
      <c r="M18" s="31"/>
      <c r="N18" s="9"/>
      <c r="O18" s="5"/>
    </row>
    <row r="19" spans="2:15" ht="18.75" x14ac:dyDescent="0.3">
      <c r="B19" s="34">
        <v>14</v>
      </c>
      <c r="C19" s="50" t="s">
        <v>14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81">
        <v>12</v>
      </c>
      <c r="J19" s="35">
        <f t="shared" si="1"/>
        <v>38</v>
      </c>
      <c r="K19" s="36">
        <f t="shared" si="4"/>
        <v>135996</v>
      </c>
      <c r="L19" s="36">
        <f t="shared" si="3"/>
        <v>430654</v>
      </c>
      <c r="M19" s="31"/>
      <c r="N19" s="9"/>
      <c r="O19" s="5"/>
    </row>
    <row r="20" spans="2:15" ht="18.75" x14ac:dyDescent="0.3">
      <c r="B20" s="34">
        <v>15</v>
      </c>
      <c r="C20" s="50" t="s">
        <v>15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81">
        <v>12</v>
      </c>
      <c r="J20" s="35">
        <f t="shared" si="1"/>
        <v>38</v>
      </c>
      <c r="K20" s="36">
        <f t="shared" si="4"/>
        <v>135996</v>
      </c>
      <c r="L20" s="36">
        <f t="shared" si="3"/>
        <v>430654</v>
      </c>
      <c r="M20" s="31"/>
      <c r="N20" s="9"/>
      <c r="O20" s="5"/>
    </row>
    <row r="21" spans="2:15" ht="18.75" x14ac:dyDescent="0.3">
      <c r="B21" s="34">
        <v>16</v>
      </c>
      <c r="C21" s="50" t="s">
        <v>16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81">
        <v>12</v>
      </c>
      <c r="J21" s="35">
        <f t="shared" si="1"/>
        <v>38</v>
      </c>
      <c r="K21" s="36">
        <f t="shared" si="4"/>
        <v>135996</v>
      </c>
      <c r="L21" s="36">
        <f t="shared" si="3"/>
        <v>430654</v>
      </c>
      <c r="M21" s="31"/>
      <c r="N21" s="9"/>
      <c r="O21" s="5"/>
    </row>
    <row r="22" spans="2:15" ht="18.75" x14ac:dyDescent="0.3">
      <c r="B22" s="34">
        <v>17</v>
      </c>
      <c r="C22" s="50" t="s">
        <v>20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81">
        <v>39</v>
      </c>
      <c r="J22" s="35">
        <f t="shared" si="1"/>
        <v>11</v>
      </c>
      <c r="K22" s="36">
        <f t="shared" si="4"/>
        <v>441987</v>
      </c>
      <c r="L22" s="36">
        <f t="shared" si="3"/>
        <v>124663</v>
      </c>
      <c r="M22" s="31"/>
      <c r="N22" s="9"/>
      <c r="O22" s="5"/>
    </row>
    <row r="23" spans="2:15" ht="18.75" x14ac:dyDescent="0.3">
      <c r="B23" s="34">
        <v>18</v>
      </c>
      <c r="C23" s="50" t="s">
        <v>232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81">
        <v>9</v>
      </c>
      <c r="J23" s="35">
        <f t="shared" si="1"/>
        <v>41</v>
      </c>
      <c r="K23" s="36">
        <f t="shared" si="4"/>
        <v>101997</v>
      </c>
      <c r="L23" s="36">
        <f t="shared" si="3"/>
        <v>464653</v>
      </c>
      <c r="M23" s="31"/>
      <c r="N23" s="9"/>
      <c r="O23" s="5"/>
    </row>
    <row r="24" spans="2:15" ht="18.75" x14ac:dyDescent="0.3">
      <c r="B24" s="34">
        <v>19</v>
      </c>
      <c r="C24" s="50" t="s">
        <v>214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81">
        <v>9</v>
      </c>
      <c r="J24" s="35">
        <f t="shared" si="1"/>
        <v>41</v>
      </c>
      <c r="K24" s="36">
        <f t="shared" si="4"/>
        <v>101997</v>
      </c>
      <c r="L24" s="36">
        <f t="shared" si="3"/>
        <v>464653</v>
      </c>
      <c r="M24" s="31"/>
      <c r="N24" s="9"/>
      <c r="O24" s="5"/>
    </row>
    <row r="25" spans="2:15" ht="18.75" x14ac:dyDescent="0.3">
      <c r="B25" s="34">
        <v>20</v>
      </c>
      <c r="C25" s="31" t="s">
        <v>219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34">
        <v>41</v>
      </c>
      <c r="J25" s="35">
        <f t="shared" si="1"/>
        <v>9</v>
      </c>
      <c r="K25" s="36">
        <f>H25*I25</f>
        <v>464653</v>
      </c>
      <c r="L25" s="32">
        <f t="shared" si="3"/>
        <v>101997</v>
      </c>
      <c r="M25" s="31"/>
      <c r="N25" s="9"/>
      <c r="O25" s="5"/>
    </row>
    <row r="26" spans="2:15" ht="18.75" x14ac:dyDescent="0.3">
      <c r="B26" s="34">
        <v>21</v>
      </c>
      <c r="C26" s="50" t="s">
        <v>31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81">
        <v>6</v>
      </c>
      <c r="J26" s="35">
        <f t="shared" si="1"/>
        <v>44</v>
      </c>
      <c r="K26" s="36">
        <f t="shared" ref="K26:K37" si="5">I26*H26</f>
        <v>67998</v>
      </c>
      <c r="L26" s="36">
        <f t="shared" si="3"/>
        <v>498652</v>
      </c>
      <c r="M26" s="31"/>
      <c r="N26" s="9"/>
      <c r="O26" s="5"/>
    </row>
    <row r="27" spans="2:15" ht="18.75" x14ac:dyDescent="0.3">
      <c r="B27" s="34">
        <v>22</v>
      </c>
      <c r="C27" s="29" t="s">
        <v>161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81">
        <v>19</v>
      </c>
      <c r="J27" s="35">
        <f t="shared" si="1"/>
        <v>31</v>
      </c>
      <c r="K27" s="36">
        <f t="shared" si="5"/>
        <v>215327</v>
      </c>
      <c r="L27" s="36">
        <f t="shared" si="3"/>
        <v>351323</v>
      </c>
      <c r="M27" s="31"/>
      <c r="N27" s="9"/>
      <c r="O27" s="5"/>
    </row>
    <row r="28" spans="2:15" ht="18.75" x14ac:dyDescent="0.3">
      <c r="B28" s="34">
        <v>23</v>
      </c>
      <c r="C28" s="29" t="s">
        <v>170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81">
        <v>28</v>
      </c>
      <c r="J28" s="35">
        <f t="shared" si="1"/>
        <v>22</v>
      </c>
      <c r="K28" s="36">
        <f t="shared" si="5"/>
        <v>317324</v>
      </c>
      <c r="L28" s="36">
        <f t="shared" si="3"/>
        <v>249326</v>
      </c>
      <c r="M28" s="31"/>
      <c r="N28" s="9"/>
      <c r="O28" s="5"/>
    </row>
    <row r="29" spans="2:15" ht="18.75" x14ac:dyDescent="0.3">
      <c r="B29" s="34">
        <v>24</v>
      </c>
      <c r="C29" s="29" t="s">
        <v>172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81">
        <v>24</v>
      </c>
      <c r="J29" s="35">
        <f t="shared" si="1"/>
        <v>26</v>
      </c>
      <c r="K29" s="36">
        <f t="shared" si="5"/>
        <v>271992</v>
      </c>
      <c r="L29" s="36">
        <f t="shared" si="3"/>
        <v>294658</v>
      </c>
      <c r="M29" s="31"/>
      <c r="N29" s="9"/>
      <c r="O29" s="5"/>
    </row>
    <row r="30" spans="2:15" ht="18.75" x14ac:dyDescent="0.3">
      <c r="B30" s="34">
        <v>25</v>
      </c>
      <c r="C30" s="29" t="s">
        <v>46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81">
        <v>4</v>
      </c>
      <c r="J30" s="35">
        <f t="shared" si="1"/>
        <v>46</v>
      </c>
      <c r="K30" s="36">
        <f t="shared" si="5"/>
        <v>45332</v>
      </c>
      <c r="L30" s="36">
        <f t="shared" si="3"/>
        <v>521318</v>
      </c>
      <c r="M30" s="31"/>
      <c r="N30" s="9"/>
      <c r="O30" s="5"/>
    </row>
    <row r="31" spans="2:15" ht="18.75" x14ac:dyDescent="0.3">
      <c r="B31" s="34">
        <v>26</v>
      </c>
      <c r="C31" s="29" t="s">
        <v>45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81">
        <v>4</v>
      </c>
      <c r="J31" s="35">
        <f t="shared" si="1"/>
        <v>46</v>
      </c>
      <c r="K31" s="36">
        <f t="shared" si="5"/>
        <v>45332</v>
      </c>
      <c r="L31" s="36">
        <f t="shared" si="3"/>
        <v>521318</v>
      </c>
      <c r="M31" s="31"/>
      <c r="N31" s="9"/>
      <c r="O31" s="5"/>
    </row>
    <row r="32" spans="2:15" ht="18.75" x14ac:dyDescent="0.3">
      <c r="B32" s="34">
        <v>27</v>
      </c>
      <c r="C32" s="29" t="s">
        <v>47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81">
        <v>4</v>
      </c>
      <c r="J32" s="35">
        <f t="shared" si="1"/>
        <v>46</v>
      </c>
      <c r="K32" s="36">
        <f t="shared" si="5"/>
        <v>45332</v>
      </c>
      <c r="L32" s="36">
        <f t="shared" si="3"/>
        <v>521318</v>
      </c>
      <c r="M32" s="31"/>
      <c r="N32" s="9"/>
      <c r="O32" s="5"/>
    </row>
    <row r="33" spans="2:15" ht="18.75" x14ac:dyDescent="0.3">
      <c r="B33" s="34">
        <v>28</v>
      </c>
      <c r="C33" s="29" t="s">
        <v>44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81">
        <v>4</v>
      </c>
      <c r="J33" s="35">
        <f t="shared" si="1"/>
        <v>46</v>
      </c>
      <c r="K33" s="36">
        <f t="shared" si="5"/>
        <v>45332</v>
      </c>
      <c r="L33" s="36">
        <f t="shared" si="3"/>
        <v>521318</v>
      </c>
      <c r="M33" s="31"/>
      <c r="N33" s="9"/>
      <c r="O33" s="5"/>
    </row>
    <row r="34" spans="2:15" ht="18.75" x14ac:dyDescent="0.3">
      <c r="B34" s="34">
        <v>29</v>
      </c>
      <c r="C34" s="29" t="s">
        <v>66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81">
        <v>2</v>
      </c>
      <c r="J34" s="35">
        <f t="shared" si="1"/>
        <v>48</v>
      </c>
      <c r="K34" s="36">
        <f t="shared" si="5"/>
        <v>22666</v>
      </c>
      <c r="L34" s="36">
        <f t="shared" si="3"/>
        <v>543984</v>
      </c>
      <c r="M34" s="31"/>
      <c r="N34" s="9"/>
      <c r="O34" s="5"/>
    </row>
    <row r="35" spans="2:15" ht="18.75" x14ac:dyDescent="0.3">
      <c r="B35" s="34">
        <v>30</v>
      </c>
      <c r="C35" s="29" t="s">
        <v>67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81">
        <v>2</v>
      </c>
      <c r="J35" s="35">
        <f t="shared" si="1"/>
        <v>48</v>
      </c>
      <c r="K35" s="36">
        <f t="shared" si="5"/>
        <v>22666</v>
      </c>
      <c r="L35" s="36">
        <f t="shared" si="3"/>
        <v>543984</v>
      </c>
      <c r="M35" s="31"/>
      <c r="N35" s="9"/>
      <c r="O35" s="5"/>
    </row>
    <row r="36" spans="2:15" ht="18.75" x14ac:dyDescent="0.3">
      <c r="B36" s="34">
        <v>31</v>
      </c>
      <c r="C36" s="29" t="s">
        <v>68</v>
      </c>
      <c r="D36" s="33">
        <v>500000</v>
      </c>
      <c r="E36" s="33">
        <v>66650</v>
      </c>
      <c r="F36" s="32">
        <f t="shared" si="0"/>
        <v>566650</v>
      </c>
      <c r="G36" s="34">
        <v>50</v>
      </c>
      <c r="H36" s="32">
        <v>11333</v>
      </c>
      <c r="I36" s="81">
        <v>2</v>
      </c>
      <c r="J36" s="35">
        <f t="shared" si="1"/>
        <v>48</v>
      </c>
      <c r="K36" s="36">
        <f t="shared" si="5"/>
        <v>22666</v>
      </c>
      <c r="L36" s="36">
        <f t="shared" si="3"/>
        <v>543984</v>
      </c>
      <c r="M36" s="31"/>
      <c r="N36" s="9"/>
      <c r="O36" s="5"/>
    </row>
    <row r="37" spans="2:15" ht="18.75" x14ac:dyDescent="0.3">
      <c r="B37" s="34">
        <v>32</v>
      </c>
      <c r="C37" s="31" t="s">
        <v>74</v>
      </c>
      <c r="D37" s="33">
        <v>450000</v>
      </c>
      <c r="E37" s="33">
        <v>59985</v>
      </c>
      <c r="F37" s="32">
        <f t="shared" si="0"/>
        <v>509985</v>
      </c>
      <c r="G37" s="34">
        <v>50</v>
      </c>
      <c r="H37" s="32">
        <v>10199.700000000001</v>
      </c>
      <c r="I37" s="34">
        <v>25</v>
      </c>
      <c r="J37" s="35">
        <f t="shared" si="1"/>
        <v>25</v>
      </c>
      <c r="K37" s="32">
        <f t="shared" si="5"/>
        <v>254992.50000000003</v>
      </c>
      <c r="L37" s="33">
        <f t="shared" si="3"/>
        <v>254992.49999999997</v>
      </c>
      <c r="M37" s="31"/>
      <c r="N37" s="9"/>
      <c r="O37" s="5"/>
    </row>
    <row r="38" spans="2:15" ht="18.75" x14ac:dyDescent="0.3">
      <c r="B38" s="34">
        <v>33</v>
      </c>
      <c r="C38" s="31" t="s">
        <v>77</v>
      </c>
      <c r="D38" s="33">
        <v>450000</v>
      </c>
      <c r="E38" s="33">
        <v>59985</v>
      </c>
      <c r="F38" s="32">
        <f t="shared" ref="F38:F65" si="6">D38+E38</f>
        <v>509985</v>
      </c>
      <c r="G38" s="34">
        <v>50</v>
      </c>
      <c r="H38" s="32">
        <v>10199.700000000001</v>
      </c>
      <c r="I38" s="82">
        <v>24</v>
      </c>
      <c r="J38" s="35">
        <f t="shared" ref="J38:J69" si="7">G38-I38</f>
        <v>26</v>
      </c>
      <c r="K38" s="32">
        <f t="shared" ref="K38:K44" si="8">H38*I38</f>
        <v>244792.80000000002</v>
      </c>
      <c r="L38" s="33">
        <f t="shared" ref="L38:L69" si="9">F38-K38</f>
        <v>265192.19999999995</v>
      </c>
      <c r="M38" s="31"/>
      <c r="N38" s="9"/>
      <c r="O38" s="5"/>
    </row>
    <row r="39" spans="2:15" ht="18.75" x14ac:dyDescent="0.3">
      <c r="B39" s="34">
        <v>34</v>
      </c>
      <c r="C39" s="31" t="s">
        <v>78</v>
      </c>
      <c r="D39" s="33">
        <v>450000</v>
      </c>
      <c r="E39" s="33">
        <v>59985</v>
      </c>
      <c r="F39" s="32">
        <f t="shared" si="6"/>
        <v>509985</v>
      </c>
      <c r="G39" s="34">
        <v>50</v>
      </c>
      <c r="H39" s="32">
        <v>10199.700000000001</v>
      </c>
      <c r="I39" s="82">
        <v>24</v>
      </c>
      <c r="J39" s="35">
        <f t="shared" si="7"/>
        <v>26</v>
      </c>
      <c r="K39" s="32">
        <f t="shared" si="8"/>
        <v>244792.80000000002</v>
      </c>
      <c r="L39" s="32">
        <f t="shared" si="9"/>
        <v>265192.19999999995</v>
      </c>
      <c r="M39" s="31"/>
      <c r="N39" s="9"/>
      <c r="O39" s="5"/>
    </row>
    <row r="40" spans="2:15" ht="18.75" x14ac:dyDescent="0.3">
      <c r="B40" s="34">
        <v>35</v>
      </c>
      <c r="C40" s="31" t="s">
        <v>82</v>
      </c>
      <c r="D40" s="33">
        <v>450000</v>
      </c>
      <c r="E40" s="33">
        <v>59985</v>
      </c>
      <c r="F40" s="32">
        <f t="shared" si="6"/>
        <v>509985</v>
      </c>
      <c r="G40" s="34">
        <v>50</v>
      </c>
      <c r="H40" s="32">
        <v>10199.700000000001</v>
      </c>
      <c r="I40" s="34">
        <v>28</v>
      </c>
      <c r="J40" s="35">
        <f t="shared" si="7"/>
        <v>22</v>
      </c>
      <c r="K40" s="36">
        <f t="shared" si="8"/>
        <v>285591.60000000003</v>
      </c>
      <c r="L40" s="36">
        <f t="shared" si="9"/>
        <v>224393.39999999997</v>
      </c>
      <c r="M40" s="31"/>
      <c r="N40" s="9"/>
      <c r="O40" s="5"/>
    </row>
    <row r="41" spans="2:15" ht="18.75" x14ac:dyDescent="0.3">
      <c r="B41" s="34">
        <v>36</v>
      </c>
      <c r="C41" s="31" t="s">
        <v>99</v>
      </c>
      <c r="D41" s="33">
        <v>450000</v>
      </c>
      <c r="E41" s="33">
        <v>59985</v>
      </c>
      <c r="F41" s="32">
        <f t="shared" si="6"/>
        <v>509985</v>
      </c>
      <c r="G41" s="34">
        <v>50</v>
      </c>
      <c r="H41" s="36">
        <v>10199.700000000001</v>
      </c>
      <c r="I41" s="34">
        <v>28</v>
      </c>
      <c r="J41" s="35">
        <f t="shared" si="7"/>
        <v>22</v>
      </c>
      <c r="K41" s="36">
        <f t="shared" si="8"/>
        <v>285591.60000000003</v>
      </c>
      <c r="L41" s="36">
        <f t="shared" si="9"/>
        <v>224393.39999999997</v>
      </c>
      <c r="M41" s="31"/>
      <c r="N41" s="9"/>
      <c r="O41" s="5"/>
    </row>
    <row r="42" spans="2:15" ht="18.75" x14ac:dyDescent="0.3">
      <c r="B42" s="34">
        <v>37</v>
      </c>
      <c r="C42" s="31" t="s">
        <v>196</v>
      </c>
      <c r="D42" s="33">
        <v>450000</v>
      </c>
      <c r="E42" s="33">
        <v>59985</v>
      </c>
      <c r="F42" s="32">
        <f t="shared" si="6"/>
        <v>509985</v>
      </c>
      <c r="G42" s="34">
        <v>50</v>
      </c>
      <c r="H42" s="32">
        <v>10199.700000000001</v>
      </c>
      <c r="I42" s="34">
        <v>43</v>
      </c>
      <c r="J42" s="35">
        <f t="shared" si="7"/>
        <v>7</v>
      </c>
      <c r="K42" s="36">
        <f t="shared" si="8"/>
        <v>438587.10000000003</v>
      </c>
      <c r="L42" s="32">
        <f t="shared" si="9"/>
        <v>71397.899999999965</v>
      </c>
      <c r="M42" s="31"/>
      <c r="N42" s="9"/>
      <c r="O42" s="5"/>
    </row>
    <row r="43" spans="2:15" ht="18.75" x14ac:dyDescent="0.3">
      <c r="B43" s="34">
        <v>38</v>
      </c>
      <c r="C43" s="31" t="s">
        <v>122</v>
      </c>
      <c r="D43" s="33">
        <v>450000</v>
      </c>
      <c r="E43" s="33">
        <v>59985</v>
      </c>
      <c r="F43" s="32">
        <f t="shared" si="6"/>
        <v>509985</v>
      </c>
      <c r="G43" s="34">
        <v>50</v>
      </c>
      <c r="H43" s="36">
        <v>10199.700000000001</v>
      </c>
      <c r="I43" s="34">
        <v>28</v>
      </c>
      <c r="J43" s="35">
        <f t="shared" si="7"/>
        <v>22</v>
      </c>
      <c r="K43" s="36">
        <f t="shared" si="8"/>
        <v>285591.60000000003</v>
      </c>
      <c r="L43" s="36">
        <f t="shared" si="9"/>
        <v>224393.39999999997</v>
      </c>
      <c r="M43" s="31"/>
      <c r="N43" s="9"/>
      <c r="O43" s="5"/>
    </row>
    <row r="44" spans="2:15" ht="18.75" x14ac:dyDescent="0.3">
      <c r="B44" s="34">
        <v>39</v>
      </c>
      <c r="C44" s="31" t="s">
        <v>204</v>
      </c>
      <c r="D44" s="33">
        <v>450000</v>
      </c>
      <c r="E44" s="33">
        <v>59985</v>
      </c>
      <c r="F44" s="32">
        <f t="shared" si="6"/>
        <v>509985</v>
      </c>
      <c r="G44" s="34">
        <v>50</v>
      </c>
      <c r="H44" s="32">
        <v>10199.700000000001</v>
      </c>
      <c r="I44" s="34">
        <v>33</v>
      </c>
      <c r="J44" s="35">
        <f t="shared" si="7"/>
        <v>17</v>
      </c>
      <c r="K44" s="36">
        <f t="shared" si="8"/>
        <v>336590.10000000003</v>
      </c>
      <c r="L44" s="32">
        <f t="shared" si="9"/>
        <v>173394.89999999997</v>
      </c>
      <c r="M44" s="31"/>
      <c r="N44" s="9"/>
      <c r="O44" s="5"/>
    </row>
    <row r="45" spans="2:15" ht="18.75" x14ac:dyDescent="0.3">
      <c r="B45" s="34">
        <v>40</v>
      </c>
      <c r="C45" s="50" t="s">
        <v>146</v>
      </c>
      <c r="D45" s="33">
        <v>450000</v>
      </c>
      <c r="E45" s="33">
        <v>59985</v>
      </c>
      <c r="F45" s="32">
        <f t="shared" si="6"/>
        <v>509985</v>
      </c>
      <c r="G45" s="34">
        <v>50</v>
      </c>
      <c r="H45" s="32">
        <v>10199.700000000001</v>
      </c>
      <c r="I45" s="81">
        <v>17</v>
      </c>
      <c r="J45" s="35">
        <f t="shared" si="7"/>
        <v>33</v>
      </c>
      <c r="K45" s="36">
        <f t="shared" ref="K45:K54" si="10">I45*H45</f>
        <v>173394.90000000002</v>
      </c>
      <c r="L45" s="36">
        <f t="shared" si="9"/>
        <v>336590.1</v>
      </c>
      <c r="M45" s="31"/>
      <c r="N45" s="9"/>
      <c r="O45" s="5"/>
    </row>
    <row r="46" spans="2:15" ht="18.75" x14ac:dyDescent="0.3">
      <c r="B46" s="34">
        <v>41</v>
      </c>
      <c r="C46" s="50" t="s">
        <v>231</v>
      </c>
      <c r="D46" s="33">
        <v>450000</v>
      </c>
      <c r="E46" s="33">
        <v>59985</v>
      </c>
      <c r="F46" s="32">
        <f t="shared" si="6"/>
        <v>509985</v>
      </c>
      <c r="G46" s="34">
        <v>50</v>
      </c>
      <c r="H46" s="32">
        <v>10199.700000000001</v>
      </c>
      <c r="I46" s="81">
        <v>17</v>
      </c>
      <c r="J46" s="35">
        <f t="shared" si="7"/>
        <v>33</v>
      </c>
      <c r="K46" s="36">
        <f t="shared" si="10"/>
        <v>173394.90000000002</v>
      </c>
      <c r="L46" s="36">
        <f t="shared" si="9"/>
        <v>336590.1</v>
      </c>
      <c r="M46" s="31"/>
      <c r="N46" s="9"/>
      <c r="O46" s="5"/>
    </row>
    <row r="47" spans="2:15" ht="18.75" x14ac:dyDescent="0.3">
      <c r="B47" s="34">
        <v>42</v>
      </c>
      <c r="C47" s="50" t="s">
        <v>17</v>
      </c>
      <c r="D47" s="33">
        <v>450000</v>
      </c>
      <c r="E47" s="33">
        <v>59985</v>
      </c>
      <c r="F47" s="32">
        <f t="shared" si="6"/>
        <v>509985</v>
      </c>
      <c r="G47" s="34">
        <v>50</v>
      </c>
      <c r="H47" s="32">
        <v>10199.700000000001</v>
      </c>
      <c r="I47" s="81">
        <v>12</v>
      </c>
      <c r="J47" s="35">
        <f t="shared" si="7"/>
        <v>38</v>
      </c>
      <c r="K47" s="36">
        <f t="shared" si="10"/>
        <v>122396.40000000001</v>
      </c>
      <c r="L47" s="36">
        <f t="shared" si="9"/>
        <v>387588.6</v>
      </c>
      <c r="M47" s="31"/>
      <c r="N47" s="9"/>
      <c r="O47" s="5"/>
    </row>
    <row r="48" spans="2:15" ht="18.75" x14ac:dyDescent="0.3">
      <c r="B48" s="34">
        <v>43</v>
      </c>
      <c r="C48" s="50" t="s">
        <v>22</v>
      </c>
      <c r="D48" s="33">
        <v>450000</v>
      </c>
      <c r="E48" s="33">
        <v>59985</v>
      </c>
      <c r="F48" s="32">
        <f t="shared" si="6"/>
        <v>509985</v>
      </c>
      <c r="G48" s="34">
        <v>50</v>
      </c>
      <c r="H48" s="32">
        <v>10199.700000000001</v>
      </c>
      <c r="I48" s="81">
        <v>9</v>
      </c>
      <c r="J48" s="35">
        <f t="shared" si="7"/>
        <v>41</v>
      </c>
      <c r="K48" s="36">
        <f t="shared" si="10"/>
        <v>91797.3</v>
      </c>
      <c r="L48" s="36">
        <f t="shared" si="9"/>
        <v>418187.7</v>
      </c>
      <c r="M48" s="31"/>
      <c r="N48" s="31"/>
      <c r="O48" s="5"/>
    </row>
    <row r="49" spans="2:15" ht="18.75" x14ac:dyDescent="0.3">
      <c r="B49" s="34">
        <v>44</v>
      </c>
      <c r="C49" s="50" t="s">
        <v>29</v>
      </c>
      <c r="D49" s="33">
        <v>450000</v>
      </c>
      <c r="E49" s="33">
        <v>59985</v>
      </c>
      <c r="F49" s="32">
        <f t="shared" si="6"/>
        <v>509985</v>
      </c>
      <c r="G49" s="34">
        <v>50</v>
      </c>
      <c r="H49" s="32">
        <v>10199.700000000001</v>
      </c>
      <c r="I49" s="81">
        <v>6</v>
      </c>
      <c r="J49" s="35">
        <f t="shared" si="7"/>
        <v>44</v>
      </c>
      <c r="K49" s="36">
        <f t="shared" si="10"/>
        <v>61198.200000000004</v>
      </c>
      <c r="L49" s="36">
        <f t="shared" si="9"/>
        <v>448786.8</v>
      </c>
      <c r="M49" s="31"/>
      <c r="N49" s="9"/>
      <c r="O49" s="5"/>
    </row>
    <row r="50" spans="2:15" ht="18.75" x14ac:dyDescent="0.3">
      <c r="B50" s="34">
        <v>45</v>
      </c>
      <c r="C50" s="29" t="s">
        <v>35</v>
      </c>
      <c r="D50" s="33">
        <v>450000</v>
      </c>
      <c r="E50" s="33">
        <v>59985</v>
      </c>
      <c r="F50" s="32">
        <f t="shared" si="6"/>
        <v>509985</v>
      </c>
      <c r="G50" s="34">
        <v>50</v>
      </c>
      <c r="H50" s="32">
        <v>10199.700000000001</v>
      </c>
      <c r="I50" s="81">
        <v>7</v>
      </c>
      <c r="J50" s="35">
        <f t="shared" si="7"/>
        <v>43</v>
      </c>
      <c r="K50" s="36">
        <f t="shared" si="10"/>
        <v>71397.900000000009</v>
      </c>
      <c r="L50" s="36">
        <f t="shared" si="9"/>
        <v>438587.1</v>
      </c>
      <c r="M50" s="31"/>
      <c r="N50" s="9"/>
      <c r="O50" s="5"/>
    </row>
    <row r="51" spans="2:15" ht="18.75" x14ac:dyDescent="0.3">
      <c r="B51" s="34">
        <v>46</v>
      </c>
      <c r="C51" s="29" t="s">
        <v>48</v>
      </c>
      <c r="D51" s="33">
        <v>450000</v>
      </c>
      <c r="E51" s="33">
        <v>59985</v>
      </c>
      <c r="F51" s="32">
        <f t="shared" si="6"/>
        <v>509985</v>
      </c>
      <c r="G51" s="34">
        <v>50</v>
      </c>
      <c r="H51" s="32">
        <v>10199.700000000001</v>
      </c>
      <c r="I51" s="81">
        <v>4</v>
      </c>
      <c r="J51" s="35">
        <f t="shared" si="7"/>
        <v>46</v>
      </c>
      <c r="K51" s="36">
        <f t="shared" si="10"/>
        <v>40798.800000000003</v>
      </c>
      <c r="L51" s="36">
        <f t="shared" si="9"/>
        <v>469186.2</v>
      </c>
      <c r="M51" s="31"/>
      <c r="N51" s="9"/>
      <c r="O51" s="5"/>
    </row>
    <row r="52" spans="2:15" ht="18.75" x14ac:dyDescent="0.3">
      <c r="B52" s="34">
        <v>47</v>
      </c>
      <c r="C52" s="29" t="s">
        <v>63</v>
      </c>
      <c r="D52" s="33">
        <v>450000</v>
      </c>
      <c r="E52" s="33">
        <v>59985</v>
      </c>
      <c r="F52" s="32">
        <f t="shared" si="6"/>
        <v>509985</v>
      </c>
      <c r="G52" s="34">
        <v>50</v>
      </c>
      <c r="H52" s="32">
        <v>10199.700000000001</v>
      </c>
      <c r="I52" s="81">
        <v>2</v>
      </c>
      <c r="J52" s="35">
        <f t="shared" si="7"/>
        <v>48</v>
      </c>
      <c r="K52" s="36">
        <f t="shared" si="10"/>
        <v>20399.400000000001</v>
      </c>
      <c r="L52" s="36">
        <f t="shared" si="9"/>
        <v>489585.6</v>
      </c>
      <c r="M52" s="31"/>
      <c r="N52" s="9"/>
      <c r="O52" s="5"/>
    </row>
    <row r="53" spans="2:15" ht="18.75" x14ac:dyDescent="0.3">
      <c r="B53" s="34">
        <v>48</v>
      </c>
      <c r="C53" s="29" t="s">
        <v>65</v>
      </c>
      <c r="D53" s="33">
        <v>450000</v>
      </c>
      <c r="E53" s="33">
        <v>59985</v>
      </c>
      <c r="F53" s="32">
        <f t="shared" si="6"/>
        <v>509985</v>
      </c>
      <c r="G53" s="34">
        <v>50</v>
      </c>
      <c r="H53" s="32">
        <v>10199.700000000001</v>
      </c>
      <c r="I53" s="81">
        <v>2</v>
      </c>
      <c r="J53" s="35">
        <f t="shared" si="7"/>
        <v>48</v>
      </c>
      <c r="K53" s="36">
        <f t="shared" si="10"/>
        <v>20399.400000000001</v>
      </c>
      <c r="L53" s="36">
        <f t="shared" si="9"/>
        <v>489585.6</v>
      </c>
      <c r="M53" s="31"/>
      <c r="N53" s="9"/>
      <c r="O53" s="5"/>
    </row>
    <row r="54" spans="2:15" ht="18.75" x14ac:dyDescent="0.3">
      <c r="B54" s="34">
        <v>49</v>
      </c>
      <c r="C54" s="29" t="s">
        <v>59</v>
      </c>
      <c r="D54" s="33">
        <v>450000</v>
      </c>
      <c r="E54" s="33">
        <v>59985</v>
      </c>
      <c r="F54" s="32">
        <f t="shared" si="6"/>
        <v>509985</v>
      </c>
      <c r="G54" s="34">
        <v>50</v>
      </c>
      <c r="H54" s="32">
        <v>10199.700000000001</v>
      </c>
      <c r="I54" s="81">
        <v>2</v>
      </c>
      <c r="J54" s="35">
        <f t="shared" si="7"/>
        <v>48</v>
      </c>
      <c r="K54" s="36">
        <f t="shared" si="10"/>
        <v>20399.400000000001</v>
      </c>
      <c r="L54" s="36">
        <f t="shared" si="9"/>
        <v>489585.6</v>
      </c>
      <c r="M54" s="31"/>
      <c r="N54" s="9"/>
      <c r="O54" s="5"/>
    </row>
    <row r="55" spans="2:15" ht="18.75" x14ac:dyDescent="0.3">
      <c r="B55" s="34">
        <v>50</v>
      </c>
      <c r="C55" s="31" t="s">
        <v>189</v>
      </c>
      <c r="D55" s="32">
        <v>330000</v>
      </c>
      <c r="E55" s="33">
        <v>43989</v>
      </c>
      <c r="F55" s="32">
        <f t="shared" si="6"/>
        <v>373989</v>
      </c>
      <c r="G55" s="34">
        <v>50</v>
      </c>
      <c r="H55" s="32">
        <v>7479.78</v>
      </c>
      <c r="I55" s="34">
        <v>43</v>
      </c>
      <c r="J55" s="35">
        <f t="shared" si="7"/>
        <v>7</v>
      </c>
      <c r="K55" s="33">
        <f>H55*I55</f>
        <v>321630.53999999998</v>
      </c>
      <c r="L55" s="32">
        <f t="shared" si="9"/>
        <v>52358.460000000021</v>
      </c>
      <c r="M55" s="53"/>
      <c r="N55" s="9"/>
      <c r="O55" s="5"/>
    </row>
    <row r="56" spans="2:15" ht="18.75" x14ac:dyDescent="0.3">
      <c r="B56" s="34">
        <v>51</v>
      </c>
      <c r="C56" s="31" t="s">
        <v>79</v>
      </c>
      <c r="D56" s="32">
        <v>330000</v>
      </c>
      <c r="E56" s="33">
        <v>43989</v>
      </c>
      <c r="F56" s="32">
        <f t="shared" si="6"/>
        <v>373989</v>
      </c>
      <c r="G56" s="34">
        <v>50</v>
      </c>
      <c r="H56" s="32">
        <v>7479.78</v>
      </c>
      <c r="I56" s="34">
        <v>24</v>
      </c>
      <c r="J56" s="35">
        <f t="shared" si="7"/>
        <v>26</v>
      </c>
      <c r="K56" s="32">
        <f>H56*I56</f>
        <v>179514.72</v>
      </c>
      <c r="L56" s="36">
        <f t="shared" si="9"/>
        <v>194474.28</v>
      </c>
      <c r="M56" s="31"/>
      <c r="N56" s="9"/>
      <c r="O56" s="5"/>
    </row>
    <row r="57" spans="2:15" ht="18.75" x14ac:dyDescent="0.3">
      <c r="B57" s="34">
        <v>52</v>
      </c>
      <c r="C57" s="31" t="s">
        <v>83</v>
      </c>
      <c r="D57" s="32">
        <v>330000</v>
      </c>
      <c r="E57" s="33">
        <v>43989</v>
      </c>
      <c r="F57" s="32">
        <f t="shared" si="6"/>
        <v>373989</v>
      </c>
      <c r="G57" s="34">
        <v>50</v>
      </c>
      <c r="H57" s="32">
        <v>7479.78</v>
      </c>
      <c r="I57" s="34">
        <v>28</v>
      </c>
      <c r="J57" s="35">
        <f t="shared" si="7"/>
        <v>22</v>
      </c>
      <c r="K57" s="36">
        <f>H57*I57</f>
        <v>209433.84</v>
      </c>
      <c r="L57" s="36">
        <f t="shared" si="9"/>
        <v>164555.16</v>
      </c>
      <c r="M57" s="31"/>
      <c r="N57" s="9"/>
      <c r="O57" s="5"/>
    </row>
    <row r="58" spans="2:15" ht="18.75" x14ac:dyDescent="0.3">
      <c r="B58" s="34">
        <v>53</v>
      </c>
      <c r="C58" s="31" t="s">
        <v>95</v>
      </c>
      <c r="D58" s="32">
        <v>330000</v>
      </c>
      <c r="E58" s="33">
        <v>43989</v>
      </c>
      <c r="F58" s="32">
        <f t="shared" si="6"/>
        <v>373989</v>
      </c>
      <c r="G58" s="34">
        <v>50</v>
      </c>
      <c r="H58" s="32">
        <v>7479.78</v>
      </c>
      <c r="I58" s="34">
        <v>24</v>
      </c>
      <c r="J58" s="35">
        <f t="shared" si="7"/>
        <v>26</v>
      </c>
      <c r="K58" s="36">
        <f>H58*I58</f>
        <v>179514.72</v>
      </c>
      <c r="L58" s="32">
        <f t="shared" si="9"/>
        <v>194474.28</v>
      </c>
      <c r="M58" s="31"/>
      <c r="N58" s="9"/>
      <c r="O58" s="5"/>
    </row>
    <row r="59" spans="2:15" ht="18.75" x14ac:dyDescent="0.3">
      <c r="B59" s="34">
        <v>54</v>
      </c>
      <c r="C59" s="31" t="s">
        <v>96</v>
      </c>
      <c r="D59" s="32">
        <v>330000</v>
      </c>
      <c r="E59" s="33">
        <v>43989</v>
      </c>
      <c r="F59" s="32">
        <f t="shared" si="6"/>
        <v>373989</v>
      </c>
      <c r="G59" s="34">
        <v>50</v>
      </c>
      <c r="H59" s="36">
        <v>7479.78</v>
      </c>
      <c r="I59" s="34">
        <v>28</v>
      </c>
      <c r="J59" s="35">
        <f t="shared" si="7"/>
        <v>22</v>
      </c>
      <c r="K59" s="36">
        <f>H59*I59</f>
        <v>209433.84</v>
      </c>
      <c r="L59" s="36">
        <f t="shared" si="9"/>
        <v>164555.16</v>
      </c>
      <c r="M59" s="31"/>
      <c r="N59" s="32"/>
      <c r="O59" s="5"/>
    </row>
    <row r="60" spans="2:15" ht="18.75" x14ac:dyDescent="0.3">
      <c r="B60" s="34">
        <v>55</v>
      </c>
      <c r="C60" s="50" t="s">
        <v>18</v>
      </c>
      <c r="D60" s="32">
        <v>330000</v>
      </c>
      <c r="E60" s="33">
        <v>43989</v>
      </c>
      <c r="F60" s="32">
        <f t="shared" si="6"/>
        <v>373989</v>
      </c>
      <c r="G60" s="34">
        <v>50</v>
      </c>
      <c r="H60" s="36">
        <v>7479.74</v>
      </c>
      <c r="I60" s="81">
        <v>12</v>
      </c>
      <c r="J60" s="35">
        <f t="shared" si="7"/>
        <v>38</v>
      </c>
      <c r="K60" s="36">
        <f>I60*H60</f>
        <v>89756.88</v>
      </c>
      <c r="L60" s="36">
        <f t="shared" si="9"/>
        <v>284232.12</v>
      </c>
      <c r="M60" s="31"/>
      <c r="N60" s="9"/>
      <c r="O60" s="5"/>
    </row>
    <row r="61" spans="2:15" ht="18.75" x14ac:dyDescent="0.3">
      <c r="B61" s="34">
        <v>56</v>
      </c>
      <c r="C61" s="31" t="s">
        <v>233</v>
      </c>
      <c r="D61" s="32">
        <v>330000</v>
      </c>
      <c r="E61" s="33">
        <v>43989</v>
      </c>
      <c r="F61" s="32">
        <f t="shared" si="6"/>
        <v>373989</v>
      </c>
      <c r="G61" s="34">
        <v>50</v>
      </c>
      <c r="H61" s="36">
        <v>7479.78</v>
      </c>
      <c r="I61" s="34">
        <v>28</v>
      </c>
      <c r="J61" s="35">
        <f t="shared" si="7"/>
        <v>22</v>
      </c>
      <c r="K61" s="36">
        <f>H61*I61</f>
        <v>209433.84</v>
      </c>
      <c r="L61" s="36">
        <f t="shared" si="9"/>
        <v>164555.16</v>
      </c>
      <c r="M61" s="31"/>
      <c r="N61" s="9"/>
      <c r="O61" s="5"/>
    </row>
    <row r="62" spans="2:15" ht="18.75" x14ac:dyDescent="0.3">
      <c r="B62" s="34">
        <v>57</v>
      </c>
      <c r="C62" s="31" t="s">
        <v>220</v>
      </c>
      <c r="D62" s="32">
        <v>330000</v>
      </c>
      <c r="E62" s="33">
        <v>43989</v>
      </c>
      <c r="F62" s="32">
        <f t="shared" si="6"/>
        <v>373989</v>
      </c>
      <c r="G62" s="34">
        <v>50</v>
      </c>
      <c r="H62" s="32">
        <v>7479.78</v>
      </c>
      <c r="I62" s="34">
        <v>28</v>
      </c>
      <c r="J62" s="35">
        <f t="shared" si="7"/>
        <v>22</v>
      </c>
      <c r="K62" s="36">
        <f>H62*I62</f>
        <v>209433.84</v>
      </c>
      <c r="L62" s="32">
        <f t="shared" si="9"/>
        <v>164555.16</v>
      </c>
      <c r="M62" s="31"/>
      <c r="N62" s="9"/>
      <c r="O62" s="5"/>
    </row>
    <row r="63" spans="2:15" ht="18.75" x14ac:dyDescent="0.3">
      <c r="B63" s="34">
        <v>58</v>
      </c>
      <c r="C63" s="31" t="s">
        <v>135</v>
      </c>
      <c r="D63" s="32">
        <v>330000</v>
      </c>
      <c r="E63" s="33">
        <v>43989</v>
      </c>
      <c r="F63" s="32">
        <f t="shared" si="6"/>
        <v>373989</v>
      </c>
      <c r="G63" s="34">
        <v>50</v>
      </c>
      <c r="H63" s="32">
        <v>7479.78</v>
      </c>
      <c r="I63" s="34">
        <v>49</v>
      </c>
      <c r="J63" s="35">
        <f t="shared" si="7"/>
        <v>1</v>
      </c>
      <c r="K63" s="36">
        <f>H63*I63</f>
        <v>366509.22</v>
      </c>
      <c r="L63" s="32">
        <f t="shared" si="9"/>
        <v>7479.7800000000279</v>
      </c>
      <c r="M63" s="31"/>
      <c r="N63" s="9"/>
      <c r="O63" s="5"/>
    </row>
    <row r="64" spans="2:15" ht="18.75" x14ac:dyDescent="0.3">
      <c r="B64" s="34">
        <v>59</v>
      </c>
      <c r="C64" s="31" t="s">
        <v>140</v>
      </c>
      <c r="D64" s="32">
        <v>330000</v>
      </c>
      <c r="E64" s="33">
        <v>43989</v>
      </c>
      <c r="F64" s="32">
        <f t="shared" si="6"/>
        <v>373989</v>
      </c>
      <c r="G64" s="34">
        <v>50</v>
      </c>
      <c r="H64" s="36">
        <v>7479.78</v>
      </c>
      <c r="I64" s="34">
        <v>28</v>
      </c>
      <c r="J64" s="35">
        <f t="shared" si="7"/>
        <v>22</v>
      </c>
      <c r="K64" s="36">
        <f>H64*I64</f>
        <v>209433.84</v>
      </c>
      <c r="L64" s="36">
        <f t="shared" si="9"/>
        <v>164555.16</v>
      </c>
      <c r="M64" s="31"/>
      <c r="N64" s="9"/>
      <c r="O64" s="5"/>
    </row>
    <row r="65" spans="2:15" ht="18.75" x14ac:dyDescent="0.3">
      <c r="B65" s="34">
        <v>60</v>
      </c>
      <c r="C65" s="31" t="s">
        <v>175</v>
      </c>
      <c r="D65" s="32">
        <v>330000</v>
      </c>
      <c r="E65" s="33">
        <v>43989</v>
      </c>
      <c r="F65" s="32">
        <f t="shared" si="6"/>
        <v>373989</v>
      </c>
      <c r="G65" s="34">
        <v>50</v>
      </c>
      <c r="H65" s="36">
        <v>7479.78</v>
      </c>
      <c r="I65" s="34">
        <v>23</v>
      </c>
      <c r="J65" s="35">
        <f t="shared" si="7"/>
        <v>27</v>
      </c>
      <c r="K65" s="36">
        <f>H65*I65</f>
        <v>172034.94</v>
      </c>
      <c r="L65" s="36">
        <f t="shared" si="9"/>
        <v>201954.06</v>
      </c>
      <c r="M65" s="31"/>
      <c r="N65" s="9"/>
      <c r="O65" s="5"/>
    </row>
    <row r="66" spans="2:15" ht="18.75" x14ac:dyDescent="0.3">
      <c r="B66" s="34">
        <v>61</v>
      </c>
      <c r="C66" s="50" t="s">
        <v>149</v>
      </c>
      <c r="D66" s="33">
        <v>330000</v>
      </c>
      <c r="E66" s="33">
        <v>43989</v>
      </c>
      <c r="F66" s="32">
        <v>373989</v>
      </c>
      <c r="G66" s="34">
        <v>50</v>
      </c>
      <c r="H66" s="32">
        <v>7478.78</v>
      </c>
      <c r="I66" s="81">
        <v>17</v>
      </c>
      <c r="J66" s="35">
        <f t="shared" si="7"/>
        <v>33</v>
      </c>
      <c r="K66" s="36">
        <f t="shared" ref="K66:K88" si="11">I66*H66</f>
        <v>127139.26</v>
      </c>
      <c r="L66" s="36">
        <f t="shared" si="9"/>
        <v>246849.74</v>
      </c>
      <c r="M66" s="31"/>
      <c r="N66" s="9"/>
      <c r="O66" s="5"/>
    </row>
    <row r="67" spans="2:15" ht="18.75" x14ac:dyDescent="0.3">
      <c r="B67" s="34">
        <v>62</v>
      </c>
      <c r="C67" s="50" t="s">
        <v>150</v>
      </c>
      <c r="D67" s="33">
        <v>330000</v>
      </c>
      <c r="E67" s="33">
        <v>43989</v>
      </c>
      <c r="F67" s="32">
        <f t="shared" ref="F67:F98" si="12">D67+E67</f>
        <v>373989</v>
      </c>
      <c r="G67" s="34">
        <v>50</v>
      </c>
      <c r="H67" s="32">
        <v>7479.78</v>
      </c>
      <c r="I67" s="81">
        <v>17</v>
      </c>
      <c r="J67" s="35">
        <f t="shared" si="7"/>
        <v>33</v>
      </c>
      <c r="K67" s="36">
        <f t="shared" si="11"/>
        <v>127156.26</v>
      </c>
      <c r="L67" s="36">
        <f t="shared" si="9"/>
        <v>246832.74</v>
      </c>
      <c r="M67" s="31"/>
      <c r="N67" s="9"/>
      <c r="O67" s="5"/>
    </row>
    <row r="68" spans="2:15" ht="18.75" x14ac:dyDescent="0.3">
      <c r="B68" s="34">
        <v>63</v>
      </c>
      <c r="C68" s="50" t="s">
        <v>209</v>
      </c>
      <c r="D68" s="33">
        <v>330000</v>
      </c>
      <c r="E68" s="33">
        <v>43989</v>
      </c>
      <c r="F68" s="32">
        <f t="shared" si="12"/>
        <v>373989</v>
      </c>
      <c r="G68" s="34">
        <v>50</v>
      </c>
      <c r="H68" s="32">
        <v>7479.78</v>
      </c>
      <c r="I68" s="81">
        <v>14</v>
      </c>
      <c r="J68" s="35">
        <f t="shared" si="7"/>
        <v>36</v>
      </c>
      <c r="K68" s="36">
        <f t="shared" si="11"/>
        <v>104716.92</v>
      </c>
      <c r="L68" s="36">
        <f t="shared" si="9"/>
        <v>269272.08</v>
      </c>
      <c r="M68" s="31"/>
      <c r="N68" s="9"/>
      <c r="O68" s="5"/>
    </row>
    <row r="69" spans="2:15" ht="18.75" x14ac:dyDescent="0.3">
      <c r="B69" s="34">
        <v>64</v>
      </c>
      <c r="C69" s="50" t="s">
        <v>210</v>
      </c>
      <c r="D69" s="33">
        <v>330000</v>
      </c>
      <c r="E69" s="33">
        <v>43989</v>
      </c>
      <c r="F69" s="32">
        <f t="shared" si="12"/>
        <v>373989</v>
      </c>
      <c r="G69" s="34">
        <v>50</v>
      </c>
      <c r="H69" s="32">
        <v>7479.78</v>
      </c>
      <c r="I69" s="81">
        <v>14</v>
      </c>
      <c r="J69" s="35">
        <f t="shared" si="7"/>
        <v>36</v>
      </c>
      <c r="K69" s="36">
        <f t="shared" si="11"/>
        <v>104716.92</v>
      </c>
      <c r="L69" s="36">
        <f t="shared" si="9"/>
        <v>269272.08</v>
      </c>
      <c r="M69" s="31"/>
      <c r="N69" s="9"/>
      <c r="O69" s="5"/>
    </row>
    <row r="70" spans="2:15" ht="18.75" x14ac:dyDescent="0.3">
      <c r="B70" s="34">
        <v>65</v>
      </c>
      <c r="C70" s="50" t="s">
        <v>211</v>
      </c>
      <c r="D70" s="33">
        <v>330000</v>
      </c>
      <c r="E70" s="33">
        <v>43989</v>
      </c>
      <c r="F70" s="32">
        <f t="shared" si="12"/>
        <v>373989</v>
      </c>
      <c r="G70" s="34">
        <v>50</v>
      </c>
      <c r="H70" s="32">
        <v>7479.78</v>
      </c>
      <c r="I70" s="81">
        <v>14</v>
      </c>
      <c r="J70" s="35">
        <f t="shared" ref="J70:J101" si="13">G70-I70</f>
        <v>36</v>
      </c>
      <c r="K70" s="36">
        <f t="shared" si="11"/>
        <v>104716.92</v>
      </c>
      <c r="L70" s="36">
        <f t="shared" ref="L70:L101" si="14">F70-K70</f>
        <v>269272.08</v>
      </c>
      <c r="M70" s="31"/>
      <c r="N70" s="9"/>
      <c r="O70" s="5"/>
    </row>
    <row r="71" spans="2:15" ht="18.75" x14ac:dyDescent="0.3">
      <c r="B71" s="34">
        <v>66</v>
      </c>
      <c r="C71" s="50" t="s">
        <v>212</v>
      </c>
      <c r="D71" s="33">
        <v>330000</v>
      </c>
      <c r="E71" s="33">
        <v>43989</v>
      </c>
      <c r="F71" s="32">
        <f t="shared" si="12"/>
        <v>373989</v>
      </c>
      <c r="G71" s="34">
        <v>50</v>
      </c>
      <c r="H71" s="32">
        <v>7479.78</v>
      </c>
      <c r="I71" s="81">
        <v>13</v>
      </c>
      <c r="J71" s="35">
        <f t="shared" si="13"/>
        <v>37</v>
      </c>
      <c r="K71" s="36">
        <f t="shared" si="11"/>
        <v>97237.14</v>
      </c>
      <c r="L71" s="36">
        <f t="shared" si="14"/>
        <v>276751.86</v>
      </c>
      <c r="M71" s="31"/>
      <c r="N71" s="9"/>
      <c r="O71" s="5"/>
    </row>
    <row r="72" spans="2:15" ht="18.75" x14ac:dyDescent="0.3">
      <c r="B72" s="34">
        <v>67</v>
      </c>
      <c r="C72" s="50" t="s">
        <v>13</v>
      </c>
      <c r="D72" s="33">
        <v>330000</v>
      </c>
      <c r="E72" s="33">
        <v>43989</v>
      </c>
      <c r="F72" s="32">
        <f t="shared" si="12"/>
        <v>373989</v>
      </c>
      <c r="G72" s="34">
        <v>50</v>
      </c>
      <c r="H72" s="32">
        <v>7479.78</v>
      </c>
      <c r="I72" s="81">
        <v>14</v>
      </c>
      <c r="J72" s="35">
        <f t="shared" si="13"/>
        <v>36</v>
      </c>
      <c r="K72" s="36">
        <f t="shared" si="11"/>
        <v>104716.92</v>
      </c>
      <c r="L72" s="36">
        <f t="shared" si="14"/>
        <v>269272.08</v>
      </c>
      <c r="M72" s="31"/>
      <c r="N72" s="9"/>
      <c r="O72" s="5"/>
    </row>
    <row r="73" spans="2:15" ht="18.75" x14ac:dyDescent="0.3">
      <c r="B73" s="34">
        <v>68</v>
      </c>
      <c r="C73" s="50" t="s">
        <v>19</v>
      </c>
      <c r="D73" s="32">
        <v>330000</v>
      </c>
      <c r="E73" s="33">
        <v>43989</v>
      </c>
      <c r="F73" s="32">
        <f t="shared" si="12"/>
        <v>373989</v>
      </c>
      <c r="G73" s="34">
        <v>50</v>
      </c>
      <c r="H73" s="36">
        <v>7479.74</v>
      </c>
      <c r="I73" s="81">
        <v>12</v>
      </c>
      <c r="J73" s="35">
        <f t="shared" si="13"/>
        <v>38</v>
      </c>
      <c r="K73" s="36">
        <f t="shared" si="11"/>
        <v>89756.88</v>
      </c>
      <c r="L73" s="36">
        <f t="shared" si="14"/>
        <v>284232.12</v>
      </c>
      <c r="M73" s="31"/>
      <c r="N73" s="9"/>
      <c r="O73" s="5"/>
    </row>
    <row r="74" spans="2:15" ht="18.75" x14ac:dyDescent="0.3">
      <c r="B74" s="34">
        <v>69</v>
      </c>
      <c r="C74" s="50" t="s">
        <v>215</v>
      </c>
      <c r="D74" s="32">
        <v>330000</v>
      </c>
      <c r="E74" s="33">
        <v>43989</v>
      </c>
      <c r="F74" s="32">
        <f t="shared" si="12"/>
        <v>373989</v>
      </c>
      <c r="G74" s="34">
        <v>50</v>
      </c>
      <c r="H74" s="36">
        <v>7479.78</v>
      </c>
      <c r="I74" s="81">
        <v>9</v>
      </c>
      <c r="J74" s="35">
        <f t="shared" si="13"/>
        <v>41</v>
      </c>
      <c r="K74" s="36">
        <f t="shared" si="11"/>
        <v>67318.02</v>
      </c>
      <c r="L74" s="36">
        <f t="shared" si="14"/>
        <v>306670.98</v>
      </c>
      <c r="M74" s="31"/>
      <c r="N74" s="9"/>
      <c r="O74" s="5"/>
    </row>
    <row r="75" spans="2:15" ht="18.75" x14ac:dyDescent="0.3">
      <c r="B75" s="34">
        <v>70</v>
      </c>
      <c r="C75" s="50" t="s">
        <v>25</v>
      </c>
      <c r="D75" s="32">
        <v>330000</v>
      </c>
      <c r="E75" s="33">
        <v>43989</v>
      </c>
      <c r="F75" s="32">
        <f t="shared" si="12"/>
        <v>373989</v>
      </c>
      <c r="G75" s="34">
        <v>50</v>
      </c>
      <c r="H75" s="36">
        <v>7479.78</v>
      </c>
      <c r="I75" s="81">
        <v>7</v>
      </c>
      <c r="J75" s="35">
        <f t="shared" si="13"/>
        <v>43</v>
      </c>
      <c r="K75" s="36">
        <f t="shared" si="11"/>
        <v>52358.46</v>
      </c>
      <c r="L75" s="36">
        <f t="shared" si="14"/>
        <v>321630.53999999998</v>
      </c>
      <c r="M75" s="31"/>
      <c r="N75" s="9"/>
      <c r="O75" s="5"/>
    </row>
    <row r="76" spans="2:15" ht="18.75" x14ac:dyDescent="0.3">
      <c r="B76" s="34">
        <v>71</v>
      </c>
      <c r="C76" s="50" t="s">
        <v>26</v>
      </c>
      <c r="D76" s="32">
        <v>330000</v>
      </c>
      <c r="E76" s="33">
        <v>43989</v>
      </c>
      <c r="F76" s="32">
        <f t="shared" si="12"/>
        <v>373989</v>
      </c>
      <c r="G76" s="34">
        <v>50</v>
      </c>
      <c r="H76" s="36">
        <v>7479.78</v>
      </c>
      <c r="I76" s="81">
        <v>7</v>
      </c>
      <c r="J76" s="35">
        <f t="shared" si="13"/>
        <v>43</v>
      </c>
      <c r="K76" s="36">
        <f t="shared" si="11"/>
        <v>52358.46</v>
      </c>
      <c r="L76" s="36">
        <f t="shared" si="14"/>
        <v>321630.53999999998</v>
      </c>
      <c r="M76" s="31"/>
      <c r="N76" s="9"/>
      <c r="O76" s="5"/>
    </row>
    <row r="77" spans="2:15" ht="18.75" x14ac:dyDescent="0.3">
      <c r="B77" s="34">
        <v>72</v>
      </c>
      <c r="C77" s="50" t="s">
        <v>30</v>
      </c>
      <c r="D77" s="32">
        <v>330000</v>
      </c>
      <c r="E77" s="33">
        <v>43989</v>
      </c>
      <c r="F77" s="32">
        <f t="shared" si="12"/>
        <v>373989</v>
      </c>
      <c r="G77" s="34">
        <v>50</v>
      </c>
      <c r="H77" s="36">
        <v>7479.78</v>
      </c>
      <c r="I77" s="81">
        <v>6</v>
      </c>
      <c r="J77" s="35">
        <f t="shared" si="13"/>
        <v>44</v>
      </c>
      <c r="K77" s="36">
        <f t="shared" si="11"/>
        <v>44878.68</v>
      </c>
      <c r="L77" s="36">
        <f t="shared" si="14"/>
        <v>329110.32</v>
      </c>
      <c r="M77" s="31"/>
      <c r="N77" s="9"/>
      <c r="O77" s="5"/>
    </row>
    <row r="78" spans="2:15" ht="18.75" x14ac:dyDescent="0.3">
      <c r="B78" s="34">
        <v>73</v>
      </c>
      <c r="C78" s="29" t="s">
        <v>36</v>
      </c>
      <c r="D78" s="32">
        <v>330000</v>
      </c>
      <c r="E78" s="33">
        <v>43989</v>
      </c>
      <c r="F78" s="32">
        <f t="shared" si="12"/>
        <v>373989</v>
      </c>
      <c r="G78" s="34">
        <v>50</v>
      </c>
      <c r="H78" s="36">
        <v>7479.78</v>
      </c>
      <c r="I78" s="81">
        <v>6</v>
      </c>
      <c r="J78" s="35">
        <f t="shared" si="13"/>
        <v>44</v>
      </c>
      <c r="K78" s="36">
        <f t="shared" si="11"/>
        <v>44878.68</v>
      </c>
      <c r="L78" s="36">
        <f t="shared" si="14"/>
        <v>329110.32</v>
      </c>
      <c r="M78" s="31"/>
      <c r="N78" s="9"/>
      <c r="O78" s="5"/>
    </row>
    <row r="79" spans="2:15" ht="18.75" x14ac:dyDescent="0.3">
      <c r="B79" s="34">
        <v>74</v>
      </c>
      <c r="C79" s="29" t="s">
        <v>37</v>
      </c>
      <c r="D79" s="32">
        <v>330000</v>
      </c>
      <c r="E79" s="33">
        <v>43989</v>
      </c>
      <c r="F79" s="32">
        <f t="shared" si="12"/>
        <v>373989</v>
      </c>
      <c r="G79" s="34">
        <v>50</v>
      </c>
      <c r="H79" s="36">
        <v>7479.78</v>
      </c>
      <c r="I79" s="81">
        <v>7</v>
      </c>
      <c r="J79" s="35">
        <f t="shared" si="13"/>
        <v>43</v>
      </c>
      <c r="K79" s="36">
        <f t="shared" si="11"/>
        <v>52358.46</v>
      </c>
      <c r="L79" s="36">
        <f t="shared" si="14"/>
        <v>321630.53999999998</v>
      </c>
      <c r="M79" s="31"/>
      <c r="N79" s="9"/>
      <c r="O79" s="5"/>
    </row>
    <row r="80" spans="2:15" ht="18.75" x14ac:dyDescent="0.3">
      <c r="B80" s="34">
        <v>75</v>
      </c>
      <c r="C80" s="29" t="s">
        <v>40</v>
      </c>
      <c r="D80" s="32">
        <v>330000</v>
      </c>
      <c r="E80" s="33">
        <v>43989</v>
      </c>
      <c r="F80" s="32">
        <f t="shared" si="12"/>
        <v>373989</v>
      </c>
      <c r="G80" s="34">
        <v>50</v>
      </c>
      <c r="H80" s="36">
        <v>7479.78</v>
      </c>
      <c r="I80" s="81">
        <v>29</v>
      </c>
      <c r="J80" s="35">
        <f t="shared" si="13"/>
        <v>21</v>
      </c>
      <c r="K80" s="36">
        <f t="shared" si="11"/>
        <v>216913.62</v>
      </c>
      <c r="L80" s="36">
        <f t="shared" si="14"/>
        <v>157075.38</v>
      </c>
      <c r="M80" s="31"/>
      <c r="N80" s="9"/>
      <c r="O80" s="5"/>
    </row>
    <row r="81" spans="2:15" ht="18.75" x14ac:dyDescent="0.3">
      <c r="B81" s="34">
        <v>76</v>
      </c>
      <c r="C81" s="29" t="s">
        <v>173</v>
      </c>
      <c r="D81" s="32">
        <v>330000</v>
      </c>
      <c r="E81" s="33">
        <v>43989</v>
      </c>
      <c r="F81" s="32">
        <f t="shared" si="12"/>
        <v>373989</v>
      </c>
      <c r="G81" s="34">
        <v>50</v>
      </c>
      <c r="H81" s="32">
        <v>7479.78</v>
      </c>
      <c r="I81" s="81">
        <v>18</v>
      </c>
      <c r="J81" s="35">
        <f t="shared" si="13"/>
        <v>32</v>
      </c>
      <c r="K81" s="36">
        <f t="shared" si="11"/>
        <v>134636.04</v>
      </c>
      <c r="L81" s="36">
        <f t="shared" si="14"/>
        <v>239352.95999999999</v>
      </c>
      <c r="M81" s="31"/>
      <c r="N81" s="9"/>
      <c r="O81" s="5"/>
    </row>
    <row r="82" spans="2:15" ht="18.75" x14ac:dyDescent="0.3">
      <c r="B82" s="34">
        <v>77</v>
      </c>
      <c r="C82" s="29" t="s">
        <v>49</v>
      </c>
      <c r="D82" s="32">
        <v>330000</v>
      </c>
      <c r="E82" s="33">
        <v>43989</v>
      </c>
      <c r="F82" s="32">
        <f t="shared" si="12"/>
        <v>373989</v>
      </c>
      <c r="G82" s="34">
        <v>50</v>
      </c>
      <c r="H82" s="32">
        <v>7479.78</v>
      </c>
      <c r="I82" s="81">
        <v>4</v>
      </c>
      <c r="J82" s="35">
        <f t="shared" si="13"/>
        <v>46</v>
      </c>
      <c r="K82" s="36">
        <f t="shared" si="11"/>
        <v>29919.119999999999</v>
      </c>
      <c r="L82" s="36">
        <f t="shared" si="14"/>
        <v>344069.88</v>
      </c>
      <c r="M82" s="31"/>
      <c r="N82" s="9"/>
      <c r="O82" s="5"/>
    </row>
    <row r="83" spans="2:15" ht="18.75" x14ac:dyDescent="0.3">
      <c r="B83" s="34">
        <v>78</v>
      </c>
      <c r="C83" s="29" t="s">
        <v>50</v>
      </c>
      <c r="D83" s="32">
        <v>330000</v>
      </c>
      <c r="E83" s="33">
        <v>43989</v>
      </c>
      <c r="F83" s="32">
        <f t="shared" si="12"/>
        <v>373989</v>
      </c>
      <c r="G83" s="34">
        <v>50</v>
      </c>
      <c r="H83" s="32">
        <v>7479.78</v>
      </c>
      <c r="I83" s="81">
        <v>4</v>
      </c>
      <c r="J83" s="35">
        <f t="shared" si="13"/>
        <v>46</v>
      </c>
      <c r="K83" s="36">
        <f t="shared" si="11"/>
        <v>29919.119999999999</v>
      </c>
      <c r="L83" s="36">
        <f t="shared" si="14"/>
        <v>344069.88</v>
      </c>
      <c r="M83" s="31"/>
      <c r="N83" s="9"/>
      <c r="O83" s="5"/>
    </row>
    <row r="84" spans="2:15" ht="18.75" x14ac:dyDescent="0.3">
      <c r="B84" s="34">
        <v>79</v>
      </c>
      <c r="C84" s="29" t="s">
        <v>70</v>
      </c>
      <c r="D84" s="32">
        <v>330000</v>
      </c>
      <c r="E84" s="33">
        <v>43989</v>
      </c>
      <c r="F84" s="32">
        <f t="shared" si="12"/>
        <v>373989</v>
      </c>
      <c r="G84" s="34">
        <v>50</v>
      </c>
      <c r="H84" s="32">
        <v>7479.78</v>
      </c>
      <c r="I84" s="81">
        <v>2</v>
      </c>
      <c r="J84" s="35">
        <f t="shared" si="13"/>
        <v>48</v>
      </c>
      <c r="K84" s="36">
        <f t="shared" si="11"/>
        <v>14959.56</v>
      </c>
      <c r="L84" s="36">
        <f t="shared" si="14"/>
        <v>359029.44</v>
      </c>
      <c r="M84" s="31"/>
      <c r="N84" s="9"/>
      <c r="O84" s="5"/>
    </row>
    <row r="85" spans="2:15" ht="18.75" x14ac:dyDescent="0.3">
      <c r="B85" s="34">
        <v>80</v>
      </c>
      <c r="C85" s="29" t="s">
        <v>69</v>
      </c>
      <c r="D85" s="32">
        <v>330000</v>
      </c>
      <c r="E85" s="33">
        <v>43989</v>
      </c>
      <c r="F85" s="32">
        <f t="shared" si="12"/>
        <v>373989</v>
      </c>
      <c r="G85" s="34">
        <v>50</v>
      </c>
      <c r="H85" s="32">
        <v>7479.78</v>
      </c>
      <c r="I85" s="81">
        <v>2</v>
      </c>
      <c r="J85" s="35">
        <f t="shared" si="13"/>
        <v>48</v>
      </c>
      <c r="K85" s="36">
        <f t="shared" si="11"/>
        <v>14959.56</v>
      </c>
      <c r="L85" s="36">
        <f t="shared" si="14"/>
        <v>359029.44</v>
      </c>
      <c r="M85" s="31"/>
      <c r="N85" s="9"/>
      <c r="O85" s="5"/>
    </row>
    <row r="86" spans="2:15" ht="18.75" x14ac:dyDescent="0.3">
      <c r="B86" s="34">
        <v>81</v>
      </c>
      <c r="C86" s="29" t="s">
        <v>62</v>
      </c>
      <c r="D86" s="32">
        <v>330000</v>
      </c>
      <c r="E86" s="33">
        <v>43989</v>
      </c>
      <c r="F86" s="32">
        <f t="shared" si="12"/>
        <v>373989</v>
      </c>
      <c r="G86" s="34">
        <v>50</v>
      </c>
      <c r="H86" s="32">
        <v>7479.78</v>
      </c>
      <c r="I86" s="81">
        <v>2</v>
      </c>
      <c r="J86" s="35">
        <f t="shared" si="13"/>
        <v>48</v>
      </c>
      <c r="K86" s="36">
        <f t="shared" si="11"/>
        <v>14959.56</v>
      </c>
      <c r="L86" s="36">
        <f t="shared" si="14"/>
        <v>359029.44</v>
      </c>
      <c r="M86" s="31"/>
      <c r="N86" s="9"/>
      <c r="O86" s="5"/>
    </row>
    <row r="87" spans="2:15" ht="18.75" x14ac:dyDescent="0.3">
      <c r="B87" s="34">
        <v>82</v>
      </c>
      <c r="C87" s="29" t="s">
        <v>64</v>
      </c>
      <c r="D87" s="32">
        <v>330000</v>
      </c>
      <c r="E87" s="33">
        <v>43989</v>
      </c>
      <c r="F87" s="32">
        <f t="shared" si="12"/>
        <v>373989</v>
      </c>
      <c r="G87" s="34">
        <v>50</v>
      </c>
      <c r="H87" s="32">
        <v>7479.78</v>
      </c>
      <c r="I87" s="81">
        <v>2</v>
      </c>
      <c r="J87" s="35">
        <f t="shared" si="13"/>
        <v>48</v>
      </c>
      <c r="K87" s="36">
        <f t="shared" si="11"/>
        <v>14959.56</v>
      </c>
      <c r="L87" s="36">
        <f t="shared" si="14"/>
        <v>359029.44</v>
      </c>
      <c r="M87" s="31"/>
      <c r="N87" s="9"/>
      <c r="O87" s="5"/>
    </row>
    <row r="88" spans="2:15" ht="18.75" x14ac:dyDescent="0.3">
      <c r="B88" s="34">
        <v>83</v>
      </c>
      <c r="C88" s="29" t="s">
        <v>174</v>
      </c>
      <c r="D88" s="33">
        <v>200000</v>
      </c>
      <c r="E88" s="33">
        <v>26660</v>
      </c>
      <c r="F88" s="32">
        <f t="shared" si="12"/>
        <v>226660</v>
      </c>
      <c r="G88" s="34">
        <v>40</v>
      </c>
      <c r="H88" s="32">
        <v>5666.5</v>
      </c>
      <c r="I88" s="81">
        <v>38</v>
      </c>
      <c r="J88" s="35">
        <f t="shared" si="13"/>
        <v>2</v>
      </c>
      <c r="K88" s="36">
        <f t="shared" si="11"/>
        <v>215327</v>
      </c>
      <c r="L88" s="36">
        <f t="shared" si="14"/>
        <v>11333</v>
      </c>
      <c r="M88" s="31"/>
      <c r="N88" s="9"/>
      <c r="O88" s="5"/>
    </row>
    <row r="89" spans="2:15" ht="18.75" x14ac:dyDescent="0.3">
      <c r="B89" s="34">
        <v>84</v>
      </c>
      <c r="C89" s="31" t="s">
        <v>73</v>
      </c>
      <c r="D89" s="33">
        <v>150000</v>
      </c>
      <c r="E89" s="33">
        <v>19995</v>
      </c>
      <c r="F89" s="32">
        <f t="shared" si="12"/>
        <v>169995</v>
      </c>
      <c r="G89" s="34">
        <v>50</v>
      </c>
      <c r="H89" s="32">
        <v>3399.9</v>
      </c>
      <c r="I89" s="82">
        <v>28</v>
      </c>
      <c r="J89" s="35">
        <f t="shared" si="13"/>
        <v>22</v>
      </c>
      <c r="K89" s="32">
        <f t="shared" ref="K89:K113" si="15">H89*I89</f>
        <v>95197.2</v>
      </c>
      <c r="L89" s="33">
        <f t="shared" si="14"/>
        <v>74797.8</v>
      </c>
      <c r="M89" s="31"/>
      <c r="N89" s="9"/>
      <c r="O89" s="5"/>
    </row>
    <row r="90" spans="2:15" ht="18.75" x14ac:dyDescent="0.3">
      <c r="B90" s="34">
        <v>85</v>
      </c>
      <c r="C90" s="31" t="s">
        <v>76</v>
      </c>
      <c r="D90" s="33">
        <v>150000</v>
      </c>
      <c r="E90" s="33">
        <v>19995</v>
      </c>
      <c r="F90" s="32">
        <f t="shared" si="12"/>
        <v>169995</v>
      </c>
      <c r="G90" s="34">
        <v>50</v>
      </c>
      <c r="H90" s="32">
        <v>3399.9</v>
      </c>
      <c r="I90" s="82">
        <v>28</v>
      </c>
      <c r="J90" s="35">
        <f t="shared" si="13"/>
        <v>22</v>
      </c>
      <c r="K90" s="32">
        <f t="shared" si="15"/>
        <v>95197.2</v>
      </c>
      <c r="L90" s="32">
        <f t="shared" si="14"/>
        <v>74797.8</v>
      </c>
      <c r="M90" s="31"/>
      <c r="N90" s="9"/>
      <c r="O90" s="5"/>
    </row>
    <row r="91" spans="2:15" ht="18.75" x14ac:dyDescent="0.3">
      <c r="B91" s="34">
        <v>86</v>
      </c>
      <c r="C91" s="31" t="s">
        <v>190</v>
      </c>
      <c r="D91" s="33">
        <v>150000</v>
      </c>
      <c r="E91" s="33">
        <v>19995</v>
      </c>
      <c r="F91" s="32">
        <f t="shared" si="12"/>
        <v>169995</v>
      </c>
      <c r="G91" s="34">
        <v>50</v>
      </c>
      <c r="H91" s="32">
        <v>3399.9</v>
      </c>
      <c r="I91" s="82">
        <v>43</v>
      </c>
      <c r="J91" s="35">
        <f t="shared" si="13"/>
        <v>7</v>
      </c>
      <c r="K91" s="32">
        <f t="shared" si="15"/>
        <v>146195.70000000001</v>
      </c>
      <c r="L91" s="33">
        <f t="shared" si="14"/>
        <v>23799.299999999988</v>
      </c>
      <c r="M91" s="31"/>
      <c r="N91" s="9"/>
      <c r="O91" s="5"/>
    </row>
    <row r="92" spans="2:15" ht="18.75" x14ac:dyDescent="0.3">
      <c r="B92" s="34">
        <v>87</v>
      </c>
      <c r="C92" s="31" t="s">
        <v>81</v>
      </c>
      <c r="D92" s="33">
        <v>150000</v>
      </c>
      <c r="E92" s="33">
        <v>19995</v>
      </c>
      <c r="F92" s="32">
        <f t="shared" si="12"/>
        <v>169995</v>
      </c>
      <c r="G92" s="34">
        <v>50</v>
      </c>
      <c r="H92" s="32">
        <v>3399.9</v>
      </c>
      <c r="I92" s="34">
        <v>28</v>
      </c>
      <c r="J92" s="35">
        <f t="shared" si="13"/>
        <v>22</v>
      </c>
      <c r="K92" s="36">
        <f t="shared" si="15"/>
        <v>95197.2</v>
      </c>
      <c r="L92" s="32">
        <f t="shared" si="14"/>
        <v>74797.8</v>
      </c>
      <c r="M92" s="31"/>
      <c r="N92" s="9"/>
      <c r="O92" s="5"/>
    </row>
    <row r="93" spans="2:15" ht="18.75" x14ac:dyDescent="0.3">
      <c r="B93" s="34">
        <v>88</v>
      </c>
      <c r="C93" s="31" t="s">
        <v>84</v>
      </c>
      <c r="D93" s="33">
        <v>150000</v>
      </c>
      <c r="E93" s="33">
        <v>19995</v>
      </c>
      <c r="F93" s="32">
        <f t="shared" si="12"/>
        <v>169995</v>
      </c>
      <c r="G93" s="34">
        <v>50</v>
      </c>
      <c r="H93" s="32">
        <v>3399.9</v>
      </c>
      <c r="I93" s="34">
        <v>28</v>
      </c>
      <c r="J93" s="35">
        <f t="shared" si="13"/>
        <v>22</v>
      </c>
      <c r="K93" s="36">
        <f t="shared" si="15"/>
        <v>95197.2</v>
      </c>
      <c r="L93" s="32">
        <f t="shared" si="14"/>
        <v>74797.8</v>
      </c>
      <c r="M93" s="31"/>
      <c r="N93" s="9"/>
      <c r="O93" s="5"/>
    </row>
    <row r="94" spans="2:15" ht="18.75" x14ac:dyDescent="0.3">
      <c r="B94" s="34">
        <v>89</v>
      </c>
      <c r="C94" s="31" t="s">
        <v>86</v>
      </c>
      <c r="D94" s="33">
        <v>150000</v>
      </c>
      <c r="E94" s="33">
        <v>19995</v>
      </c>
      <c r="F94" s="32">
        <f t="shared" si="12"/>
        <v>169995</v>
      </c>
      <c r="G94" s="34">
        <v>50</v>
      </c>
      <c r="H94" s="32">
        <v>3399.9</v>
      </c>
      <c r="I94" s="34">
        <v>43</v>
      </c>
      <c r="J94" s="35">
        <f t="shared" si="13"/>
        <v>7</v>
      </c>
      <c r="K94" s="36">
        <f t="shared" si="15"/>
        <v>146195.70000000001</v>
      </c>
      <c r="L94" s="32">
        <f t="shared" si="14"/>
        <v>23799.299999999988</v>
      </c>
      <c r="M94" s="31"/>
      <c r="N94" s="9"/>
      <c r="O94" s="5"/>
    </row>
    <row r="95" spans="2:15" ht="18.75" x14ac:dyDescent="0.3">
      <c r="B95" s="34">
        <v>90</v>
      </c>
      <c r="C95" s="31" t="s">
        <v>87</v>
      </c>
      <c r="D95" s="33">
        <v>150000</v>
      </c>
      <c r="E95" s="33">
        <v>19995</v>
      </c>
      <c r="F95" s="32">
        <f t="shared" si="12"/>
        <v>169995</v>
      </c>
      <c r="G95" s="34">
        <v>50</v>
      </c>
      <c r="H95" s="32">
        <v>3399.9</v>
      </c>
      <c r="I95" s="34">
        <v>43</v>
      </c>
      <c r="J95" s="35">
        <f t="shared" si="13"/>
        <v>7</v>
      </c>
      <c r="K95" s="36">
        <f t="shared" si="15"/>
        <v>146195.70000000001</v>
      </c>
      <c r="L95" s="32">
        <f t="shared" si="14"/>
        <v>23799.299999999988</v>
      </c>
      <c r="M95" s="31"/>
      <c r="N95" s="9"/>
      <c r="O95" s="5"/>
    </row>
    <row r="96" spans="2:15" ht="18.75" x14ac:dyDescent="0.3">
      <c r="B96" s="34">
        <v>91</v>
      </c>
      <c r="C96" s="31" t="s">
        <v>89</v>
      </c>
      <c r="D96" s="33">
        <v>150000</v>
      </c>
      <c r="E96" s="33">
        <v>19995</v>
      </c>
      <c r="F96" s="32">
        <f t="shared" si="12"/>
        <v>169995</v>
      </c>
      <c r="G96" s="34">
        <v>50</v>
      </c>
      <c r="H96" s="32">
        <v>3399.9</v>
      </c>
      <c r="I96" s="34">
        <v>28</v>
      </c>
      <c r="J96" s="35">
        <f t="shared" si="13"/>
        <v>22</v>
      </c>
      <c r="K96" s="36">
        <f t="shared" si="15"/>
        <v>95197.2</v>
      </c>
      <c r="L96" s="32">
        <f t="shared" si="14"/>
        <v>74797.8</v>
      </c>
      <c r="M96" s="31"/>
      <c r="N96" s="9"/>
      <c r="O96" s="5"/>
    </row>
    <row r="97" spans="2:15" ht="18.75" x14ac:dyDescent="0.3">
      <c r="B97" s="34">
        <v>92</v>
      </c>
      <c r="C97" s="31" t="s">
        <v>91</v>
      </c>
      <c r="D97" s="33">
        <v>150000</v>
      </c>
      <c r="E97" s="33">
        <v>19995</v>
      </c>
      <c r="F97" s="32">
        <f t="shared" si="12"/>
        <v>169995</v>
      </c>
      <c r="G97" s="34">
        <v>50</v>
      </c>
      <c r="H97" s="32">
        <v>3399.9</v>
      </c>
      <c r="I97" s="34">
        <v>43</v>
      </c>
      <c r="J97" s="35">
        <f t="shared" si="13"/>
        <v>7</v>
      </c>
      <c r="K97" s="36">
        <f t="shared" si="15"/>
        <v>146195.70000000001</v>
      </c>
      <c r="L97" s="32">
        <f t="shared" si="14"/>
        <v>23799.299999999988</v>
      </c>
      <c r="M97" s="31"/>
      <c r="N97" s="9"/>
      <c r="O97" s="5"/>
    </row>
    <row r="98" spans="2:15" ht="18.75" x14ac:dyDescent="0.3">
      <c r="B98" s="34">
        <v>93</v>
      </c>
      <c r="C98" s="31" t="s">
        <v>94</v>
      </c>
      <c r="D98" s="33">
        <v>150000</v>
      </c>
      <c r="E98" s="33">
        <v>19995</v>
      </c>
      <c r="F98" s="32">
        <f t="shared" si="12"/>
        <v>169995</v>
      </c>
      <c r="G98" s="34">
        <v>50</v>
      </c>
      <c r="H98" s="32">
        <v>3399.9</v>
      </c>
      <c r="I98" s="34">
        <v>28</v>
      </c>
      <c r="J98" s="35">
        <f t="shared" si="13"/>
        <v>22</v>
      </c>
      <c r="K98" s="36">
        <f t="shared" si="15"/>
        <v>95197.2</v>
      </c>
      <c r="L98" s="32">
        <f t="shared" si="14"/>
        <v>74797.8</v>
      </c>
      <c r="M98" s="31"/>
      <c r="N98" s="9"/>
      <c r="O98" s="5"/>
    </row>
    <row r="99" spans="2:15" ht="18.75" x14ac:dyDescent="0.3">
      <c r="B99" s="34">
        <v>94</v>
      </c>
      <c r="C99" s="31" t="s">
        <v>224</v>
      </c>
      <c r="D99" s="33">
        <v>150000</v>
      </c>
      <c r="E99" s="33">
        <v>19995</v>
      </c>
      <c r="F99" s="32">
        <f t="shared" ref="F99:F130" si="16">D99+E99</f>
        <v>169995</v>
      </c>
      <c r="G99" s="34">
        <v>50</v>
      </c>
      <c r="H99" s="32">
        <v>3399.9</v>
      </c>
      <c r="I99" s="34">
        <v>43</v>
      </c>
      <c r="J99" s="35">
        <f t="shared" si="13"/>
        <v>7</v>
      </c>
      <c r="K99" s="36">
        <f t="shared" si="15"/>
        <v>146195.70000000001</v>
      </c>
      <c r="L99" s="32">
        <f t="shared" si="14"/>
        <v>23799.299999999988</v>
      </c>
      <c r="M99" s="31"/>
      <c r="N99" s="9"/>
      <c r="O99" s="5"/>
    </row>
    <row r="100" spans="2:15" ht="18.75" x14ac:dyDescent="0.3">
      <c r="B100" s="34">
        <v>95</v>
      </c>
      <c r="C100" s="31" t="s">
        <v>193</v>
      </c>
      <c r="D100" s="33">
        <v>150000</v>
      </c>
      <c r="E100" s="33">
        <v>19995</v>
      </c>
      <c r="F100" s="32">
        <f t="shared" si="16"/>
        <v>169995</v>
      </c>
      <c r="G100" s="34">
        <v>50</v>
      </c>
      <c r="H100" s="32">
        <v>3399.9</v>
      </c>
      <c r="I100" s="34">
        <v>28</v>
      </c>
      <c r="J100" s="35">
        <f t="shared" si="13"/>
        <v>22</v>
      </c>
      <c r="K100" s="36">
        <f t="shared" si="15"/>
        <v>95197.2</v>
      </c>
      <c r="L100" s="32">
        <f t="shared" si="14"/>
        <v>74797.8</v>
      </c>
      <c r="M100" s="31"/>
      <c r="N100" s="9"/>
      <c r="O100" s="5"/>
    </row>
    <row r="101" spans="2:15" ht="18.75" x14ac:dyDescent="0.3">
      <c r="B101" s="34">
        <v>96</v>
      </c>
      <c r="C101" s="31" t="s">
        <v>101</v>
      </c>
      <c r="D101" s="33">
        <v>150000</v>
      </c>
      <c r="E101" s="33">
        <v>19995</v>
      </c>
      <c r="F101" s="32">
        <f t="shared" si="16"/>
        <v>169995</v>
      </c>
      <c r="G101" s="34">
        <v>50</v>
      </c>
      <c r="H101" s="32">
        <v>3399.9</v>
      </c>
      <c r="I101" s="34">
        <v>26</v>
      </c>
      <c r="J101" s="35">
        <f t="shared" si="13"/>
        <v>24</v>
      </c>
      <c r="K101" s="36">
        <f t="shared" si="15"/>
        <v>88397.400000000009</v>
      </c>
      <c r="L101" s="32">
        <f t="shared" si="14"/>
        <v>81597.599999999991</v>
      </c>
      <c r="M101" s="31"/>
      <c r="N101" s="9"/>
      <c r="O101" s="5"/>
    </row>
    <row r="102" spans="2:15" ht="18.75" x14ac:dyDescent="0.3">
      <c r="B102" s="34">
        <v>97</v>
      </c>
      <c r="C102" s="31" t="s">
        <v>102</v>
      </c>
      <c r="D102" s="33">
        <v>150000</v>
      </c>
      <c r="E102" s="33">
        <v>19995</v>
      </c>
      <c r="F102" s="32">
        <f t="shared" si="16"/>
        <v>169995</v>
      </c>
      <c r="G102" s="34">
        <v>50</v>
      </c>
      <c r="H102" s="32">
        <v>3399.9</v>
      </c>
      <c r="I102" s="34">
        <v>28</v>
      </c>
      <c r="J102" s="35">
        <f t="shared" ref="J102:J133" si="17">G102-I102</f>
        <v>22</v>
      </c>
      <c r="K102" s="36">
        <f t="shared" si="15"/>
        <v>95197.2</v>
      </c>
      <c r="L102" s="32">
        <f t="shared" ref="L102:L129" si="18">F102-K102</f>
        <v>74797.8</v>
      </c>
      <c r="M102" s="31"/>
      <c r="N102" s="9"/>
      <c r="O102" s="5"/>
    </row>
    <row r="103" spans="2:15" ht="18.75" x14ac:dyDescent="0.3">
      <c r="B103" s="34">
        <v>98</v>
      </c>
      <c r="C103" s="31" t="s">
        <v>104</v>
      </c>
      <c r="D103" s="33">
        <v>150000</v>
      </c>
      <c r="E103" s="33">
        <v>19995</v>
      </c>
      <c r="F103" s="32">
        <f t="shared" si="16"/>
        <v>169995</v>
      </c>
      <c r="G103" s="34">
        <v>50</v>
      </c>
      <c r="H103" s="32">
        <v>3399.9</v>
      </c>
      <c r="I103" s="34">
        <v>43</v>
      </c>
      <c r="J103" s="35">
        <f t="shared" si="17"/>
        <v>7</v>
      </c>
      <c r="K103" s="36">
        <f t="shared" si="15"/>
        <v>146195.70000000001</v>
      </c>
      <c r="L103" s="32">
        <f t="shared" si="18"/>
        <v>23799.299999999988</v>
      </c>
      <c r="M103" s="31"/>
      <c r="N103" s="9"/>
      <c r="O103" s="5"/>
    </row>
    <row r="104" spans="2:15" ht="18.75" x14ac:dyDescent="0.3">
      <c r="B104" s="34">
        <v>99</v>
      </c>
      <c r="C104" s="31" t="s">
        <v>110</v>
      </c>
      <c r="D104" s="33">
        <v>150000</v>
      </c>
      <c r="E104" s="33">
        <v>19995</v>
      </c>
      <c r="F104" s="32">
        <f t="shared" si="16"/>
        <v>169995</v>
      </c>
      <c r="G104" s="34">
        <v>50</v>
      </c>
      <c r="H104" s="32">
        <v>3399.9</v>
      </c>
      <c r="I104" s="34">
        <v>28</v>
      </c>
      <c r="J104" s="35">
        <f t="shared" si="17"/>
        <v>22</v>
      </c>
      <c r="K104" s="36">
        <f t="shared" si="15"/>
        <v>95197.2</v>
      </c>
      <c r="L104" s="32">
        <f t="shared" si="18"/>
        <v>74797.8</v>
      </c>
      <c r="M104" s="31"/>
      <c r="N104" s="9"/>
      <c r="O104" s="5"/>
    </row>
    <row r="105" spans="2:15" ht="18.75" x14ac:dyDescent="0.3">
      <c r="B105" s="34">
        <v>100</v>
      </c>
      <c r="C105" s="31" t="s">
        <v>225</v>
      </c>
      <c r="D105" s="33">
        <v>150000</v>
      </c>
      <c r="E105" s="33">
        <v>19995</v>
      </c>
      <c r="F105" s="32">
        <f t="shared" si="16"/>
        <v>169995</v>
      </c>
      <c r="G105" s="34">
        <v>50</v>
      </c>
      <c r="H105" s="32">
        <v>3399.9</v>
      </c>
      <c r="I105" s="34">
        <v>43</v>
      </c>
      <c r="J105" s="35">
        <f t="shared" si="17"/>
        <v>7</v>
      </c>
      <c r="K105" s="36">
        <f t="shared" si="15"/>
        <v>146195.70000000001</v>
      </c>
      <c r="L105" s="32">
        <f t="shared" si="18"/>
        <v>23799.299999999988</v>
      </c>
      <c r="M105" s="31"/>
      <c r="N105" s="9"/>
      <c r="O105" s="5"/>
    </row>
    <row r="106" spans="2:15" ht="18.75" x14ac:dyDescent="0.3">
      <c r="B106" s="34">
        <v>101</v>
      </c>
      <c r="C106" s="31" t="s">
        <v>113</v>
      </c>
      <c r="D106" s="33">
        <v>150000</v>
      </c>
      <c r="E106" s="33">
        <v>19995</v>
      </c>
      <c r="F106" s="32">
        <f t="shared" si="16"/>
        <v>169995</v>
      </c>
      <c r="G106" s="34">
        <v>50</v>
      </c>
      <c r="H106" s="32">
        <v>3399.9</v>
      </c>
      <c r="I106" s="34">
        <v>43</v>
      </c>
      <c r="J106" s="35">
        <f t="shared" si="17"/>
        <v>7</v>
      </c>
      <c r="K106" s="36">
        <f t="shared" si="15"/>
        <v>146195.70000000001</v>
      </c>
      <c r="L106" s="32">
        <f t="shared" si="18"/>
        <v>23799.299999999988</v>
      </c>
      <c r="M106" s="31"/>
      <c r="N106" s="9"/>
      <c r="O106" s="5"/>
    </row>
    <row r="107" spans="2:15" ht="18.75" x14ac:dyDescent="0.3">
      <c r="B107" s="34">
        <v>102</v>
      </c>
      <c r="C107" s="31" t="s">
        <v>114</v>
      </c>
      <c r="D107" s="33">
        <v>150000</v>
      </c>
      <c r="E107" s="33">
        <v>19995</v>
      </c>
      <c r="F107" s="32">
        <f t="shared" si="16"/>
        <v>169995</v>
      </c>
      <c r="G107" s="34">
        <v>50</v>
      </c>
      <c r="H107" s="32">
        <v>3399.9</v>
      </c>
      <c r="I107" s="34">
        <v>28</v>
      </c>
      <c r="J107" s="35">
        <f t="shared" si="17"/>
        <v>22</v>
      </c>
      <c r="K107" s="36">
        <f t="shared" si="15"/>
        <v>95197.2</v>
      </c>
      <c r="L107" s="32">
        <f t="shared" si="18"/>
        <v>74797.8</v>
      </c>
      <c r="M107" s="31"/>
      <c r="N107" s="9"/>
      <c r="O107" s="5"/>
    </row>
    <row r="108" spans="2:15" ht="18.75" x14ac:dyDescent="0.3">
      <c r="B108" s="34">
        <v>103</v>
      </c>
      <c r="C108" s="31" t="s">
        <v>236</v>
      </c>
      <c r="D108" s="33">
        <v>150000</v>
      </c>
      <c r="E108" s="33">
        <v>19995</v>
      </c>
      <c r="F108" s="32">
        <f t="shared" si="16"/>
        <v>169995</v>
      </c>
      <c r="G108" s="34">
        <v>50</v>
      </c>
      <c r="H108" s="32">
        <v>3399.9</v>
      </c>
      <c r="I108" s="34">
        <v>28</v>
      </c>
      <c r="J108" s="35">
        <f t="shared" si="17"/>
        <v>22</v>
      </c>
      <c r="K108" s="36">
        <f t="shared" si="15"/>
        <v>95197.2</v>
      </c>
      <c r="L108" s="32">
        <f t="shared" si="18"/>
        <v>74797.8</v>
      </c>
      <c r="M108" s="31"/>
      <c r="N108" s="8"/>
      <c r="O108" s="5"/>
    </row>
    <row r="109" spans="2:15" ht="18.75" x14ac:dyDescent="0.3">
      <c r="B109" s="34">
        <v>104</v>
      </c>
      <c r="C109" s="31" t="s">
        <v>117</v>
      </c>
      <c r="D109" s="33">
        <v>150000</v>
      </c>
      <c r="E109" s="33">
        <v>19995</v>
      </c>
      <c r="F109" s="32">
        <f t="shared" si="16"/>
        <v>169995</v>
      </c>
      <c r="G109" s="34">
        <v>50</v>
      </c>
      <c r="H109" s="32">
        <v>3399.9</v>
      </c>
      <c r="I109" s="34">
        <v>43</v>
      </c>
      <c r="J109" s="35">
        <f t="shared" si="17"/>
        <v>7</v>
      </c>
      <c r="K109" s="36">
        <f t="shared" si="15"/>
        <v>146195.70000000001</v>
      </c>
      <c r="L109" s="32">
        <f t="shared" si="18"/>
        <v>23799.299999999988</v>
      </c>
      <c r="M109" s="31"/>
      <c r="N109" s="8"/>
      <c r="O109" s="5"/>
    </row>
    <row r="110" spans="2:15" ht="18.75" x14ac:dyDescent="0.3">
      <c r="B110" s="34">
        <v>105</v>
      </c>
      <c r="C110" s="31" t="s">
        <v>155</v>
      </c>
      <c r="D110" s="33">
        <v>150000</v>
      </c>
      <c r="E110" s="33">
        <v>19995</v>
      </c>
      <c r="F110" s="32">
        <f t="shared" si="16"/>
        <v>169995</v>
      </c>
      <c r="G110" s="34">
        <v>50</v>
      </c>
      <c r="H110" s="32">
        <v>3399.9</v>
      </c>
      <c r="I110" s="34">
        <v>28</v>
      </c>
      <c r="J110" s="35">
        <f t="shared" si="17"/>
        <v>22</v>
      </c>
      <c r="K110" s="36">
        <f t="shared" si="15"/>
        <v>95197.2</v>
      </c>
      <c r="L110" s="32">
        <f t="shared" si="18"/>
        <v>74797.8</v>
      </c>
      <c r="M110" s="31"/>
      <c r="N110" s="8"/>
      <c r="O110" s="5"/>
    </row>
    <row r="111" spans="2:15" ht="18.75" x14ac:dyDescent="0.3">
      <c r="B111" s="34">
        <v>106</v>
      </c>
      <c r="C111" s="31" t="s">
        <v>176</v>
      </c>
      <c r="D111" s="33">
        <v>150000</v>
      </c>
      <c r="E111" s="33">
        <v>19995</v>
      </c>
      <c r="F111" s="32">
        <f t="shared" si="16"/>
        <v>169995</v>
      </c>
      <c r="G111" s="34">
        <v>50</v>
      </c>
      <c r="H111" s="32">
        <v>3399.9</v>
      </c>
      <c r="I111" s="34">
        <v>43</v>
      </c>
      <c r="J111" s="35">
        <f t="shared" si="17"/>
        <v>7</v>
      </c>
      <c r="K111" s="36">
        <f t="shared" si="15"/>
        <v>146195.70000000001</v>
      </c>
      <c r="L111" s="32">
        <f t="shared" si="18"/>
        <v>23799.299999999988</v>
      </c>
      <c r="M111" s="31"/>
      <c r="N111" s="8"/>
      <c r="O111" s="5"/>
    </row>
    <row r="112" spans="2:15" ht="18.75" x14ac:dyDescent="0.3">
      <c r="B112" s="34">
        <v>107</v>
      </c>
      <c r="C112" s="31" t="s">
        <v>120</v>
      </c>
      <c r="D112" s="33">
        <v>150000</v>
      </c>
      <c r="E112" s="33">
        <v>19995</v>
      </c>
      <c r="F112" s="32">
        <f t="shared" si="16"/>
        <v>169995</v>
      </c>
      <c r="G112" s="34">
        <v>50</v>
      </c>
      <c r="H112" s="32">
        <v>3399.9</v>
      </c>
      <c r="I112" s="34">
        <v>28</v>
      </c>
      <c r="J112" s="35">
        <f t="shared" si="17"/>
        <v>22</v>
      </c>
      <c r="K112" s="36">
        <f t="shared" si="15"/>
        <v>95197.2</v>
      </c>
      <c r="L112" s="32">
        <f t="shared" si="18"/>
        <v>74797.8</v>
      </c>
      <c r="M112" s="31"/>
      <c r="N112" s="8"/>
      <c r="O112" s="5"/>
    </row>
    <row r="113" spans="2:15" ht="18.75" x14ac:dyDescent="0.3">
      <c r="B113" s="34">
        <v>108</v>
      </c>
      <c r="C113" s="31" t="s">
        <v>197</v>
      </c>
      <c r="D113" s="33">
        <v>150000</v>
      </c>
      <c r="E113" s="33">
        <v>19995</v>
      </c>
      <c r="F113" s="32">
        <f t="shared" si="16"/>
        <v>169995</v>
      </c>
      <c r="G113" s="34">
        <v>50</v>
      </c>
      <c r="H113" s="32">
        <v>3399.9</v>
      </c>
      <c r="I113" s="34">
        <v>28</v>
      </c>
      <c r="J113" s="35">
        <f t="shared" si="17"/>
        <v>22</v>
      </c>
      <c r="K113" s="36">
        <f t="shared" si="15"/>
        <v>95197.2</v>
      </c>
      <c r="L113" s="32">
        <f t="shared" si="18"/>
        <v>74797.8</v>
      </c>
      <c r="M113" s="31"/>
      <c r="N113" s="8"/>
      <c r="O113" s="5"/>
    </row>
    <row r="114" spans="2:15" ht="18.75" x14ac:dyDescent="0.3">
      <c r="B114" s="34">
        <v>109</v>
      </c>
      <c r="C114" s="31" t="s">
        <v>124</v>
      </c>
      <c r="D114" s="33">
        <v>150000</v>
      </c>
      <c r="E114" s="33">
        <v>19995</v>
      </c>
      <c r="F114" s="32">
        <f t="shared" si="16"/>
        <v>169995</v>
      </c>
      <c r="G114" s="34">
        <v>50</v>
      </c>
      <c r="H114" s="32">
        <v>3399.9</v>
      </c>
      <c r="I114" s="34">
        <v>28</v>
      </c>
      <c r="J114" s="35">
        <f t="shared" si="17"/>
        <v>22</v>
      </c>
      <c r="K114" s="36">
        <f>I114*H114</f>
        <v>95197.2</v>
      </c>
      <c r="L114" s="32">
        <f t="shared" si="18"/>
        <v>74797.8</v>
      </c>
      <c r="M114" s="31"/>
      <c r="N114" s="8"/>
      <c r="O114" s="5"/>
    </row>
    <row r="115" spans="2:15" ht="18.75" x14ac:dyDescent="0.3">
      <c r="B115" s="34">
        <v>110</v>
      </c>
      <c r="C115" s="31" t="s">
        <v>127</v>
      </c>
      <c r="D115" s="33">
        <v>150000</v>
      </c>
      <c r="E115" s="33">
        <v>19995</v>
      </c>
      <c r="F115" s="32">
        <f t="shared" si="16"/>
        <v>169995</v>
      </c>
      <c r="G115" s="34">
        <v>50</v>
      </c>
      <c r="H115" s="32">
        <v>3399.9</v>
      </c>
      <c r="I115" s="34">
        <v>43</v>
      </c>
      <c r="J115" s="35">
        <f t="shared" si="17"/>
        <v>7</v>
      </c>
      <c r="K115" s="36">
        <f t="shared" ref="K115:K129" si="19">H115*I115</f>
        <v>146195.70000000001</v>
      </c>
      <c r="L115" s="32">
        <f t="shared" si="18"/>
        <v>23799.299999999988</v>
      </c>
      <c r="M115" s="31"/>
      <c r="N115" s="8"/>
      <c r="O115" s="5"/>
    </row>
    <row r="116" spans="2:15" ht="18.75" x14ac:dyDescent="0.3">
      <c r="B116" s="34">
        <v>111</v>
      </c>
      <c r="C116" s="31" t="s">
        <v>200</v>
      </c>
      <c r="D116" s="33">
        <v>150000</v>
      </c>
      <c r="E116" s="33">
        <v>19995</v>
      </c>
      <c r="F116" s="32">
        <f t="shared" si="16"/>
        <v>169995</v>
      </c>
      <c r="G116" s="34">
        <v>50</v>
      </c>
      <c r="H116" s="32">
        <v>3399.9</v>
      </c>
      <c r="I116" s="34">
        <v>43</v>
      </c>
      <c r="J116" s="35">
        <f t="shared" si="17"/>
        <v>7</v>
      </c>
      <c r="K116" s="36">
        <f t="shared" si="19"/>
        <v>146195.70000000001</v>
      </c>
      <c r="L116" s="32">
        <f t="shared" si="18"/>
        <v>23799.299999999988</v>
      </c>
      <c r="M116" s="31"/>
      <c r="N116" s="8"/>
      <c r="O116" s="5"/>
    </row>
    <row r="117" spans="2:15" ht="18.75" x14ac:dyDescent="0.3">
      <c r="B117" s="34">
        <v>112</v>
      </c>
      <c r="C117" s="31" t="s">
        <v>199</v>
      </c>
      <c r="D117" s="33">
        <v>150000</v>
      </c>
      <c r="E117" s="33">
        <v>19995</v>
      </c>
      <c r="F117" s="32">
        <f t="shared" si="16"/>
        <v>169995</v>
      </c>
      <c r="G117" s="34">
        <v>50</v>
      </c>
      <c r="H117" s="32">
        <v>3399.9</v>
      </c>
      <c r="I117" s="34">
        <v>43</v>
      </c>
      <c r="J117" s="35">
        <f t="shared" si="17"/>
        <v>7</v>
      </c>
      <c r="K117" s="36">
        <f t="shared" si="19"/>
        <v>146195.70000000001</v>
      </c>
      <c r="L117" s="32">
        <f t="shared" si="18"/>
        <v>23799.299999999988</v>
      </c>
      <c r="M117" s="31"/>
      <c r="N117" s="8"/>
      <c r="O117" s="5"/>
    </row>
    <row r="118" spans="2:15" ht="18.75" x14ac:dyDescent="0.3">
      <c r="B118" s="34">
        <v>113</v>
      </c>
      <c r="C118" s="31" t="s">
        <v>129</v>
      </c>
      <c r="D118" s="33">
        <v>150000</v>
      </c>
      <c r="E118" s="33">
        <v>19995</v>
      </c>
      <c r="F118" s="32">
        <f t="shared" si="16"/>
        <v>169995</v>
      </c>
      <c r="G118" s="34">
        <v>50</v>
      </c>
      <c r="H118" s="32">
        <v>3399.9</v>
      </c>
      <c r="I118" s="34">
        <v>26</v>
      </c>
      <c r="J118" s="35">
        <f t="shared" si="17"/>
        <v>24</v>
      </c>
      <c r="K118" s="36">
        <f t="shared" si="19"/>
        <v>88397.400000000009</v>
      </c>
      <c r="L118" s="32">
        <f t="shared" si="18"/>
        <v>81597.599999999991</v>
      </c>
      <c r="M118" s="31"/>
      <c r="N118" s="8"/>
      <c r="O118" s="5"/>
    </row>
    <row r="119" spans="2:15" ht="18.75" x14ac:dyDescent="0.3">
      <c r="B119" s="34">
        <v>114</v>
      </c>
      <c r="C119" s="31" t="s">
        <v>130</v>
      </c>
      <c r="D119" s="33">
        <v>150000</v>
      </c>
      <c r="E119" s="33">
        <v>19995</v>
      </c>
      <c r="F119" s="32">
        <f t="shared" si="16"/>
        <v>169995</v>
      </c>
      <c r="G119" s="34">
        <v>50</v>
      </c>
      <c r="H119" s="32">
        <v>3399.9</v>
      </c>
      <c r="I119" s="34">
        <v>28</v>
      </c>
      <c r="J119" s="35">
        <f t="shared" si="17"/>
        <v>22</v>
      </c>
      <c r="K119" s="36">
        <f t="shared" si="19"/>
        <v>95197.2</v>
      </c>
      <c r="L119" s="32">
        <f t="shared" si="18"/>
        <v>74797.8</v>
      </c>
      <c r="M119" s="31"/>
      <c r="N119" s="8"/>
      <c r="O119" s="5"/>
    </row>
    <row r="120" spans="2:15" ht="18.75" x14ac:dyDescent="0.3">
      <c r="B120" s="34">
        <v>115</v>
      </c>
      <c r="C120" s="31" t="s">
        <v>131</v>
      </c>
      <c r="D120" s="33">
        <v>150000</v>
      </c>
      <c r="E120" s="33">
        <v>19995</v>
      </c>
      <c r="F120" s="32">
        <f t="shared" si="16"/>
        <v>169995</v>
      </c>
      <c r="G120" s="34">
        <v>50</v>
      </c>
      <c r="H120" s="32">
        <v>3399.9</v>
      </c>
      <c r="I120" s="34">
        <v>28</v>
      </c>
      <c r="J120" s="35">
        <f t="shared" si="17"/>
        <v>22</v>
      </c>
      <c r="K120" s="36">
        <f t="shared" si="19"/>
        <v>95197.2</v>
      </c>
      <c r="L120" s="32">
        <f t="shared" si="18"/>
        <v>74797.8</v>
      </c>
      <c r="M120" s="31"/>
      <c r="N120" s="8"/>
      <c r="O120" s="5"/>
    </row>
    <row r="121" spans="2:15" ht="18.75" x14ac:dyDescent="0.3">
      <c r="B121" s="34">
        <v>116</v>
      </c>
      <c r="C121" s="31" t="s">
        <v>201</v>
      </c>
      <c r="D121" s="33">
        <v>150000</v>
      </c>
      <c r="E121" s="33">
        <v>19995</v>
      </c>
      <c r="F121" s="32">
        <f t="shared" si="16"/>
        <v>169995</v>
      </c>
      <c r="G121" s="34">
        <v>50</v>
      </c>
      <c r="H121" s="32">
        <v>3399.9</v>
      </c>
      <c r="I121" s="34">
        <v>28</v>
      </c>
      <c r="J121" s="35">
        <f t="shared" si="17"/>
        <v>22</v>
      </c>
      <c r="K121" s="36">
        <f t="shared" si="19"/>
        <v>95197.2</v>
      </c>
      <c r="L121" s="32">
        <f t="shared" si="18"/>
        <v>74797.8</v>
      </c>
      <c r="M121" s="31"/>
      <c r="N121" s="8"/>
      <c r="O121" s="5"/>
    </row>
    <row r="122" spans="2:15" ht="18.75" x14ac:dyDescent="0.3">
      <c r="B122" s="34">
        <v>117</v>
      </c>
      <c r="C122" s="31" t="s">
        <v>133</v>
      </c>
      <c r="D122" s="33">
        <v>150000</v>
      </c>
      <c r="E122" s="33">
        <v>19995</v>
      </c>
      <c r="F122" s="32">
        <f t="shared" si="16"/>
        <v>169995</v>
      </c>
      <c r="G122" s="34">
        <v>50</v>
      </c>
      <c r="H122" s="32">
        <v>3399.9</v>
      </c>
      <c r="I122" s="34">
        <v>28</v>
      </c>
      <c r="J122" s="35">
        <f t="shared" si="17"/>
        <v>22</v>
      </c>
      <c r="K122" s="36">
        <f t="shared" si="19"/>
        <v>95197.2</v>
      </c>
      <c r="L122" s="32">
        <f t="shared" si="18"/>
        <v>74797.8</v>
      </c>
      <c r="M122" s="31"/>
      <c r="N122" s="9"/>
      <c r="O122" s="5"/>
    </row>
    <row r="123" spans="2:15" ht="18.75" x14ac:dyDescent="0.3">
      <c r="B123" s="34">
        <v>118</v>
      </c>
      <c r="C123" s="31" t="s">
        <v>134</v>
      </c>
      <c r="D123" s="33">
        <v>150000</v>
      </c>
      <c r="E123" s="33">
        <v>19995</v>
      </c>
      <c r="F123" s="32">
        <f t="shared" si="16"/>
        <v>169995</v>
      </c>
      <c r="G123" s="34">
        <v>50</v>
      </c>
      <c r="H123" s="32">
        <v>3399.9</v>
      </c>
      <c r="I123" s="34">
        <v>43</v>
      </c>
      <c r="J123" s="35">
        <f t="shared" si="17"/>
        <v>7</v>
      </c>
      <c r="K123" s="36">
        <f t="shared" si="19"/>
        <v>146195.70000000001</v>
      </c>
      <c r="L123" s="32">
        <f t="shared" si="18"/>
        <v>23799.299999999988</v>
      </c>
      <c r="M123" s="31"/>
      <c r="N123" s="9"/>
      <c r="O123" s="5"/>
    </row>
    <row r="124" spans="2:15" ht="18.75" x14ac:dyDescent="0.3">
      <c r="B124" s="34">
        <v>119</v>
      </c>
      <c r="C124" s="31" t="s">
        <v>203</v>
      </c>
      <c r="D124" s="33">
        <v>150000</v>
      </c>
      <c r="E124" s="33">
        <v>19995</v>
      </c>
      <c r="F124" s="32">
        <f t="shared" si="16"/>
        <v>169995</v>
      </c>
      <c r="G124" s="34">
        <v>50</v>
      </c>
      <c r="H124" s="32">
        <v>3399.9</v>
      </c>
      <c r="I124" s="34">
        <v>43</v>
      </c>
      <c r="J124" s="35">
        <f t="shared" si="17"/>
        <v>7</v>
      </c>
      <c r="K124" s="36">
        <f t="shared" si="19"/>
        <v>146195.70000000001</v>
      </c>
      <c r="L124" s="32">
        <f t="shared" si="18"/>
        <v>23799.299999999988</v>
      </c>
      <c r="M124" s="31"/>
      <c r="N124" s="9"/>
      <c r="O124" s="5"/>
    </row>
    <row r="125" spans="2:15" ht="18.75" x14ac:dyDescent="0.3">
      <c r="B125" s="34">
        <v>120</v>
      </c>
      <c r="C125" s="31" t="s">
        <v>136</v>
      </c>
      <c r="D125" s="33">
        <v>150000</v>
      </c>
      <c r="E125" s="33">
        <v>19995</v>
      </c>
      <c r="F125" s="32">
        <f t="shared" si="16"/>
        <v>169995</v>
      </c>
      <c r="G125" s="34">
        <v>50</v>
      </c>
      <c r="H125" s="32">
        <v>3399.9</v>
      </c>
      <c r="I125" s="34">
        <v>43</v>
      </c>
      <c r="J125" s="35">
        <f t="shared" si="17"/>
        <v>7</v>
      </c>
      <c r="K125" s="36">
        <f t="shared" si="19"/>
        <v>146195.70000000001</v>
      </c>
      <c r="L125" s="32">
        <f t="shared" si="18"/>
        <v>23799.299999999988</v>
      </c>
      <c r="M125" s="31"/>
      <c r="N125" s="9"/>
      <c r="O125" s="5"/>
    </row>
    <row r="126" spans="2:15" ht="18.75" x14ac:dyDescent="0.3">
      <c r="B126" s="34">
        <v>121</v>
      </c>
      <c r="C126" s="31" t="s">
        <v>137</v>
      </c>
      <c r="D126" s="33">
        <v>150000</v>
      </c>
      <c r="E126" s="33">
        <v>19995</v>
      </c>
      <c r="F126" s="32">
        <f t="shared" si="16"/>
        <v>169995</v>
      </c>
      <c r="G126" s="34">
        <v>50</v>
      </c>
      <c r="H126" s="32">
        <v>3399.9</v>
      </c>
      <c r="I126" s="34">
        <v>28</v>
      </c>
      <c r="J126" s="35">
        <f t="shared" si="17"/>
        <v>22</v>
      </c>
      <c r="K126" s="36">
        <f t="shared" si="19"/>
        <v>95197.2</v>
      </c>
      <c r="L126" s="32">
        <f t="shared" si="18"/>
        <v>74797.8</v>
      </c>
      <c r="M126" s="31"/>
      <c r="N126" s="9"/>
      <c r="O126" s="5"/>
    </row>
    <row r="127" spans="2:15" ht="18.75" x14ac:dyDescent="0.3">
      <c r="B127" s="34">
        <v>122</v>
      </c>
      <c r="C127" s="31" t="s">
        <v>230</v>
      </c>
      <c r="D127" s="33">
        <v>150000</v>
      </c>
      <c r="E127" s="33">
        <v>19995</v>
      </c>
      <c r="F127" s="32">
        <f t="shared" si="16"/>
        <v>169995</v>
      </c>
      <c r="G127" s="34">
        <v>50</v>
      </c>
      <c r="H127" s="32">
        <v>3399.9</v>
      </c>
      <c r="I127" s="34">
        <v>33</v>
      </c>
      <c r="J127" s="35">
        <f t="shared" si="17"/>
        <v>17</v>
      </c>
      <c r="K127" s="36">
        <f t="shared" si="19"/>
        <v>112196.7</v>
      </c>
      <c r="L127" s="32">
        <f t="shared" si="18"/>
        <v>57798.3</v>
      </c>
      <c r="M127" s="31"/>
      <c r="N127" s="9"/>
      <c r="O127" s="5"/>
    </row>
    <row r="128" spans="2:15" ht="18.75" x14ac:dyDescent="0.3">
      <c r="B128" s="34">
        <v>123</v>
      </c>
      <c r="C128" s="31" t="s">
        <v>139</v>
      </c>
      <c r="D128" s="33">
        <v>150000</v>
      </c>
      <c r="E128" s="33">
        <v>19995</v>
      </c>
      <c r="F128" s="32">
        <f t="shared" si="16"/>
        <v>169995</v>
      </c>
      <c r="G128" s="34">
        <v>50</v>
      </c>
      <c r="H128" s="32">
        <v>3399.9</v>
      </c>
      <c r="I128" s="34">
        <v>28</v>
      </c>
      <c r="J128" s="35">
        <f t="shared" si="17"/>
        <v>22</v>
      </c>
      <c r="K128" s="36">
        <f t="shared" si="19"/>
        <v>95197.2</v>
      </c>
      <c r="L128" s="32">
        <f t="shared" si="18"/>
        <v>74797.8</v>
      </c>
      <c r="M128" s="31"/>
      <c r="N128" s="9"/>
      <c r="O128" s="5"/>
    </row>
    <row r="129" spans="2:15" ht="18.75" x14ac:dyDescent="0.3">
      <c r="B129" s="34">
        <v>124</v>
      </c>
      <c r="C129" s="31" t="s">
        <v>229</v>
      </c>
      <c r="D129" s="33">
        <v>150000</v>
      </c>
      <c r="E129" s="33">
        <v>19995</v>
      </c>
      <c r="F129" s="32">
        <f t="shared" si="16"/>
        <v>169995</v>
      </c>
      <c r="G129" s="34">
        <v>50</v>
      </c>
      <c r="H129" s="32">
        <v>3399.9</v>
      </c>
      <c r="I129" s="34">
        <v>23</v>
      </c>
      <c r="J129" s="35">
        <f t="shared" si="17"/>
        <v>27</v>
      </c>
      <c r="K129" s="36">
        <f t="shared" si="19"/>
        <v>78197.7</v>
      </c>
      <c r="L129" s="36">
        <f t="shared" si="18"/>
        <v>91797.3</v>
      </c>
      <c r="M129" s="31"/>
      <c r="N129" s="9"/>
      <c r="O129" s="5"/>
    </row>
    <row r="130" spans="2:15" ht="18.75" x14ac:dyDescent="0.3">
      <c r="B130" s="34">
        <v>125</v>
      </c>
      <c r="C130" s="31" t="s">
        <v>207</v>
      </c>
      <c r="D130" s="33">
        <v>150000</v>
      </c>
      <c r="E130" s="33">
        <v>19995</v>
      </c>
      <c r="F130" s="32">
        <f t="shared" si="16"/>
        <v>169995</v>
      </c>
      <c r="G130" s="34">
        <v>50</v>
      </c>
      <c r="H130" s="32">
        <v>3399.9</v>
      </c>
      <c r="I130" s="34">
        <v>23</v>
      </c>
      <c r="J130" s="35">
        <f t="shared" si="17"/>
        <v>27</v>
      </c>
      <c r="K130" s="36">
        <f t="shared" ref="K130:K155" si="20">I130*H130</f>
        <v>78197.7</v>
      </c>
      <c r="L130" s="36">
        <f>F130-H130</f>
        <v>166595.1</v>
      </c>
      <c r="M130" s="31"/>
      <c r="N130" s="9"/>
      <c r="O130" s="5"/>
    </row>
    <row r="131" spans="2:15" ht="18.75" x14ac:dyDescent="0.3">
      <c r="B131" s="34">
        <v>126</v>
      </c>
      <c r="C131" s="50" t="s">
        <v>147</v>
      </c>
      <c r="D131" s="33">
        <v>150000</v>
      </c>
      <c r="E131" s="33">
        <v>19995</v>
      </c>
      <c r="F131" s="32">
        <f t="shared" ref="F131:F155" si="21">D131+E131</f>
        <v>169995</v>
      </c>
      <c r="G131" s="34">
        <v>50</v>
      </c>
      <c r="H131" s="32">
        <v>3399.9</v>
      </c>
      <c r="I131" s="81">
        <v>17</v>
      </c>
      <c r="J131" s="35">
        <f t="shared" si="17"/>
        <v>33</v>
      </c>
      <c r="K131" s="36">
        <f t="shared" si="20"/>
        <v>57798.3</v>
      </c>
      <c r="L131" s="36">
        <f t="shared" ref="L131:L155" si="22">F131-K131</f>
        <v>112196.7</v>
      </c>
      <c r="M131" s="31"/>
      <c r="N131" s="9"/>
      <c r="O131" s="5"/>
    </row>
    <row r="132" spans="2:15" s="21" customFormat="1" ht="18.75" x14ac:dyDescent="0.3">
      <c r="B132" s="34">
        <v>127</v>
      </c>
      <c r="C132" s="50" t="s">
        <v>151</v>
      </c>
      <c r="D132" s="33">
        <v>150000</v>
      </c>
      <c r="E132" s="33">
        <v>19995</v>
      </c>
      <c r="F132" s="32">
        <f t="shared" si="21"/>
        <v>169995</v>
      </c>
      <c r="G132" s="34">
        <v>50</v>
      </c>
      <c r="H132" s="32">
        <v>3399.9</v>
      </c>
      <c r="I132" s="81">
        <v>17</v>
      </c>
      <c r="J132" s="35">
        <f t="shared" si="17"/>
        <v>33</v>
      </c>
      <c r="K132" s="36">
        <f t="shared" si="20"/>
        <v>57798.3</v>
      </c>
      <c r="L132" s="36">
        <f t="shared" si="22"/>
        <v>112196.7</v>
      </c>
      <c r="M132" s="31"/>
      <c r="N132" s="31"/>
      <c r="O132" s="37"/>
    </row>
    <row r="133" spans="2:15" ht="18.75" x14ac:dyDescent="0.3">
      <c r="B133" s="34">
        <v>128</v>
      </c>
      <c r="C133" s="50" t="s">
        <v>152</v>
      </c>
      <c r="D133" s="33">
        <v>150000</v>
      </c>
      <c r="E133" s="33">
        <v>19995</v>
      </c>
      <c r="F133" s="32">
        <f t="shared" si="21"/>
        <v>169995</v>
      </c>
      <c r="G133" s="34">
        <v>50</v>
      </c>
      <c r="H133" s="32">
        <v>3399.9</v>
      </c>
      <c r="I133" s="81">
        <v>17</v>
      </c>
      <c r="J133" s="35">
        <f t="shared" si="17"/>
        <v>33</v>
      </c>
      <c r="K133" s="36">
        <f t="shared" si="20"/>
        <v>57798.3</v>
      </c>
      <c r="L133" s="36">
        <f t="shared" si="22"/>
        <v>112196.7</v>
      </c>
      <c r="M133" s="31"/>
      <c r="N133" s="9"/>
      <c r="O133" s="5"/>
    </row>
    <row r="134" spans="2:15" ht="18.75" x14ac:dyDescent="0.3">
      <c r="B134" s="34">
        <v>129</v>
      </c>
      <c r="C134" s="50" t="s">
        <v>153</v>
      </c>
      <c r="D134" s="33">
        <v>150000</v>
      </c>
      <c r="E134" s="33">
        <v>19995</v>
      </c>
      <c r="F134" s="32">
        <f t="shared" si="21"/>
        <v>169995</v>
      </c>
      <c r="G134" s="34">
        <v>50</v>
      </c>
      <c r="H134" s="32">
        <v>3399.9</v>
      </c>
      <c r="I134" s="81">
        <v>17</v>
      </c>
      <c r="J134" s="35">
        <f t="shared" ref="J134:J155" si="23">G134-I134</f>
        <v>33</v>
      </c>
      <c r="K134" s="36">
        <f t="shared" si="20"/>
        <v>57798.3</v>
      </c>
      <c r="L134" s="36">
        <f t="shared" si="22"/>
        <v>112196.7</v>
      </c>
      <c r="M134" s="31"/>
      <c r="N134" s="9"/>
      <c r="O134" s="5"/>
    </row>
    <row r="135" spans="2:15" s="22" customFormat="1" ht="18.75" x14ac:dyDescent="0.3">
      <c r="B135" s="34">
        <v>130</v>
      </c>
      <c r="C135" s="50" t="s">
        <v>216</v>
      </c>
      <c r="D135" s="33">
        <v>150000</v>
      </c>
      <c r="E135" s="33">
        <v>19995</v>
      </c>
      <c r="F135" s="32">
        <f t="shared" si="21"/>
        <v>169995</v>
      </c>
      <c r="G135" s="34">
        <v>50</v>
      </c>
      <c r="H135" s="32">
        <v>3399.9</v>
      </c>
      <c r="I135" s="81">
        <v>9</v>
      </c>
      <c r="J135" s="35">
        <f t="shared" si="23"/>
        <v>41</v>
      </c>
      <c r="K135" s="36">
        <f t="shared" si="20"/>
        <v>30599.100000000002</v>
      </c>
      <c r="L135" s="36">
        <f t="shared" si="22"/>
        <v>139395.9</v>
      </c>
      <c r="M135" s="31"/>
    </row>
    <row r="136" spans="2:15" ht="18.75" x14ac:dyDescent="0.3">
      <c r="B136" s="34">
        <v>131</v>
      </c>
      <c r="C136" s="50" t="s">
        <v>213</v>
      </c>
      <c r="D136" s="33">
        <v>150000</v>
      </c>
      <c r="E136" s="33">
        <v>19995</v>
      </c>
      <c r="F136" s="32">
        <f t="shared" si="21"/>
        <v>169995</v>
      </c>
      <c r="G136" s="34">
        <v>50</v>
      </c>
      <c r="H136" s="32">
        <v>3399.9</v>
      </c>
      <c r="I136" s="81">
        <v>9</v>
      </c>
      <c r="J136" s="35">
        <f t="shared" si="23"/>
        <v>41</v>
      </c>
      <c r="K136" s="36">
        <f t="shared" si="20"/>
        <v>30599.100000000002</v>
      </c>
      <c r="L136" s="36">
        <f t="shared" si="22"/>
        <v>139395.9</v>
      </c>
      <c r="M136" s="31"/>
      <c r="N136" s="5"/>
      <c r="O136" s="5"/>
    </row>
    <row r="137" spans="2:15" ht="18.75" x14ac:dyDescent="0.3">
      <c r="B137" s="34">
        <v>132</v>
      </c>
      <c r="C137" s="50" t="s">
        <v>23</v>
      </c>
      <c r="D137" s="33">
        <v>150000</v>
      </c>
      <c r="E137" s="33">
        <v>19995</v>
      </c>
      <c r="F137" s="32">
        <f t="shared" si="21"/>
        <v>169995</v>
      </c>
      <c r="G137" s="34">
        <v>50</v>
      </c>
      <c r="H137" s="32">
        <v>3399.9</v>
      </c>
      <c r="I137" s="81">
        <v>9</v>
      </c>
      <c r="J137" s="35">
        <f t="shared" si="23"/>
        <v>41</v>
      </c>
      <c r="K137" s="36">
        <f t="shared" si="20"/>
        <v>30599.100000000002</v>
      </c>
      <c r="L137" s="36">
        <f t="shared" si="22"/>
        <v>139395.9</v>
      </c>
      <c r="M137" s="31"/>
      <c r="N137" s="5"/>
      <c r="O137" s="5"/>
    </row>
    <row r="138" spans="2:15" ht="18.75" x14ac:dyDescent="0.3">
      <c r="B138" s="34">
        <v>133</v>
      </c>
      <c r="C138" s="50" t="s">
        <v>24</v>
      </c>
      <c r="D138" s="33">
        <v>150000</v>
      </c>
      <c r="E138" s="33">
        <v>19995</v>
      </c>
      <c r="F138" s="32">
        <f t="shared" si="21"/>
        <v>169995</v>
      </c>
      <c r="G138" s="34">
        <v>50</v>
      </c>
      <c r="H138" s="32">
        <v>3399.9</v>
      </c>
      <c r="I138" s="81">
        <v>9</v>
      </c>
      <c r="J138" s="35">
        <f t="shared" si="23"/>
        <v>41</v>
      </c>
      <c r="K138" s="36">
        <f t="shared" si="20"/>
        <v>30599.100000000002</v>
      </c>
      <c r="L138" s="36">
        <f t="shared" si="22"/>
        <v>139395.9</v>
      </c>
      <c r="M138" s="31"/>
      <c r="N138" s="9"/>
      <c r="O138" s="5"/>
    </row>
    <row r="139" spans="2:15" ht="18.75" x14ac:dyDescent="0.3">
      <c r="B139" s="34">
        <v>134</v>
      </c>
      <c r="C139" s="50" t="s">
        <v>27</v>
      </c>
      <c r="D139" s="33">
        <v>150000</v>
      </c>
      <c r="E139" s="33">
        <v>19995</v>
      </c>
      <c r="F139" s="32">
        <f t="shared" si="21"/>
        <v>169995</v>
      </c>
      <c r="G139" s="34">
        <v>50</v>
      </c>
      <c r="H139" s="32">
        <v>3399.9</v>
      </c>
      <c r="I139" s="81">
        <v>7</v>
      </c>
      <c r="J139" s="35">
        <f t="shared" si="23"/>
        <v>43</v>
      </c>
      <c r="K139" s="36">
        <f t="shared" si="20"/>
        <v>23799.3</v>
      </c>
      <c r="L139" s="36">
        <f t="shared" si="22"/>
        <v>146195.70000000001</v>
      </c>
      <c r="M139" s="31"/>
      <c r="N139" s="9"/>
      <c r="O139" s="5"/>
    </row>
    <row r="140" spans="2:15" ht="18.75" x14ac:dyDescent="0.3">
      <c r="B140" s="34">
        <v>135</v>
      </c>
      <c r="C140" s="29" t="s">
        <v>32</v>
      </c>
      <c r="D140" s="33">
        <v>150000</v>
      </c>
      <c r="E140" s="33">
        <v>19995</v>
      </c>
      <c r="F140" s="32">
        <f t="shared" si="21"/>
        <v>169995</v>
      </c>
      <c r="G140" s="34">
        <v>50</v>
      </c>
      <c r="H140" s="32">
        <v>3399.9</v>
      </c>
      <c r="I140" s="81">
        <v>7</v>
      </c>
      <c r="J140" s="35">
        <f t="shared" si="23"/>
        <v>43</v>
      </c>
      <c r="K140" s="36">
        <f t="shared" si="20"/>
        <v>23799.3</v>
      </c>
      <c r="L140" s="36">
        <f t="shared" si="22"/>
        <v>146195.70000000001</v>
      </c>
      <c r="M140" s="31"/>
      <c r="N140" s="9"/>
      <c r="O140" s="5"/>
    </row>
    <row r="141" spans="2:15" ht="18.75" x14ac:dyDescent="0.3">
      <c r="B141" s="34">
        <v>136</v>
      </c>
      <c r="C141" s="29" t="s">
        <v>33</v>
      </c>
      <c r="D141" s="33">
        <v>150000</v>
      </c>
      <c r="E141" s="33">
        <v>19995</v>
      </c>
      <c r="F141" s="32">
        <f t="shared" si="21"/>
        <v>169995</v>
      </c>
      <c r="G141" s="34">
        <v>50</v>
      </c>
      <c r="H141" s="32">
        <v>3399.9</v>
      </c>
      <c r="I141" s="81">
        <v>7</v>
      </c>
      <c r="J141" s="35">
        <f t="shared" si="23"/>
        <v>43</v>
      </c>
      <c r="K141" s="36">
        <f t="shared" si="20"/>
        <v>23799.3</v>
      </c>
      <c r="L141" s="36">
        <f t="shared" si="22"/>
        <v>146195.70000000001</v>
      </c>
      <c r="M141" s="31"/>
      <c r="N141" s="9"/>
      <c r="O141" s="5"/>
    </row>
    <row r="142" spans="2:15" ht="18.75" x14ac:dyDescent="0.3">
      <c r="B142" s="34">
        <v>137</v>
      </c>
      <c r="C142" s="29" t="s">
        <v>34</v>
      </c>
      <c r="D142" s="33">
        <v>150000</v>
      </c>
      <c r="E142" s="33">
        <v>19995</v>
      </c>
      <c r="F142" s="32">
        <f t="shared" si="21"/>
        <v>169995</v>
      </c>
      <c r="G142" s="34">
        <v>50</v>
      </c>
      <c r="H142" s="32">
        <v>3399.9</v>
      </c>
      <c r="I142" s="81">
        <v>7</v>
      </c>
      <c r="J142" s="35">
        <f t="shared" si="23"/>
        <v>43</v>
      </c>
      <c r="K142" s="36">
        <f t="shared" si="20"/>
        <v>23799.3</v>
      </c>
      <c r="L142" s="36">
        <f t="shared" si="22"/>
        <v>146195.70000000001</v>
      </c>
      <c r="M142" s="31"/>
    </row>
    <row r="143" spans="2:15" ht="18.75" x14ac:dyDescent="0.3">
      <c r="B143" s="34">
        <v>138</v>
      </c>
      <c r="C143" s="29" t="s">
        <v>41</v>
      </c>
      <c r="D143" s="33">
        <v>150000</v>
      </c>
      <c r="E143" s="33">
        <v>19995</v>
      </c>
      <c r="F143" s="32">
        <f t="shared" si="21"/>
        <v>169995</v>
      </c>
      <c r="G143" s="34">
        <v>50</v>
      </c>
      <c r="H143" s="32">
        <v>3399.9</v>
      </c>
      <c r="I143" s="81">
        <v>5</v>
      </c>
      <c r="J143" s="35">
        <f t="shared" si="23"/>
        <v>45</v>
      </c>
      <c r="K143" s="36">
        <f t="shared" si="20"/>
        <v>16999.5</v>
      </c>
      <c r="L143" s="36">
        <f t="shared" si="22"/>
        <v>152995.5</v>
      </c>
      <c r="M143" s="31"/>
    </row>
    <row r="144" spans="2:15" ht="18.75" x14ac:dyDescent="0.3">
      <c r="B144" s="34">
        <v>139</v>
      </c>
      <c r="C144" s="29" t="s">
        <v>157</v>
      </c>
      <c r="D144" s="33">
        <v>150000</v>
      </c>
      <c r="E144" s="33">
        <v>19995</v>
      </c>
      <c r="F144" s="32">
        <f t="shared" si="21"/>
        <v>169995</v>
      </c>
      <c r="G144" s="34">
        <v>50</v>
      </c>
      <c r="H144" s="32">
        <v>3399</v>
      </c>
      <c r="I144" s="81">
        <v>19</v>
      </c>
      <c r="J144" s="35">
        <f t="shared" si="23"/>
        <v>31</v>
      </c>
      <c r="K144" s="36">
        <f t="shared" si="20"/>
        <v>64581</v>
      </c>
      <c r="L144" s="36">
        <f t="shared" si="22"/>
        <v>105414</v>
      </c>
      <c r="M144" s="31"/>
    </row>
    <row r="145" spans="2:13" ht="18.75" x14ac:dyDescent="0.3">
      <c r="B145" s="34">
        <v>140</v>
      </c>
      <c r="C145" s="29" t="s">
        <v>158</v>
      </c>
      <c r="D145" s="33">
        <v>150000</v>
      </c>
      <c r="E145" s="33">
        <v>19995</v>
      </c>
      <c r="F145" s="32">
        <f t="shared" si="21"/>
        <v>169995</v>
      </c>
      <c r="G145" s="34">
        <v>50</v>
      </c>
      <c r="H145" s="32">
        <v>3399.9</v>
      </c>
      <c r="I145" s="34">
        <v>43</v>
      </c>
      <c r="J145" s="35">
        <f t="shared" si="23"/>
        <v>7</v>
      </c>
      <c r="K145" s="36">
        <f t="shared" si="20"/>
        <v>146195.70000000001</v>
      </c>
      <c r="L145" s="36">
        <f t="shared" si="22"/>
        <v>23799.299999999988</v>
      </c>
      <c r="M145" s="31"/>
    </row>
    <row r="146" spans="2:13" ht="18.75" x14ac:dyDescent="0.3">
      <c r="B146" s="34">
        <v>141</v>
      </c>
      <c r="C146" s="29" t="s">
        <v>165</v>
      </c>
      <c r="D146" s="33">
        <v>150000</v>
      </c>
      <c r="E146" s="33">
        <v>19995</v>
      </c>
      <c r="F146" s="32">
        <f t="shared" si="21"/>
        <v>169995</v>
      </c>
      <c r="G146" s="34">
        <v>50</v>
      </c>
      <c r="H146" s="32">
        <v>3399</v>
      </c>
      <c r="I146" s="81">
        <v>19</v>
      </c>
      <c r="J146" s="35">
        <f t="shared" si="23"/>
        <v>31</v>
      </c>
      <c r="K146" s="36">
        <f t="shared" si="20"/>
        <v>64581</v>
      </c>
      <c r="L146" s="36">
        <f t="shared" si="22"/>
        <v>105414</v>
      </c>
      <c r="M146" s="31"/>
    </row>
    <row r="147" spans="2:13" ht="18.75" x14ac:dyDescent="0.3">
      <c r="B147" s="34">
        <v>142</v>
      </c>
      <c r="C147" s="29" t="s">
        <v>168</v>
      </c>
      <c r="D147" s="33">
        <v>150000</v>
      </c>
      <c r="E147" s="33">
        <v>19995</v>
      </c>
      <c r="F147" s="32">
        <f t="shared" si="21"/>
        <v>169995</v>
      </c>
      <c r="G147" s="34">
        <v>50</v>
      </c>
      <c r="H147" s="32">
        <v>3399</v>
      </c>
      <c r="I147" s="81">
        <v>19</v>
      </c>
      <c r="J147" s="35">
        <f t="shared" si="23"/>
        <v>31</v>
      </c>
      <c r="K147" s="36">
        <f t="shared" si="20"/>
        <v>64581</v>
      </c>
      <c r="L147" s="36">
        <f t="shared" si="22"/>
        <v>105414</v>
      </c>
      <c r="M147" s="31"/>
    </row>
    <row r="148" spans="2:13" ht="18.75" x14ac:dyDescent="0.3">
      <c r="B148" s="34">
        <v>143</v>
      </c>
      <c r="C148" s="29" t="s">
        <v>181</v>
      </c>
      <c r="D148" s="33">
        <v>150000</v>
      </c>
      <c r="E148" s="33">
        <v>19995</v>
      </c>
      <c r="F148" s="32">
        <f t="shared" si="21"/>
        <v>169995</v>
      </c>
      <c r="G148" s="34">
        <v>50</v>
      </c>
      <c r="H148" s="32">
        <v>3399</v>
      </c>
      <c r="I148" s="81">
        <v>17</v>
      </c>
      <c r="J148" s="35">
        <f t="shared" si="23"/>
        <v>33</v>
      </c>
      <c r="K148" s="36">
        <f t="shared" si="20"/>
        <v>57783</v>
      </c>
      <c r="L148" s="36">
        <f t="shared" si="22"/>
        <v>112212</v>
      </c>
      <c r="M148" s="31"/>
    </row>
    <row r="149" spans="2:13" ht="18.75" x14ac:dyDescent="0.3">
      <c r="B149" s="34">
        <v>144</v>
      </c>
      <c r="C149" s="29" t="s">
        <v>52</v>
      </c>
      <c r="D149" s="33">
        <v>150000</v>
      </c>
      <c r="E149" s="33">
        <v>19995</v>
      </c>
      <c r="F149" s="32">
        <f t="shared" si="21"/>
        <v>169995</v>
      </c>
      <c r="G149" s="34">
        <v>50</v>
      </c>
      <c r="H149" s="32">
        <v>3399.9</v>
      </c>
      <c r="I149" s="81">
        <v>4</v>
      </c>
      <c r="J149" s="35">
        <f t="shared" si="23"/>
        <v>46</v>
      </c>
      <c r="K149" s="36">
        <f t="shared" si="20"/>
        <v>13599.6</v>
      </c>
      <c r="L149" s="36">
        <f t="shared" si="22"/>
        <v>156395.4</v>
      </c>
      <c r="M149" s="31"/>
    </row>
    <row r="150" spans="2:13" ht="18.75" x14ac:dyDescent="0.3">
      <c r="B150" s="34">
        <v>145</v>
      </c>
      <c r="C150" s="29" t="s">
        <v>53</v>
      </c>
      <c r="D150" s="33">
        <v>150000</v>
      </c>
      <c r="E150" s="33">
        <v>19995</v>
      </c>
      <c r="F150" s="32">
        <f t="shared" si="21"/>
        <v>169995</v>
      </c>
      <c r="G150" s="34">
        <v>50</v>
      </c>
      <c r="H150" s="32">
        <v>3399.9</v>
      </c>
      <c r="I150" s="81">
        <v>4</v>
      </c>
      <c r="J150" s="35">
        <f t="shared" si="23"/>
        <v>46</v>
      </c>
      <c r="K150" s="36">
        <f t="shared" si="20"/>
        <v>13599.6</v>
      </c>
      <c r="L150" s="36">
        <f t="shared" si="22"/>
        <v>156395.4</v>
      </c>
      <c r="M150" s="31"/>
    </row>
    <row r="151" spans="2:13" ht="18.75" x14ac:dyDescent="0.3">
      <c r="B151" s="34">
        <v>146</v>
      </c>
      <c r="C151" s="29" t="s">
        <v>250</v>
      </c>
      <c r="D151" s="33">
        <v>150000</v>
      </c>
      <c r="E151" s="33">
        <v>19995</v>
      </c>
      <c r="F151" s="32">
        <f t="shared" si="21"/>
        <v>169995</v>
      </c>
      <c r="G151" s="34">
        <v>50</v>
      </c>
      <c r="H151" s="32">
        <v>3399.9</v>
      </c>
      <c r="I151" s="81">
        <v>4</v>
      </c>
      <c r="J151" s="35">
        <f t="shared" si="23"/>
        <v>46</v>
      </c>
      <c r="K151" s="36">
        <f t="shared" si="20"/>
        <v>13599.6</v>
      </c>
      <c r="L151" s="36">
        <f t="shared" si="22"/>
        <v>156395.4</v>
      </c>
      <c r="M151" s="31"/>
    </row>
    <row r="152" spans="2:13" ht="18.75" x14ac:dyDescent="0.3">
      <c r="B152" s="34">
        <v>147</v>
      </c>
      <c r="C152" s="29" t="s">
        <v>51</v>
      </c>
      <c r="D152" s="33">
        <v>150000</v>
      </c>
      <c r="E152" s="33">
        <v>19995</v>
      </c>
      <c r="F152" s="32">
        <f t="shared" si="21"/>
        <v>169995</v>
      </c>
      <c r="G152" s="34">
        <v>50</v>
      </c>
      <c r="H152" s="32">
        <v>3339.9</v>
      </c>
      <c r="I152" s="81">
        <v>4</v>
      </c>
      <c r="J152" s="35">
        <f t="shared" si="23"/>
        <v>46</v>
      </c>
      <c r="K152" s="36">
        <f t="shared" si="20"/>
        <v>13359.6</v>
      </c>
      <c r="L152" s="36">
        <f t="shared" si="22"/>
        <v>156635.4</v>
      </c>
      <c r="M152" s="31"/>
    </row>
    <row r="153" spans="2:13" ht="18.75" x14ac:dyDescent="0.3">
      <c r="B153" s="34">
        <v>148</v>
      </c>
      <c r="C153" s="29" t="s">
        <v>58</v>
      </c>
      <c r="D153" s="33">
        <v>150000</v>
      </c>
      <c r="E153" s="33">
        <v>19995</v>
      </c>
      <c r="F153" s="32">
        <f t="shared" si="21"/>
        <v>169995</v>
      </c>
      <c r="G153" s="34">
        <v>50</v>
      </c>
      <c r="H153" s="32">
        <v>3399.9</v>
      </c>
      <c r="I153" s="81">
        <v>2</v>
      </c>
      <c r="J153" s="35">
        <f t="shared" si="23"/>
        <v>48</v>
      </c>
      <c r="K153" s="36">
        <f t="shared" si="20"/>
        <v>6799.8</v>
      </c>
      <c r="L153" s="36">
        <f t="shared" si="22"/>
        <v>163195.20000000001</v>
      </c>
      <c r="M153" s="31"/>
    </row>
    <row r="154" spans="2:13" ht="18.75" x14ac:dyDescent="0.3">
      <c r="B154" s="34">
        <v>149</v>
      </c>
      <c r="C154" s="29" t="s">
        <v>61</v>
      </c>
      <c r="D154" s="33">
        <v>150000</v>
      </c>
      <c r="E154" s="33">
        <v>19995</v>
      </c>
      <c r="F154" s="32">
        <f t="shared" si="21"/>
        <v>169995</v>
      </c>
      <c r="G154" s="34">
        <v>50</v>
      </c>
      <c r="H154" s="32">
        <v>3399.9</v>
      </c>
      <c r="I154" s="81">
        <v>2</v>
      </c>
      <c r="J154" s="35">
        <f t="shared" si="23"/>
        <v>48</v>
      </c>
      <c r="K154" s="36">
        <f t="shared" si="20"/>
        <v>6799.8</v>
      </c>
      <c r="L154" s="36">
        <f t="shared" si="22"/>
        <v>163195.20000000001</v>
      </c>
      <c r="M154" s="31"/>
    </row>
    <row r="155" spans="2:13" ht="18.75" x14ac:dyDescent="0.3">
      <c r="B155" s="34">
        <v>150</v>
      </c>
      <c r="C155" s="29" t="s">
        <v>60</v>
      </c>
      <c r="D155" s="33">
        <v>150000</v>
      </c>
      <c r="E155" s="33">
        <v>19995</v>
      </c>
      <c r="F155" s="32">
        <f t="shared" si="21"/>
        <v>169995</v>
      </c>
      <c r="G155" s="34">
        <v>50</v>
      </c>
      <c r="H155" s="32">
        <v>3399.9</v>
      </c>
      <c r="I155" s="81">
        <v>2</v>
      </c>
      <c r="J155" s="35">
        <f t="shared" si="23"/>
        <v>48</v>
      </c>
      <c r="K155" s="36">
        <f t="shared" si="20"/>
        <v>6799.8</v>
      </c>
      <c r="L155" s="36">
        <f t="shared" si="22"/>
        <v>163195.20000000001</v>
      </c>
      <c r="M155" s="31"/>
    </row>
    <row r="156" spans="2:13" s="75" customFormat="1" ht="18.75" x14ac:dyDescent="0.3">
      <c r="B156" s="71"/>
      <c r="C156" s="69" t="s">
        <v>296</v>
      </c>
      <c r="D156" s="76">
        <f>SUM(D6:D155)</f>
        <v>44740000</v>
      </c>
      <c r="E156" s="76">
        <f t="shared" ref="E156:F156" si="24">SUM(E6:E155)</f>
        <v>5929183.9199999999</v>
      </c>
      <c r="F156" s="76">
        <f t="shared" si="24"/>
        <v>50669183.920000002</v>
      </c>
      <c r="G156" s="71"/>
      <c r="H156" s="76">
        <f>SUM(H6:H155)</f>
        <v>1025978.7900000024</v>
      </c>
      <c r="I156" s="73"/>
      <c r="J156" s="74"/>
      <c r="K156" s="76">
        <f t="shared" ref="K156:L156" si="25">SUM(K6:K155)</f>
        <v>20400780.749999993</v>
      </c>
      <c r="L156" s="76">
        <f t="shared" si="25"/>
        <v>30343200.970000006</v>
      </c>
      <c r="M156" s="53"/>
    </row>
    <row r="157" spans="2:13" ht="18.75" x14ac:dyDescent="0.3">
      <c r="B157" s="34"/>
      <c r="C157" s="48"/>
      <c r="D157" s="43"/>
      <c r="E157" s="44"/>
      <c r="F157" s="43"/>
      <c r="G157" s="41"/>
      <c r="H157" s="43"/>
      <c r="I157" s="46"/>
      <c r="J157" s="47"/>
      <c r="K157" s="45"/>
      <c r="L157" s="45"/>
      <c r="M157" s="49"/>
    </row>
    <row r="158" spans="2:13" ht="18.75" x14ac:dyDescent="0.3">
      <c r="B158" s="9"/>
      <c r="C158" s="8" t="s">
        <v>217</v>
      </c>
      <c r="D158" s="9"/>
      <c r="E158" s="9"/>
      <c r="F158" s="9"/>
      <c r="G158" s="9"/>
      <c r="H158" s="9"/>
      <c r="I158" s="9"/>
      <c r="J158" s="9"/>
      <c r="K158" s="9"/>
      <c r="L158" s="9"/>
      <c r="M158" s="49"/>
    </row>
    <row r="159" spans="2:13" ht="18.75" x14ac:dyDescent="0.3">
      <c r="B159" s="9">
        <v>1</v>
      </c>
      <c r="C159" s="9" t="s">
        <v>160</v>
      </c>
      <c r="D159" s="12">
        <v>500000</v>
      </c>
      <c r="E159" s="12">
        <v>66650</v>
      </c>
      <c r="F159" s="12">
        <v>566650</v>
      </c>
      <c r="G159" s="14">
        <v>50</v>
      </c>
      <c r="H159" s="12">
        <v>11333</v>
      </c>
      <c r="I159" s="14">
        <v>23</v>
      </c>
      <c r="J159" s="35">
        <f t="shared" ref="J159:J170" si="26">G159-I159</f>
        <v>27</v>
      </c>
      <c r="K159" s="36">
        <f t="shared" ref="K159:K170" si="27">H159*I159</f>
        <v>260659</v>
      </c>
      <c r="L159" s="32">
        <f t="shared" ref="L159:L170" si="28">F159-K159</f>
        <v>305991</v>
      </c>
      <c r="M159" s="49"/>
    </row>
    <row r="160" spans="2:13" ht="18.75" x14ac:dyDescent="0.3">
      <c r="B160" s="9">
        <v>2</v>
      </c>
      <c r="C160" s="9" t="s">
        <v>164</v>
      </c>
      <c r="D160" s="12">
        <v>450000</v>
      </c>
      <c r="E160" s="12">
        <v>59985</v>
      </c>
      <c r="F160" s="12">
        <v>509985</v>
      </c>
      <c r="G160" s="14">
        <v>50</v>
      </c>
      <c r="H160" s="12">
        <v>10199.700000000001</v>
      </c>
      <c r="I160" s="14">
        <v>29</v>
      </c>
      <c r="J160" s="35">
        <f t="shared" si="26"/>
        <v>21</v>
      </c>
      <c r="K160" s="36">
        <f t="shared" si="27"/>
        <v>295791.30000000005</v>
      </c>
      <c r="L160" s="32">
        <f t="shared" si="28"/>
        <v>214193.69999999995</v>
      </c>
      <c r="M160" s="49"/>
    </row>
    <row r="161" spans="2:13" ht="18.75" x14ac:dyDescent="0.3">
      <c r="B161" s="9">
        <v>3</v>
      </c>
      <c r="C161" s="9" t="s">
        <v>184</v>
      </c>
      <c r="D161" s="12">
        <v>330000</v>
      </c>
      <c r="E161" s="12">
        <v>43989</v>
      </c>
      <c r="F161" s="12">
        <v>373989</v>
      </c>
      <c r="G161" s="14">
        <v>50</v>
      </c>
      <c r="H161" s="12">
        <v>7479.78</v>
      </c>
      <c r="I161" s="14">
        <v>41</v>
      </c>
      <c r="J161" s="35">
        <f t="shared" si="26"/>
        <v>9</v>
      </c>
      <c r="K161" s="36">
        <f t="shared" si="27"/>
        <v>306670.98</v>
      </c>
      <c r="L161" s="32">
        <f t="shared" si="28"/>
        <v>67318.020000000019</v>
      </c>
      <c r="M161" s="49"/>
    </row>
    <row r="162" spans="2:13" ht="18.75" x14ac:dyDescent="0.3">
      <c r="B162" s="9">
        <v>4</v>
      </c>
      <c r="C162" s="9" t="s">
        <v>180</v>
      </c>
      <c r="D162" s="12">
        <v>330000</v>
      </c>
      <c r="E162" s="12">
        <v>43989</v>
      </c>
      <c r="F162" s="12">
        <v>373989</v>
      </c>
      <c r="G162" s="14">
        <v>50</v>
      </c>
      <c r="H162" s="12">
        <v>7479.78</v>
      </c>
      <c r="I162" s="14">
        <v>23</v>
      </c>
      <c r="J162" s="35">
        <f t="shared" si="26"/>
        <v>27</v>
      </c>
      <c r="K162" s="36">
        <f t="shared" si="27"/>
        <v>172034.94</v>
      </c>
      <c r="L162" s="32">
        <f t="shared" si="28"/>
        <v>201954.06</v>
      </c>
      <c r="M162" s="49"/>
    </row>
    <row r="163" spans="2:13" ht="18.75" x14ac:dyDescent="0.3">
      <c r="B163" s="9">
        <v>5</v>
      </c>
      <c r="C163" s="9" t="s">
        <v>169</v>
      </c>
      <c r="D163" s="12">
        <v>180000</v>
      </c>
      <c r="E163" s="12">
        <v>23994</v>
      </c>
      <c r="F163" s="12">
        <v>203994</v>
      </c>
      <c r="G163" s="14">
        <v>40</v>
      </c>
      <c r="H163" s="12">
        <v>5099.8500000000004</v>
      </c>
      <c r="I163" s="14">
        <v>40</v>
      </c>
      <c r="J163" s="35">
        <f t="shared" si="26"/>
        <v>0</v>
      </c>
      <c r="K163" s="36">
        <f t="shared" si="27"/>
        <v>203994</v>
      </c>
      <c r="L163" s="32">
        <f t="shared" si="28"/>
        <v>0</v>
      </c>
      <c r="M163" s="49"/>
    </row>
    <row r="164" spans="2:13" ht="18.75" x14ac:dyDescent="0.3">
      <c r="B164" s="9">
        <v>6</v>
      </c>
      <c r="C164" s="9" t="s">
        <v>162</v>
      </c>
      <c r="D164" s="12">
        <v>150000</v>
      </c>
      <c r="E164" s="12">
        <v>19995</v>
      </c>
      <c r="F164" s="12">
        <v>169995</v>
      </c>
      <c r="G164" s="14">
        <v>50</v>
      </c>
      <c r="H164" s="12">
        <v>3399.9</v>
      </c>
      <c r="I164" s="14">
        <v>23</v>
      </c>
      <c r="J164" s="35">
        <f t="shared" si="26"/>
        <v>27</v>
      </c>
      <c r="K164" s="36">
        <f t="shared" si="27"/>
        <v>78197.7</v>
      </c>
      <c r="L164" s="32">
        <f t="shared" si="28"/>
        <v>91797.3</v>
      </c>
      <c r="M164" s="49"/>
    </row>
    <row r="165" spans="2:13" ht="18.75" x14ac:dyDescent="0.3">
      <c r="B165" s="9">
        <v>7</v>
      </c>
      <c r="C165" s="9" t="s">
        <v>163</v>
      </c>
      <c r="D165" s="12">
        <v>150000</v>
      </c>
      <c r="E165" s="12">
        <v>19995</v>
      </c>
      <c r="F165" s="12">
        <v>169995</v>
      </c>
      <c r="G165" s="14">
        <v>50</v>
      </c>
      <c r="H165" s="12">
        <v>3399.9</v>
      </c>
      <c r="I165" s="14">
        <v>23</v>
      </c>
      <c r="J165" s="35">
        <f t="shared" si="26"/>
        <v>27</v>
      </c>
      <c r="K165" s="36">
        <f t="shared" si="27"/>
        <v>78197.7</v>
      </c>
      <c r="L165" s="32">
        <f t="shared" si="28"/>
        <v>91797.3</v>
      </c>
      <c r="M165" s="49"/>
    </row>
    <row r="166" spans="2:13" ht="18.75" x14ac:dyDescent="0.3">
      <c r="B166" s="9">
        <v>8</v>
      </c>
      <c r="C166" s="9" t="s">
        <v>167</v>
      </c>
      <c r="D166" s="12">
        <v>150000</v>
      </c>
      <c r="E166" s="12">
        <v>19995</v>
      </c>
      <c r="F166" s="12">
        <v>169995</v>
      </c>
      <c r="G166" s="14">
        <v>50</v>
      </c>
      <c r="H166" s="12">
        <v>3399.9</v>
      </c>
      <c r="I166" s="14">
        <v>23</v>
      </c>
      <c r="J166" s="35">
        <f t="shared" si="26"/>
        <v>27</v>
      </c>
      <c r="K166" s="36">
        <f t="shared" si="27"/>
        <v>78197.7</v>
      </c>
      <c r="L166" s="32">
        <f t="shared" si="28"/>
        <v>91797.3</v>
      </c>
      <c r="M166" s="49"/>
    </row>
    <row r="167" spans="2:13" ht="18.75" x14ac:dyDescent="0.3">
      <c r="B167" s="9">
        <v>9</v>
      </c>
      <c r="C167" s="9" t="s">
        <v>186</v>
      </c>
      <c r="D167" s="12">
        <v>150000</v>
      </c>
      <c r="E167" s="12">
        <v>19995</v>
      </c>
      <c r="F167" s="12">
        <v>169995</v>
      </c>
      <c r="G167" s="14">
        <v>50</v>
      </c>
      <c r="H167" s="12">
        <v>3399.9</v>
      </c>
      <c r="I167" s="14">
        <v>23</v>
      </c>
      <c r="J167" s="35">
        <f t="shared" si="26"/>
        <v>27</v>
      </c>
      <c r="K167" s="36">
        <f t="shared" si="27"/>
        <v>78197.7</v>
      </c>
      <c r="L167" s="32">
        <f t="shared" si="28"/>
        <v>91797.3</v>
      </c>
      <c r="M167" s="49"/>
    </row>
    <row r="168" spans="2:13" ht="18.75" x14ac:dyDescent="0.3">
      <c r="B168" s="9">
        <v>10</v>
      </c>
      <c r="C168" s="9" t="s">
        <v>188</v>
      </c>
      <c r="D168" s="12">
        <v>150000</v>
      </c>
      <c r="E168" s="12">
        <v>19995</v>
      </c>
      <c r="F168" s="12">
        <v>169995</v>
      </c>
      <c r="G168" s="14">
        <v>50</v>
      </c>
      <c r="H168" s="12">
        <v>3399.9</v>
      </c>
      <c r="I168" s="14">
        <v>23</v>
      </c>
      <c r="J168" s="35">
        <f t="shared" si="26"/>
        <v>27</v>
      </c>
      <c r="K168" s="36">
        <f t="shared" si="27"/>
        <v>78197.7</v>
      </c>
      <c r="L168" s="32">
        <f t="shared" si="28"/>
        <v>91797.3</v>
      </c>
      <c r="M168" s="49"/>
    </row>
    <row r="169" spans="2:13" ht="18.75" x14ac:dyDescent="0.3">
      <c r="B169" s="9">
        <v>11</v>
      </c>
      <c r="C169" s="9" t="s">
        <v>166</v>
      </c>
      <c r="D169" s="12">
        <v>150000</v>
      </c>
      <c r="E169" s="12">
        <v>19995</v>
      </c>
      <c r="F169" s="12">
        <v>169995</v>
      </c>
      <c r="G169" s="14">
        <v>50</v>
      </c>
      <c r="H169" s="12">
        <v>3399.9</v>
      </c>
      <c r="I169" s="14">
        <v>23</v>
      </c>
      <c r="J169" s="35">
        <f t="shared" si="26"/>
        <v>27</v>
      </c>
      <c r="K169" s="36">
        <f t="shared" si="27"/>
        <v>78197.7</v>
      </c>
      <c r="L169" s="32">
        <f t="shared" si="28"/>
        <v>91797.3</v>
      </c>
      <c r="M169" s="42"/>
    </row>
    <row r="170" spans="2:13" s="23" customFormat="1" ht="18.75" x14ac:dyDescent="0.3">
      <c r="B170" s="9">
        <v>12</v>
      </c>
      <c r="C170" s="9" t="s">
        <v>57</v>
      </c>
      <c r="D170" s="12">
        <v>450000</v>
      </c>
      <c r="E170" s="12">
        <v>59985</v>
      </c>
      <c r="F170" s="12">
        <v>509985</v>
      </c>
      <c r="G170" s="14">
        <v>50</v>
      </c>
      <c r="H170" s="12">
        <v>10199.700000000001</v>
      </c>
      <c r="I170" s="14">
        <v>2</v>
      </c>
      <c r="J170" s="35">
        <f t="shared" si="26"/>
        <v>48</v>
      </c>
      <c r="K170" s="36">
        <f t="shared" si="27"/>
        <v>20399.400000000001</v>
      </c>
      <c r="L170" s="32">
        <f t="shared" si="28"/>
        <v>489585.6</v>
      </c>
      <c r="M170" s="42"/>
    </row>
    <row r="171" spans="2:13" s="80" customFormat="1" ht="18.75" x14ac:dyDescent="0.3">
      <c r="B171" s="8"/>
      <c r="C171" s="69" t="s">
        <v>296</v>
      </c>
      <c r="D171" s="79">
        <f>SUM(D159:D170)</f>
        <v>3140000</v>
      </c>
      <c r="E171" s="79">
        <f t="shared" ref="E171:F171" si="29">SUM(E159:E170)</f>
        <v>418562</v>
      </c>
      <c r="F171" s="79">
        <f t="shared" si="29"/>
        <v>3558562</v>
      </c>
      <c r="G171" s="8"/>
      <c r="H171" s="79">
        <f>SUM(H159:H170)</f>
        <v>72191.210000000006</v>
      </c>
      <c r="I171" s="8"/>
      <c r="J171" s="74"/>
      <c r="K171" s="79">
        <f t="shared" ref="K171:L171" si="30">SUM(K159:K170)</f>
        <v>1728735.8199999996</v>
      </c>
      <c r="L171" s="79">
        <f t="shared" si="30"/>
        <v>1829826.1800000002</v>
      </c>
      <c r="M171" s="49"/>
    </row>
    <row r="172" spans="2:13" s="23" customFormat="1" ht="18.75" x14ac:dyDescent="0.3">
      <c r="B172" s="9"/>
      <c r="C172" s="9"/>
      <c r="D172" s="12"/>
      <c r="E172" s="12"/>
      <c r="F172" s="12"/>
      <c r="G172" s="9"/>
      <c r="H172" s="12"/>
      <c r="I172" s="9"/>
      <c r="J172" s="35"/>
      <c r="K172" s="36"/>
      <c r="L172" s="32"/>
      <c r="M172" s="42"/>
    </row>
    <row r="173" spans="2:13" ht="18.75" x14ac:dyDescent="0.3">
      <c r="B173" s="8">
        <f>B170+B155</f>
        <v>162</v>
      </c>
      <c r="C173" s="30" t="s">
        <v>38</v>
      </c>
      <c r="D173" s="17">
        <f>D171+D156</f>
        <v>47880000</v>
      </c>
      <c r="E173" s="17">
        <f t="shared" ref="E173:F173" si="31">E171+E156</f>
        <v>6347745.9199999999</v>
      </c>
      <c r="F173" s="17">
        <f t="shared" si="31"/>
        <v>54227745.920000002</v>
      </c>
      <c r="G173" s="17"/>
      <c r="H173" s="17">
        <f>H171+H156</f>
        <v>1098170.0000000023</v>
      </c>
      <c r="I173" s="17"/>
      <c r="J173" s="17"/>
      <c r="K173" s="17">
        <f t="shared" ref="K173:L173" si="32">K171+K156</f>
        <v>22129516.569999993</v>
      </c>
      <c r="L173" s="17">
        <f t="shared" si="32"/>
        <v>32173027.150000006</v>
      </c>
      <c r="M173" s="9"/>
    </row>
    <row r="176" spans="2:13" ht="18.75" x14ac:dyDescent="0.3">
      <c r="B176" s="1"/>
      <c r="C176" s="8" t="s">
        <v>280</v>
      </c>
      <c r="D176" s="12"/>
      <c r="E176" s="12"/>
      <c r="F176" s="12"/>
      <c r="G176" s="12"/>
      <c r="H176" s="12"/>
      <c r="I176" s="12"/>
      <c r="J176" s="12"/>
      <c r="K176" s="12"/>
      <c r="L176" s="12"/>
      <c r="M176" s="1"/>
    </row>
    <row r="177" spans="2:15" ht="35.25" customHeight="1" x14ac:dyDescent="0.3">
      <c r="B177" s="7" t="s">
        <v>2</v>
      </c>
      <c r="C177" s="7" t="s">
        <v>0</v>
      </c>
      <c r="D177" s="8" t="s">
        <v>3</v>
      </c>
      <c r="E177" s="8" t="s">
        <v>4</v>
      </c>
      <c r="F177" s="8" t="s">
        <v>1</v>
      </c>
      <c r="G177" s="10" t="s">
        <v>11</v>
      </c>
      <c r="H177" s="10" t="s">
        <v>10</v>
      </c>
      <c r="I177" s="11" t="s">
        <v>5</v>
      </c>
      <c r="J177" s="11" t="s">
        <v>6</v>
      </c>
      <c r="K177" s="10" t="s">
        <v>7</v>
      </c>
      <c r="L177" s="10" t="s">
        <v>8</v>
      </c>
      <c r="M177" s="10" t="s">
        <v>9</v>
      </c>
    </row>
    <row r="178" spans="2:15" ht="18.75" x14ac:dyDescent="0.3">
      <c r="B178" s="88">
        <v>1</v>
      </c>
      <c r="C178" s="66" t="s">
        <v>281</v>
      </c>
      <c r="D178" s="33">
        <v>450000</v>
      </c>
      <c r="E178" s="33">
        <v>59985</v>
      </c>
      <c r="F178" s="32">
        <f>D178+E178</f>
        <v>509985</v>
      </c>
      <c r="G178" s="34">
        <v>50</v>
      </c>
      <c r="H178" s="87">
        <v>10199.700000000001</v>
      </c>
      <c r="I178" s="9">
        <v>44</v>
      </c>
      <c r="J178" s="9">
        <f>G178-I178</f>
        <v>6</v>
      </c>
      <c r="K178" s="92">
        <f>H178*I178</f>
        <v>448786.80000000005</v>
      </c>
      <c r="L178" s="32">
        <f t="shared" ref="L178" si="33">F178-K178</f>
        <v>61198.199999999953</v>
      </c>
      <c r="M178" s="1"/>
    </row>
    <row r="179" spans="2:15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2:15" ht="18.75" x14ac:dyDescent="0.3">
      <c r="B180" s="1"/>
      <c r="C180" s="30" t="s">
        <v>279</v>
      </c>
      <c r="D180" s="83">
        <f>D178+D173</f>
        <v>48330000</v>
      </c>
      <c r="E180" s="83">
        <f t="shared" ref="E180:F180" si="34">E178+E173</f>
        <v>6407730.9199999999</v>
      </c>
      <c r="F180" s="83">
        <f t="shared" si="34"/>
        <v>54737730.920000002</v>
      </c>
      <c r="G180" s="1"/>
      <c r="H180" s="83">
        <f>H178+H173</f>
        <v>1108369.7000000023</v>
      </c>
      <c r="I180" s="1"/>
      <c r="J180" s="1"/>
      <c r="K180" s="83">
        <f t="shared" ref="K180:L180" si="35">K178+K173</f>
        <v>22578303.369999994</v>
      </c>
      <c r="L180" s="83">
        <f t="shared" si="35"/>
        <v>32234225.350000005</v>
      </c>
      <c r="M180" s="1"/>
    </row>
    <row r="182" spans="2:15" ht="18.75" x14ac:dyDescent="0.3">
      <c r="B182" s="1"/>
      <c r="C182" s="8" t="s">
        <v>227</v>
      </c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</row>
    <row r="183" spans="2:15" ht="18.75" x14ac:dyDescent="0.3">
      <c r="B183" s="34">
        <v>1</v>
      </c>
      <c r="C183" s="31" t="s">
        <v>103</v>
      </c>
      <c r="D183" s="33">
        <v>500000</v>
      </c>
      <c r="E183" s="33">
        <v>66650</v>
      </c>
      <c r="F183" s="32">
        <f t="shared" ref="F183:F206" si="36">D183+E183</f>
        <v>566650</v>
      </c>
      <c r="G183" s="34">
        <v>50</v>
      </c>
      <c r="H183" s="32">
        <v>11333</v>
      </c>
      <c r="I183" s="31">
        <v>51</v>
      </c>
      <c r="J183" s="35">
        <f t="shared" ref="J183:J206" si="37">G183-I183</f>
        <v>-1</v>
      </c>
      <c r="K183" s="36">
        <f>H183*I183</f>
        <v>577983</v>
      </c>
      <c r="L183" s="32">
        <f t="shared" ref="L183:L206" si="38">F183-K183</f>
        <v>-11333</v>
      </c>
      <c r="M183" s="53" t="s">
        <v>248</v>
      </c>
      <c r="N183" s="9"/>
      <c r="O183" s="5"/>
    </row>
    <row r="184" spans="2:15" ht="18.75" x14ac:dyDescent="0.3">
      <c r="B184" s="34">
        <v>2</v>
      </c>
      <c r="C184" s="31" t="s">
        <v>119</v>
      </c>
      <c r="D184" s="32">
        <v>330000</v>
      </c>
      <c r="E184" s="33">
        <v>43989</v>
      </c>
      <c r="F184" s="32">
        <f t="shared" si="36"/>
        <v>373989</v>
      </c>
      <c r="G184" s="34">
        <v>50</v>
      </c>
      <c r="H184" s="32">
        <v>7479.78</v>
      </c>
      <c r="I184" s="31">
        <v>51</v>
      </c>
      <c r="J184" s="35">
        <f t="shared" si="37"/>
        <v>-1</v>
      </c>
      <c r="K184" s="36">
        <f t="shared" ref="K184:K206" si="39">H184*I184</f>
        <v>381468.77999999997</v>
      </c>
      <c r="L184" s="32">
        <f t="shared" si="38"/>
        <v>-7479.7799999999697</v>
      </c>
      <c r="M184" s="53" t="s">
        <v>248</v>
      </c>
      <c r="N184" s="9"/>
      <c r="O184" s="5"/>
    </row>
    <row r="185" spans="2:15" ht="18.75" x14ac:dyDescent="0.3">
      <c r="B185" s="34">
        <v>3</v>
      </c>
      <c r="C185" s="31" t="s">
        <v>126</v>
      </c>
      <c r="D185" s="33">
        <v>150000</v>
      </c>
      <c r="E185" s="33">
        <v>19995</v>
      </c>
      <c r="F185" s="32">
        <f t="shared" si="36"/>
        <v>169995</v>
      </c>
      <c r="G185" s="34">
        <v>50</v>
      </c>
      <c r="H185" s="32">
        <v>3399.9</v>
      </c>
      <c r="I185" s="31">
        <v>51</v>
      </c>
      <c r="J185" s="35">
        <f t="shared" si="37"/>
        <v>-1</v>
      </c>
      <c r="K185" s="36">
        <f t="shared" si="39"/>
        <v>173394.9</v>
      </c>
      <c r="L185" s="32">
        <f t="shared" si="38"/>
        <v>-3399.8999999999942</v>
      </c>
      <c r="M185" s="53" t="s">
        <v>248</v>
      </c>
      <c r="N185" s="9"/>
      <c r="O185" s="5"/>
    </row>
    <row r="186" spans="2:15" ht="18.75" x14ac:dyDescent="0.3">
      <c r="B186" s="34">
        <v>4</v>
      </c>
      <c r="C186" s="31" t="s">
        <v>75</v>
      </c>
      <c r="D186" s="33">
        <v>150000</v>
      </c>
      <c r="E186" s="33">
        <v>19995</v>
      </c>
      <c r="F186" s="32">
        <f t="shared" si="36"/>
        <v>169995</v>
      </c>
      <c r="G186" s="34">
        <v>50</v>
      </c>
      <c r="H186" s="32">
        <v>3399.9</v>
      </c>
      <c r="I186" s="52">
        <v>51</v>
      </c>
      <c r="J186" s="35">
        <f t="shared" si="37"/>
        <v>-1</v>
      </c>
      <c r="K186" s="36">
        <f t="shared" si="39"/>
        <v>173394.9</v>
      </c>
      <c r="L186" s="32">
        <f t="shared" si="38"/>
        <v>-3399.8999999999942</v>
      </c>
      <c r="M186" s="53" t="s">
        <v>248</v>
      </c>
      <c r="N186" s="9"/>
      <c r="O186" s="5"/>
    </row>
    <row r="187" spans="2:15" ht="18.75" x14ac:dyDescent="0.3">
      <c r="B187" s="34">
        <v>5</v>
      </c>
      <c r="C187" s="31" t="s">
        <v>202</v>
      </c>
      <c r="D187" s="33">
        <v>150000</v>
      </c>
      <c r="E187" s="33">
        <v>19995</v>
      </c>
      <c r="F187" s="32">
        <f t="shared" si="36"/>
        <v>169995</v>
      </c>
      <c r="G187" s="34">
        <v>50</v>
      </c>
      <c r="H187" s="32">
        <v>3399.9</v>
      </c>
      <c r="I187" s="31">
        <v>52</v>
      </c>
      <c r="J187" s="35">
        <f t="shared" si="37"/>
        <v>-2</v>
      </c>
      <c r="K187" s="36">
        <f t="shared" si="39"/>
        <v>176794.80000000002</v>
      </c>
      <c r="L187" s="32">
        <f t="shared" si="38"/>
        <v>-6799.8000000000175</v>
      </c>
      <c r="M187" s="53" t="s">
        <v>248</v>
      </c>
      <c r="N187" s="9"/>
      <c r="O187" s="5"/>
    </row>
    <row r="188" spans="2:15" ht="18.75" x14ac:dyDescent="0.3">
      <c r="B188" s="34">
        <v>6</v>
      </c>
      <c r="C188" s="31" t="s">
        <v>80</v>
      </c>
      <c r="D188" s="33">
        <v>150000</v>
      </c>
      <c r="E188" s="33">
        <v>19995</v>
      </c>
      <c r="F188" s="32">
        <f t="shared" si="36"/>
        <v>169995</v>
      </c>
      <c r="G188" s="34">
        <v>50</v>
      </c>
      <c r="H188" s="32">
        <v>3399.9</v>
      </c>
      <c r="I188" s="31">
        <v>51</v>
      </c>
      <c r="J188" s="35">
        <f t="shared" si="37"/>
        <v>-1</v>
      </c>
      <c r="K188" s="36">
        <f t="shared" si="39"/>
        <v>173394.9</v>
      </c>
      <c r="L188" s="32">
        <f t="shared" si="38"/>
        <v>-3399.8999999999942</v>
      </c>
      <c r="M188" s="53" t="s">
        <v>248</v>
      </c>
      <c r="N188" s="9"/>
      <c r="O188" s="5"/>
    </row>
    <row r="189" spans="2:15" ht="18.75" x14ac:dyDescent="0.3">
      <c r="B189" s="34">
        <v>7</v>
      </c>
      <c r="C189" s="31" t="s">
        <v>115</v>
      </c>
      <c r="D189" s="33">
        <v>450000</v>
      </c>
      <c r="E189" s="33">
        <v>59985</v>
      </c>
      <c r="F189" s="32">
        <f t="shared" si="36"/>
        <v>509985</v>
      </c>
      <c r="G189" s="34">
        <v>50</v>
      </c>
      <c r="H189" s="32">
        <v>10199.700000000001</v>
      </c>
      <c r="I189" s="31">
        <v>51</v>
      </c>
      <c r="J189" s="35">
        <f t="shared" si="37"/>
        <v>-1</v>
      </c>
      <c r="K189" s="36">
        <f t="shared" si="39"/>
        <v>520184.7</v>
      </c>
      <c r="L189" s="32">
        <f t="shared" si="38"/>
        <v>-10199.700000000012</v>
      </c>
      <c r="M189" s="53" t="s">
        <v>248</v>
      </c>
      <c r="N189" s="9"/>
      <c r="O189" s="5"/>
    </row>
    <row r="190" spans="2:15" ht="18.75" x14ac:dyDescent="0.3">
      <c r="B190" s="34">
        <v>8</v>
      </c>
      <c r="C190" s="29" t="s">
        <v>179</v>
      </c>
      <c r="D190" s="33">
        <v>500000</v>
      </c>
      <c r="E190" s="33">
        <v>66650</v>
      </c>
      <c r="F190" s="32">
        <v>566650</v>
      </c>
      <c r="G190" s="34">
        <v>50</v>
      </c>
      <c r="H190" s="32">
        <v>11333</v>
      </c>
      <c r="I190" s="50">
        <v>51</v>
      </c>
      <c r="J190" s="35">
        <f t="shared" si="37"/>
        <v>-1</v>
      </c>
      <c r="K190" s="36">
        <f t="shared" si="39"/>
        <v>577983</v>
      </c>
      <c r="L190" s="32">
        <f t="shared" si="38"/>
        <v>-11333</v>
      </c>
      <c r="M190" s="53" t="s">
        <v>248</v>
      </c>
      <c r="N190" s="53" t="s">
        <v>228</v>
      </c>
    </row>
    <row r="191" spans="2:15" ht="18.75" x14ac:dyDescent="0.3">
      <c r="B191" s="34">
        <v>9</v>
      </c>
      <c r="C191" s="29" t="s">
        <v>156</v>
      </c>
      <c r="D191" s="33">
        <v>450000</v>
      </c>
      <c r="E191" s="33">
        <v>59985</v>
      </c>
      <c r="F191" s="32">
        <v>509985</v>
      </c>
      <c r="G191" s="34">
        <v>50</v>
      </c>
      <c r="H191" s="32">
        <v>10199.700000000001</v>
      </c>
      <c r="I191" s="50">
        <v>51</v>
      </c>
      <c r="J191" s="35">
        <f t="shared" si="37"/>
        <v>-1</v>
      </c>
      <c r="K191" s="36">
        <f t="shared" si="39"/>
        <v>520184.7</v>
      </c>
      <c r="L191" s="32">
        <f t="shared" si="38"/>
        <v>-10199.700000000012</v>
      </c>
      <c r="M191" s="53" t="s">
        <v>248</v>
      </c>
      <c r="N191" s="53" t="s">
        <v>228</v>
      </c>
    </row>
    <row r="192" spans="2:15" ht="18.75" x14ac:dyDescent="0.3">
      <c r="B192" s="34">
        <v>10</v>
      </c>
      <c r="C192" s="29" t="s">
        <v>185</v>
      </c>
      <c r="D192" s="32">
        <v>330000</v>
      </c>
      <c r="E192" s="33">
        <v>43989</v>
      </c>
      <c r="F192" s="32">
        <v>373989</v>
      </c>
      <c r="G192" s="34">
        <v>50</v>
      </c>
      <c r="H192" s="32">
        <v>7479.78</v>
      </c>
      <c r="I192" s="50">
        <v>51</v>
      </c>
      <c r="J192" s="35">
        <f t="shared" si="37"/>
        <v>-1</v>
      </c>
      <c r="K192" s="36">
        <f t="shared" si="39"/>
        <v>381468.77999999997</v>
      </c>
      <c r="L192" s="32">
        <f t="shared" si="38"/>
        <v>-7479.7799999999697</v>
      </c>
      <c r="M192" s="53" t="s">
        <v>248</v>
      </c>
      <c r="N192" s="53" t="s">
        <v>228</v>
      </c>
    </row>
    <row r="193" spans="2:15" ht="18.75" x14ac:dyDescent="0.3">
      <c r="B193" s="34">
        <v>11</v>
      </c>
      <c r="C193" s="29" t="s">
        <v>159</v>
      </c>
      <c r="D193" s="33">
        <v>150000</v>
      </c>
      <c r="E193" s="33">
        <v>19995</v>
      </c>
      <c r="F193" s="32">
        <v>169995</v>
      </c>
      <c r="G193" s="34">
        <v>50</v>
      </c>
      <c r="H193" s="32">
        <v>3399.9</v>
      </c>
      <c r="I193" s="50">
        <v>51</v>
      </c>
      <c r="J193" s="35">
        <f t="shared" ref="J193" si="40">G193-I193</f>
        <v>-1</v>
      </c>
      <c r="K193" s="36">
        <f t="shared" ref="K193" si="41">H193*I193</f>
        <v>173394.9</v>
      </c>
      <c r="L193" s="32">
        <f t="shared" ref="L193" si="42">F193-K193</f>
        <v>-3399.8999999999942</v>
      </c>
      <c r="M193" s="53" t="s">
        <v>248</v>
      </c>
      <c r="N193" s="53" t="s">
        <v>228</v>
      </c>
    </row>
    <row r="194" spans="2:15" ht="18.75" x14ac:dyDescent="0.3">
      <c r="B194" s="34">
        <v>12</v>
      </c>
      <c r="C194" s="31" t="s">
        <v>92</v>
      </c>
      <c r="D194" s="33">
        <v>450000</v>
      </c>
      <c r="E194" s="33">
        <v>59985</v>
      </c>
      <c r="F194" s="32">
        <f t="shared" si="36"/>
        <v>509985</v>
      </c>
      <c r="G194" s="34">
        <v>50</v>
      </c>
      <c r="H194" s="32">
        <v>10199.700000000001</v>
      </c>
      <c r="I194" s="31">
        <v>51</v>
      </c>
      <c r="J194" s="35">
        <f t="shared" si="37"/>
        <v>-1</v>
      </c>
      <c r="K194" s="36">
        <f t="shared" si="39"/>
        <v>520184.7</v>
      </c>
      <c r="L194" s="32">
        <f t="shared" si="38"/>
        <v>-10199.700000000012</v>
      </c>
      <c r="M194" s="53" t="s">
        <v>248</v>
      </c>
      <c r="N194" s="9"/>
      <c r="O194" s="5"/>
    </row>
    <row r="195" spans="2:15" ht="18.75" x14ac:dyDescent="0.3">
      <c r="B195" s="34">
        <v>13</v>
      </c>
      <c r="C195" s="31" t="s">
        <v>141</v>
      </c>
      <c r="D195" s="32">
        <v>330000</v>
      </c>
      <c r="E195" s="33">
        <v>43989</v>
      </c>
      <c r="F195" s="32">
        <f t="shared" si="36"/>
        <v>373989</v>
      </c>
      <c r="G195" s="34">
        <v>50</v>
      </c>
      <c r="H195" s="36">
        <v>7479.78</v>
      </c>
      <c r="I195" s="31">
        <v>51</v>
      </c>
      <c r="J195" s="35">
        <f t="shared" si="37"/>
        <v>-1</v>
      </c>
      <c r="K195" s="36">
        <f t="shared" si="39"/>
        <v>381468.77999999997</v>
      </c>
      <c r="L195" s="32">
        <f t="shared" si="38"/>
        <v>-7479.7799999999697</v>
      </c>
      <c r="M195" s="53" t="s">
        <v>248</v>
      </c>
      <c r="N195" s="9"/>
      <c r="O195" s="5"/>
    </row>
    <row r="196" spans="2:15" ht="18.75" x14ac:dyDescent="0.3">
      <c r="B196" s="34">
        <v>14</v>
      </c>
      <c r="C196" s="29" t="s">
        <v>182</v>
      </c>
      <c r="D196" s="32">
        <v>330000</v>
      </c>
      <c r="E196" s="33">
        <v>43989</v>
      </c>
      <c r="F196" s="32">
        <f t="shared" si="36"/>
        <v>373989</v>
      </c>
      <c r="G196" s="34">
        <v>50</v>
      </c>
      <c r="H196" s="32">
        <v>7479.78</v>
      </c>
      <c r="I196" s="50">
        <v>51</v>
      </c>
      <c r="J196" s="35">
        <f t="shared" si="37"/>
        <v>-1</v>
      </c>
      <c r="K196" s="36">
        <f t="shared" si="39"/>
        <v>381468.77999999997</v>
      </c>
      <c r="L196" s="32">
        <f t="shared" si="38"/>
        <v>-7479.7799999999697</v>
      </c>
      <c r="M196" s="53" t="s">
        <v>248</v>
      </c>
      <c r="N196" s="9"/>
      <c r="O196" s="5"/>
    </row>
    <row r="197" spans="2:15" ht="18.75" x14ac:dyDescent="0.3">
      <c r="B197" s="34">
        <v>15</v>
      </c>
      <c r="C197" s="31" t="s">
        <v>109</v>
      </c>
      <c r="D197" s="32">
        <v>330000</v>
      </c>
      <c r="E197" s="33">
        <v>43989</v>
      </c>
      <c r="F197" s="32">
        <f t="shared" si="36"/>
        <v>373989</v>
      </c>
      <c r="G197" s="34">
        <v>50</v>
      </c>
      <c r="H197" s="32">
        <v>7479.78</v>
      </c>
      <c r="I197" s="31">
        <v>51</v>
      </c>
      <c r="J197" s="35">
        <f t="shared" si="37"/>
        <v>-1</v>
      </c>
      <c r="K197" s="36">
        <f t="shared" si="39"/>
        <v>381468.77999999997</v>
      </c>
      <c r="L197" s="32">
        <f t="shared" si="38"/>
        <v>-7479.7799999999697</v>
      </c>
      <c r="M197" s="53" t="s">
        <v>248</v>
      </c>
      <c r="N197" s="9"/>
      <c r="O197" s="5"/>
    </row>
    <row r="198" spans="2:15" ht="18.75" x14ac:dyDescent="0.3">
      <c r="B198" s="34">
        <v>16</v>
      </c>
      <c r="C198" s="29" t="s">
        <v>177</v>
      </c>
      <c r="D198" s="33">
        <v>500000</v>
      </c>
      <c r="E198" s="33">
        <v>66650</v>
      </c>
      <c r="F198" s="32">
        <v>566650</v>
      </c>
      <c r="G198" s="34">
        <v>50</v>
      </c>
      <c r="H198" s="32">
        <v>4155.4332999999997</v>
      </c>
      <c r="I198" s="50">
        <v>48</v>
      </c>
      <c r="J198" s="35">
        <f t="shared" si="37"/>
        <v>2</v>
      </c>
      <c r="K198" s="36">
        <f t="shared" si="39"/>
        <v>199460.79839999997</v>
      </c>
      <c r="L198" s="32">
        <f t="shared" si="38"/>
        <v>367189.20160000003</v>
      </c>
      <c r="M198" s="53" t="s">
        <v>251</v>
      </c>
      <c r="N198" s="53" t="s">
        <v>222</v>
      </c>
    </row>
    <row r="199" spans="2:15" ht="18.75" x14ac:dyDescent="0.3">
      <c r="B199" s="34">
        <v>17</v>
      </c>
      <c r="C199" s="31" t="s">
        <v>111</v>
      </c>
      <c r="D199" s="33">
        <v>500000</v>
      </c>
      <c r="E199" s="33">
        <v>66650</v>
      </c>
      <c r="F199" s="32">
        <v>566650</v>
      </c>
      <c r="G199" s="34">
        <v>50</v>
      </c>
      <c r="H199" s="36">
        <v>4155.4332999999997</v>
      </c>
      <c r="I199" s="31">
        <v>27</v>
      </c>
      <c r="J199" s="35">
        <f t="shared" si="37"/>
        <v>23</v>
      </c>
      <c r="K199" s="36">
        <f t="shared" si="39"/>
        <v>112196.6991</v>
      </c>
      <c r="L199" s="32">
        <f t="shared" si="38"/>
        <v>454453.30090000003</v>
      </c>
      <c r="M199" s="53" t="s">
        <v>251</v>
      </c>
      <c r="N199" s="53" t="s">
        <v>222</v>
      </c>
    </row>
    <row r="200" spans="2:15" ht="18.75" x14ac:dyDescent="0.3">
      <c r="B200" s="34">
        <v>18</v>
      </c>
      <c r="C200" s="31" t="s">
        <v>118</v>
      </c>
      <c r="D200" s="32">
        <v>330000</v>
      </c>
      <c r="E200" s="33">
        <v>43989</v>
      </c>
      <c r="F200" s="32">
        <v>373989</v>
      </c>
      <c r="G200" s="34">
        <v>50</v>
      </c>
      <c r="H200" s="32">
        <v>2742.5859999999998</v>
      </c>
      <c r="I200" s="31">
        <v>43</v>
      </c>
      <c r="J200" s="35">
        <f t="shared" si="37"/>
        <v>7</v>
      </c>
      <c r="K200" s="36">
        <f t="shared" si="39"/>
        <v>117931.19799999999</v>
      </c>
      <c r="L200" s="32">
        <f t="shared" si="38"/>
        <v>256057.80200000003</v>
      </c>
      <c r="M200" s="53" t="s">
        <v>251</v>
      </c>
      <c r="N200" s="53" t="s">
        <v>222</v>
      </c>
    </row>
    <row r="201" spans="2:15" ht="18.75" x14ac:dyDescent="0.3">
      <c r="B201" s="34">
        <v>19</v>
      </c>
      <c r="C201" s="31" t="s">
        <v>223</v>
      </c>
      <c r="D201" s="33">
        <v>150000</v>
      </c>
      <c r="E201" s="33">
        <v>19995</v>
      </c>
      <c r="F201" s="32">
        <f t="shared" si="36"/>
        <v>169995</v>
      </c>
      <c r="G201" s="34">
        <v>50</v>
      </c>
      <c r="H201" s="32">
        <v>3399.9</v>
      </c>
      <c r="I201" s="31">
        <v>51</v>
      </c>
      <c r="J201" s="35">
        <f t="shared" si="37"/>
        <v>-1</v>
      </c>
      <c r="K201" s="36">
        <f t="shared" si="39"/>
        <v>173394.9</v>
      </c>
      <c r="L201" s="32">
        <f t="shared" si="38"/>
        <v>-3399.8999999999942</v>
      </c>
      <c r="M201" s="53" t="s">
        <v>248</v>
      </c>
      <c r="N201" s="31"/>
      <c r="O201" s="5"/>
    </row>
    <row r="202" spans="2:15" ht="18.75" x14ac:dyDescent="0.3">
      <c r="B202" s="34">
        <v>20</v>
      </c>
      <c r="C202" s="31" t="s">
        <v>205</v>
      </c>
      <c r="D202" s="33">
        <v>450000</v>
      </c>
      <c r="E202" s="33">
        <v>59985</v>
      </c>
      <c r="F202" s="32">
        <f t="shared" si="36"/>
        <v>509985</v>
      </c>
      <c r="G202" s="34">
        <v>50</v>
      </c>
      <c r="H202" s="32">
        <v>10199.700000000001</v>
      </c>
      <c r="I202" s="31">
        <v>51</v>
      </c>
      <c r="J202" s="35">
        <f t="shared" si="37"/>
        <v>-1</v>
      </c>
      <c r="K202" s="36">
        <f t="shared" si="39"/>
        <v>520184.7</v>
      </c>
      <c r="L202" s="32">
        <f t="shared" si="38"/>
        <v>-10199.700000000012</v>
      </c>
      <c r="M202" s="53" t="s">
        <v>248</v>
      </c>
      <c r="N202" s="31"/>
      <c r="O202" s="5"/>
    </row>
    <row r="203" spans="2:15" ht="18.75" x14ac:dyDescent="0.3">
      <c r="B203" s="34">
        <v>21</v>
      </c>
      <c r="C203" s="31" t="s">
        <v>249</v>
      </c>
      <c r="D203" s="33">
        <v>500000</v>
      </c>
      <c r="E203" s="33">
        <v>66650</v>
      </c>
      <c r="F203" s="32">
        <f t="shared" si="36"/>
        <v>566650</v>
      </c>
      <c r="G203" s="34">
        <v>50</v>
      </c>
      <c r="H203" s="32">
        <v>11333</v>
      </c>
      <c r="I203" s="31">
        <v>51</v>
      </c>
      <c r="J203" s="35">
        <f t="shared" si="37"/>
        <v>-1</v>
      </c>
      <c r="K203" s="36">
        <f t="shared" si="39"/>
        <v>577983</v>
      </c>
      <c r="L203" s="32">
        <f t="shared" si="38"/>
        <v>-11333</v>
      </c>
      <c r="M203" s="53" t="s">
        <v>248</v>
      </c>
      <c r="N203" s="31"/>
      <c r="O203" s="5"/>
    </row>
    <row r="204" spans="2:15" ht="18.75" x14ac:dyDescent="0.3">
      <c r="B204" s="34">
        <v>22</v>
      </c>
      <c r="C204" s="31" t="s">
        <v>198</v>
      </c>
      <c r="D204" s="33">
        <v>500000</v>
      </c>
      <c r="E204" s="33">
        <v>66650</v>
      </c>
      <c r="F204" s="32">
        <f t="shared" si="36"/>
        <v>566650</v>
      </c>
      <c r="G204" s="34">
        <v>50</v>
      </c>
      <c r="H204" s="32">
        <v>11333</v>
      </c>
      <c r="I204" s="31">
        <v>42</v>
      </c>
      <c r="J204" s="35">
        <f t="shared" si="37"/>
        <v>8</v>
      </c>
      <c r="K204" s="36">
        <f t="shared" si="39"/>
        <v>475986</v>
      </c>
      <c r="L204" s="32">
        <f t="shared" si="38"/>
        <v>90664</v>
      </c>
      <c r="M204" s="53" t="s">
        <v>54</v>
      </c>
      <c r="N204" s="31"/>
      <c r="O204" s="5"/>
    </row>
    <row r="205" spans="2:15" ht="18.75" x14ac:dyDescent="0.3">
      <c r="B205" s="34">
        <v>23</v>
      </c>
      <c r="C205" s="29" t="s">
        <v>183</v>
      </c>
      <c r="D205" s="33">
        <v>450000</v>
      </c>
      <c r="E205" s="33">
        <v>59985</v>
      </c>
      <c r="F205" s="32">
        <v>509985</v>
      </c>
      <c r="G205" s="34">
        <v>50</v>
      </c>
      <c r="H205" s="32">
        <v>10199.700000000001</v>
      </c>
      <c r="I205" s="50">
        <v>13</v>
      </c>
      <c r="J205" s="35">
        <f t="shared" si="37"/>
        <v>37</v>
      </c>
      <c r="K205" s="36">
        <f t="shared" si="39"/>
        <v>132596.1</v>
      </c>
      <c r="L205" s="32">
        <f t="shared" si="38"/>
        <v>377388.9</v>
      </c>
      <c r="M205" s="53" t="s">
        <v>248</v>
      </c>
      <c r="N205" s="53" t="s">
        <v>228</v>
      </c>
    </row>
    <row r="206" spans="2:15" ht="18.75" x14ac:dyDescent="0.3">
      <c r="B206" s="34">
        <v>24</v>
      </c>
      <c r="C206" s="31" t="s">
        <v>194</v>
      </c>
      <c r="D206" s="33">
        <v>450000</v>
      </c>
      <c r="E206" s="33">
        <v>59985</v>
      </c>
      <c r="F206" s="32">
        <f t="shared" si="36"/>
        <v>509985</v>
      </c>
      <c r="G206" s="34">
        <v>50</v>
      </c>
      <c r="H206" s="32">
        <v>10199.700000000001</v>
      </c>
      <c r="I206" s="31">
        <v>51</v>
      </c>
      <c r="J206" s="35">
        <f t="shared" si="37"/>
        <v>-1</v>
      </c>
      <c r="K206" s="36">
        <f t="shared" si="39"/>
        <v>520184.7</v>
      </c>
      <c r="L206" s="32">
        <f t="shared" si="38"/>
        <v>-10199.700000000012</v>
      </c>
      <c r="M206" s="53" t="s">
        <v>248</v>
      </c>
      <c r="N206" s="9"/>
      <c r="O206" s="5"/>
    </row>
    <row r="213" spans="2:13" ht="18.75" x14ac:dyDescent="0.3"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</row>
    <row r="214" spans="2:13" ht="18.75" x14ac:dyDescent="0.3">
      <c r="M214" s="5"/>
    </row>
    <row r="215" spans="2:13" ht="18.75" x14ac:dyDescent="0.3">
      <c r="M215" s="5"/>
    </row>
    <row r="216" spans="2:13" ht="18.75" x14ac:dyDescent="0.3">
      <c r="M216" s="5"/>
    </row>
    <row r="217" spans="2:13" ht="18.75" x14ac:dyDescent="0.3">
      <c r="M217" s="5"/>
    </row>
    <row r="218" spans="2:13" ht="18.75" x14ac:dyDescent="0.3">
      <c r="M218" s="5"/>
    </row>
    <row r="219" spans="2:13" ht="18.75" x14ac:dyDescent="0.3">
      <c r="M219" s="5"/>
    </row>
    <row r="220" spans="2:13" ht="18.75" x14ac:dyDescent="0.3">
      <c r="M220" s="5"/>
    </row>
    <row r="221" spans="2:13" ht="18.75" x14ac:dyDescent="0.3">
      <c r="M221" s="5"/>
    </row>
    <row r="222" spans="2:13" ht="18.75" x14ac:dyDescent="0.3">
      <c r="M222" s="5"/>
    </row>
    <row r="223" spans="2:13" ht="18.75" x14ac:dyDescent="0.3">
      <c r="M223" s="5"/>
    </row>
    <row r="224" spans="2:13" ht="18.75" x14ac:dyDescent="0.3">
      <c r="M224" s="5"/>
    </row>
    <row r="225" spans="8:13" ht="18.75" x14ac:dyDescent="0.3">
      <c r="M225" s="5"/>
    </row>
    <row r="226" spans="8:13" ht="18.75" x14ac:dyDescent="0.3">
      <c r="M226" s="5"/>
    </row>
    <row r="227" spans="8:13" x14ac:dyDescent="0.25">
      <c r="H227">
        <f>SUM(H159:H170)</f>
        <v>72191.210000000006</v>
      </c>
    </row>
  </sheetData>
  <sortState ref="C7:M156">
    <sortCondition descending="1" ref="D7:D156"/>
  </sortState>
  <pageMargins left="0.7" right="0.7" top="0.75" bottom="0.75" header="0.3" footer="0.3"/>
  <pageSetup paperSize="5" scale="5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83"/>
  <sheetViews>
    <sheetView topLeftCell="F167" workbookViewId="0">
      <selection activeCell="B166" sqref="B166:M183"/>
    </sheetView>
  </sheetViews>
  <sheetFormatPr defaultRowHeight="15" x14ac:dyDescent="0.25"/>
  <cols>
    <col min="3" max="3" width="42.42578125" customWidth="1"/>
    <col min="4" max="4" width="22.140625" customWidth="1"/>
    <col min="5" max="8" width="19.7109375" bestFit="1" customWidth="1"/>
    <col min="9" max="9" width="17.85546875" customWidth="1"/>
    <col min="10" max="15" width="19.7109375" bestFit="1" customWidth="1"/>
  </cols>
  <sheetData>
    <row r="2" spans="2:13" ht="18.75" x14ac:dyDescent="0.3">
      <c r="B2" s="9"/>
      <c r="C2" s="106" t="s">
        <v>12</v>
      </c>
      <c r="D2" s="9"/>
      <c r="E2" s="106"/>
      <c r="F2" s="106"/>
      <c r="G2" s="9"/>
      <c r="H2" s="9"/>
      <c r="I2" s="9"/>
      <c r="J2" s="9"/>
      <c r="K2" s="9"/>
      <c r="L2" s="9"/>
      <c r="M2" s="9"/>
    </row>
    <row r="3" spans="2:13" ht="18.75" x14ac:dyDescent="0.3">
      <c r="B3" s="9"/>
      <c r="C3" s="106" t="s">
        <v>72</v>
      </c>
      <c r="D3" s="9"/>
      <c r="E3" s="106"/>
      <c r="F3" s="106"/>
      <c r="G3" s="106"/>
      <c r="H3" s="9"/>
      <c r="I3" s="9"/>
      <c r="J3" s="9"/>
      <c r="K3" s="9"/>
      <c r="L3" s="9"/>
      <c r="M3" s="9"/>
    </row>
    <row r="4" spans="2:13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2:13" ht="37.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</row>
    <row r="6" spans="2:13" ht="18.75" x14ac:dyDescent="0.3"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7" si="0">D6+E6</f>
        <v>566650</v>
      </c>
      <c r="G6" s="34">
        <v>50</v>
      </c>
      <c r="H6" s="32">
        <v>11333</v>
      </c>
      <c r="I6" s="31">
        <v>29</v>
      </c>
      <c r="J6" s="35">
        <f t="shared" ref="J6:J37" si="1">G6-I6</f>
        <v>21</v>
      </c>
      <c r="K6" s="33">
        <f t="shared" ref="K6:K14" si="2">H6*I6</f>
        <v>328657</v>
      </c>
      <c r="L6" s="36">
        <f t="shared" ref="L6:L37" si="3">F6-K6</f>
        <v>237993</v>
      </c>
      <c r="M6" s="31"/>
    </row>
    <row r="7" spans="2:13" ht="18.75" x14ac:dyDescent="0.3"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29</v>
      </c>
      <c r="J7" s="35">
        <f t="shared" si="1"/>
        <v>21</v>
      </c>
      <c r="K7" s="33">
        <f t="shared" si="2"/>
        <v>328657</v>
      </c>
      <c r="L7" s="36">
        <f t="shared" si="3"/>
        <v>237993</v>
      </c>
      <c r="M7" s="31"/>
    </row>
    <row r="8" spans="2:13" ht="18.75" x14ac:dyDescent="0.3"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44</v>
      </c>
      <c r="J8" s="35">
        <f t="shared" si="1"/>
        <v>6</v>
      </c>
      <c r="K8" s="36">
        <f t="shared" si="2"/>
        <v>498652</v>
      </c>
      <c r="L8" s="32">
        <f t="shared" si="3"/>
        <v>67998</v>
      </c>
      <c r="M8" s="31"/>
    </row>
    <row r="9" spans="2:13" ht="18.75" x14ac:dyDescent="0.3"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44</v>
      </c>
      <c r="J9" s="35">
        <f t="shared" si="1"/>
        <v>6</v>
      </c>
      <c r="K9" s="36">
        <f t="shared" si="2"/>
        <v>498652</v>
      </c>
      <c r="L9" s="32">
        <f t="shared" si="3"/>
        <v>67998</v>
      </c>
      <c r="M9" s="31"/>
    </row>
    <row r="10" spans="2:13" ht="18.75" x14ac:dyDescent="0.3"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44</v>
      </c>
      <c r="J10" s="35">
        <f t="shared" si="1"/>
        <v>6</v>
      </c>
      <c r="K10" s="36">
        <f t="shared" si="2"/>
        <v>498652</v>
      </c>
      <c r="L10" s="32">
        <f t="shared" si="3"/>
        <v>67998</v>
      </c>
      <c r="M10" s="31"/>
    </row>
    <row r="11" spans="2:13" ht="18.75" x14ac:dyDescent="0.3"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29</v>
      </c>
      <c r="J11" s="35">
        <f t="shared" si="1"/>
        <v>21</v>
      </c>
      <c r="K11" s="36">
        <f t="shared" si="2"/>
        <v>328657</v>
      </c>
      <c r="L11" s="36">
        <f t="shared" si="3"/>
        <v>237993</v>
      </c>
      <c r="M11" s="31"/>
    </row>
    <row r="12" spans="2:13" ht="18.75" x14ac:dyDescent="0.3"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28</v>
      </c>
      <c r="J12" s="35">
        <f t="shared" si="1"/>
        <v>22</v>
      </c>
      <c r="K12" s="36">
        <f t="shared" si="2"/>
        <v>317324</v>
      </c>
      <c r="L12" s="36">
        <f t="shared" si="3"/>
        <v>249326</v>
      </c>
      <c r="M12" s="31"/>
    </row>
    <row r="13" spans="2:13" ht="18.75" x14ac:dyDescent="0.3">
      <c r="B13" s="34">
        <v>8</v>
      </c>
      <c r="C13" s="31" t="s">
        <v>121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2">
        <v>11333</v>
      </c>
      <c r="I13" s="31">
        <v>50</v>
      </c>
      <c r="J13" s="35">
        <f t="shared" si="1"/>
        <v>0</v>
      </c>
      <c r="K13" s="36">
        <f t="shared" si="2"/>
        <v>566650</v>
      </c>
      <c r="L13" s="32">
        <f t="shared" si="3"/>
        <v>0</v>
      </c>
      <c r="M13" s="31"/>
    </row>
    <row r="14" spans="2:13" ht="18.75" x14ac:dyDescent="0.3">
      <c r="B14" s="34">
        <v>9</v>
      </c>
      <c r="C14" s="31" t="s">
        <v>123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6">
        <v>11333</v>
      </c>
      <c r="I14" s="31">
        <v>29</v>
      </c>
      <c r="J14" s="35">
        <f t="shared" si="1"/>
        <v>21</v>
      </c>
      <c r="K14" s="36">
        <f t="shared" si="2"/>
        <v>328657</v>
      </c>
      <c r="L14" s="36">
        <f t="shared" si="3"/>
        <v>237993</v>
      </c>
      <c r="M14" s="31"/>
    </row>
    <row r="15" spans="2:13" ht="18.75" x14ac:dyDescent="0.3">
      <c r="B15" s="34">
        <v>10</v>
      </c>
      <c r="C15" s="31" t="s">
        <v>144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24</v>
      </c>
      <c r="J15" s="35">
        <f t="shared" si="1"/>
        <v>26</v>
      </c>
      <c r="K15" s="36">
        <f t="shared" ref="K15:K24" si="4">I15*H15</f>
        <v>271992</v>
      </c>
      <c r="L15" s="36">
        <f t="shared" si="3"/>
        <v>294658</v>
      </c>
      <c r="M15" s="31"/>
    </row>
    <row r="16" spans="2:13" ht="18.75" x14ac:dyDescent="0.3">
      <c r="B16" s="34">
        <v>11</v>
      </c>
      <c r="C16" s="31" t="s">
        <v>145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2">
        <v>11333</v>
      </c>
      <c r="I16" s="31">
        <v>24</v>
      </c>
      <c r="J16" s="35">
        <f t="shared" si="1"/>
        <v>26</v>
      </c>
      <c r="K16" s="36">
        <f t="shared" si="4"/>
        <v>271992</v>
      </c>
      <c r="L16" s="36">
        <f t="shared" si="3"/>
        <v>294658</v>
      </c>
      <c r="M16" s="31"/>
    </row>
    <row r="17" spans="2:13" ht="18.75" x14ac:dyDescent="0.3">
      <c r="B17" s="34">
        <v>12</v>
      </c>
      <c r="C17" s="50" t="s">
        <v>154</v>
      </c>
      <c r="D17" s="33">
        <v>500000</v>
      </c>
      <c r="E17" s="33">
        <v>31991.919999999998</v>
      </c>
      <c r="F17" s="32">
        <f t="shared" si="0"/>
        <v>531991.92000000004</v>
      </c>
      <c r="G17" s="34">
        <v>24</v>
      </c>
      <c r="H17" s="32">
        <v>22166.33</v>
      </c>
      <c r="I17" s="50">
        <v>18</v>
      </c>
      <c r="J17" s="35">
        <f t="shared" si="1"/>
        <v>6</v>
      </c>
      <c r="K17" s="36">
        <f t="shared" si="4"/>
        <v>398993.94000000006</v>
      </c>
      <c r="L17" s="36">
        <f t="shared" si="3"/>
        <v>132997.97999999998</v>
      </c>
      <c r="M17" s="31"/>
    </row>
    <row r="18" spans="2:13" ht="18.75" x14ac:dyDescent="0.3">
      <c r="B18" s="34">
        <v>13</v>
      </c>
      <c r="C18" s="50" t="s">
        <v>208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15</v>
      </c>
      <c r="J18" s="35">
        <f t="shared" si="1"/>
        <v>35</v>
      </c>
      <c r="K18" s="36">
        <f t="shared" si="4"/>
        <v>169995</v>
      </c>
      <c r="L18" s="36">
        <f t="shared" si="3"/>
        <v>396655</v>
      </c>
      <c r="M18" s="31"/>
    </row>
    <row r="19" spans="2:13" ht="18.75" x14ac:dyDescent="0.3">
      <c r="B19" s="34">
        <v>14</v>
      </c>
      <c r="C19" s="50" t="s">
        <v>14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13</v>
      </c>
      <c r="J19" s="35">
        <f t="shared" si="1"/>
        <v>37</v>
      </c>
      <c r="K19" s="36">
        <f t="shared" si="4"/>
        <v>147329</v>
      </c>
      <c r="L19" s="36">
        <f t="shared" si="3"/>
        <v>419321</v>
      </c>
      <c r="M19" s="31"/>
    </row>
    <row r="20" spans="2:13" ht="18.75" x14ac:dyDescent="0.3">
      <c r="B20" s="34">
        <v>15</v>
      </c>
      <c r="C20" s="50" t="s">
        <v>15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13</v>
      </c>
      <c r="J20" s="35">
        <f t="shared" si="1"/>
        <v>37</v>
      </c>
      <c r="K20" s="36">
        <f t="shared" si="4"/>
        <v>147329</v>
      </c>
      <c r="L20" s="36">
        <f t="shared" si="3"/>
        <v>419321</v>
      </c>
      <c r="M20" s="31"/>
    </row>
    <row r="21" spans="2:13" ht="18.75" x14ac:dyDescent="0.3">
      <c r="B21" s="34">
        <v>16</v>
      </c>
      <c r="C21" s="50" t="s">
        <v>16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13</v>
      </c>
      <c r="J21" s="35">
        <f t="shared" si="1"/>
        <v>37</v>
      </c>
      <c r="K21" s="36">
        <f t="shared" si="4"/>
        <v>147329</v>
      </c>
      <c r="L21" s="36">
        <f t="shared" si="3"/>
        <v>419321</v>
      </c>
      <c r="M21" s="31"/>
    </row>
    <row r="22" spans="2:13" ht="18.75" x14ac:dyDescent="0.3">
      <c r="B22" s="34">
        <v>17</v>
      </c>
      <c r="C22" s="50" t="s">
        <v>20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40</v>
      </c>
      <c r="J22" s="35">
        <f t="shared" si="1"/>
        <v>10</v>
      </c>
      <c r="K22" s="36">
        <f t="shared" si="4"/>
        <v>453320</v>
      </c>
      <c r="L22" s="36">
        <f t="shared" si="3"/>
        <v>113330</v>
      </c>
      <c r="M22" s="31"/>
    </row>
    <row r="23" spans="2:13" ht="18.75" x14ac:dyDescent="0.3">
      <c r="B23" s="34">
        <v>18</v>
      </c>
      <c r="C23" s="50" t="s">
        <v>232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50">
        <v>10</v>
      </c>
      <c r="J23" s="35">
        <f t="shared" si="1"/>
        <v>40</v>
      </c>
      <c r="K23" s="36">
        <f t="shared" si="4"/>
        <v>113330</v>
      </c>
      <c r="L23" s="36">
        <f t="shared" si="3"/>
        <v>453320</v>
      </c>
      <c r="M23" s="31"/>
    </row>
    <row r="24" spans="2:13" ht="18.75" x14ac:dyDescent="0.3">
      <c r="B24" s="34">
        <v>19</v>
      </c>
      <c r="C24" s="50" t="s">
        <v>214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10</v>
      </c>
      <c r="J24" s="35">
        <f t="shared" si="1"/>
        <v>40</v>
      </c>
      <c r="K24" s="36">
        <f t="shared" si="4"/>
        <v>113330</v>
      </c>
      <c r="L24" s="36">
        <f t="shared" si="3"/>
        <v>453320</v>
      </c>
      <c r="M24" s="31"/>
    </row>
    <row r="25" spans="2:13" ht="18.75" x14ac:dyDescent="0.3">
      <c r="B25" s="34">
        <v>20</v>
      </c>
      <c r="C25" s="31" t="s">
        <v>219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31">
        <v>42</v>
      </c>
      <c r="J25" s="35">
        <f t="shared" si="1"/>
        <v>8</v>
      </c>
      <c r="K25" s="36">
        <f>H25*I25</f>
        <v>475986</v>
      </c>
      <c r="L25" s="32">
        <f t="shared" si="3"/>
        <v>90664</v>
      </c>
      <c r="M25" s="31"/>
    </row>
    <row r="26" spans="2:13" ht="18.75" x14ac:dyDescent="0.3">
      <c r="B26" s="34">
        <v>21</v>
      </c>
      <c r="C26" s="50" t="s">
        <v>31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7</v>
      </c>
      <c r="J26" s="35">
        <f t="shared" si="1"/>
        <v>43</v>
      </c>
      <c r="K26" s="36">
        <f t="shared" ref="K26:K37" si="5">I26*H26</f>
        <v>79331</v>
      </c>
      <c r="L26" s="36">
        <f t="shared" si="3"/>
        <v>487319</v>
      </c>
      <c r="M26" s="31"/>
    </row>
    <row r="27" spans="2:13" ht="18.75" x14ac:dyDescent="0.3">
      <c r="B27" s="34">
        <v>22</v>
      </c>
      <c r="C27" s="29" t="s">
        <v>161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20</v>
      </c>
      <c r="J27" s="35">
        <f t="shared" si="1"/>
        <v>30</v>
      </c>
      <c r="K27" s="36">
        <f t="shared" si="5"/>
        <v>226660</v>
      </c>
      <c r="L27" s="36">
        <f t="shared" si="3"/>
        <v>339990</v>
      </c>
      <c r="M27" s="31"/>
    </row>
    <row r="28" spans="2:13" ht="18.75" x14ac:dyDescent="0.3">
      <c r="B28" s="34">
        <v>23</v>
      </c>
      <c r="C28" s="29" t="s">
        <v>170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29</v>
      </c>
      <c r="J28" s="35">
        <f t="shared" si="1"/>
        <v>21</v>
      </c>
      <c r="K28" s="36">
        <f t="shared" si="5"/>
        <v>328657</v>
      </c>
      <c r="L28" s="36">
        <f t="shared" si="3"/>
        <v>237993</v>
      </c>
      <c r="M28" s="31"/>
    </row>
    <row r="29" spans="2:13" ht="18.75" x14ac:dyDescent="0.3">
      <c r="B29" s="34">
        <v>24</v>
      </c>
      <c r="C29" s="29" t="s">
        <v>172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25</v>
      </c>
      <c r="J29" s="35">
        <f t="shared" si="1"/>
        <v>25</v>
      </c>
      <c r="K29" s="36">
        <f t="shared" si="5"/>
        <v>283325</v>
      </c>
      <c r="L29" s="36">
        <f t="shared" si="3"/>
        <v>283325</v>
      </c>
      <c r="M29" s="31"/>
    </row>
    <row r="30" spans="2:13" ht="18.75" x14ac:dyDescent="0.3">
      <c r="B30" s="34">
        <v>25</v>
      </c>
      <c r="C30" s="29" t="s">
        <v>46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5</v>
      </c>
      <c r="J30" s="35">
        <f t="shared" si="1"/>
        <v>45</v>
      </c>
      <c r="K30" s="36">
        <f t="shared" si="5"/>
        <v>56665</v>
      </c>
      <c r="L30" s="36">
        <f t="shared" si="3"/>
        <v>509985</v>
      </c>
      <c r="M30" s="31"/>
    </row>
    <row r="31" spans="2:13" ht="18.75" x14ac:dyDescent="0.3">
      <c r="B31" s="34">
        <v>26</v>
      </c>
      <c r="C31" s="29" t="s">
        <v>45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5</v>
      </c>
      <c r="J31" s="35">
        <f t="shared" si="1"/>
        <v>45</v>
      </c>
      <c r="K31" s="36">
        <f t="shared" si="5"/>
        <v>56665</v>
      </c>
      <c r="L31" s="36">
        <f t="shared" si="3"/>
        <v>509985</v>
      </c>
      <c r="M31" s="31"/>
    </row>
    <row r="32" spans="2:13" ht="18.75" x14ac:dyDescent="0.3">
      <c r="B32" s="34">
        <v>27</v>
      </c>
      <c r="C32" s="29" t="s">
        <v>239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5</v>
      </c>
      <c r="J32" s="35">
        <f t="shared" si="1"/>
        <v>45</v>
      </c>
      <c r="K32" s="36">
        <f t="shared" si="5"/>
        <v>56665</v>
      </c>
      <c r="L32" s="36">
        <f t="shared" si="3"/>
        <v>509985</v>
      </c>
      <c r="M32" s="31"/>
    </row>
    <row r="33" spans="2:13" ht="18.75" x14ac:dyDescent="0.3">
      <c r="B33" s="34">
        <v>28</v>
      </c>
      <c r="C33" s="29" t="s">
        <v>44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4</v>
      </c>
      <c r="J33" s="35">
        <f t="shared" si="1"/>
        <v>46</v>
      </c>
      <c r="K33" s="36">
        <f t="shared" si="5"/>
        <v>45332</v>
      </c>
      <c r="L33" s="36">
        <f t="shared" si="3"/>
        <v>521318</v>
      </c>
      <c r="M33" s="31"/>
    </row>
    <row r="34" spans="2:13" ht="18.75" x14ac:dyDescent="0.3">
      <c r="B34" s="34">
        <v>29</v>
      </c>
      <c r="C34" s="29" t="s">
        <v>66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3</v>
      </c>
      <c r="J34" s="35">
        <f t="shared" si="1"/>
        <v>47</v>
      </c>
      <c r="K34" s="36">
        <f t="shared" si="5"/>
        <v>33999</v>
      </c>
      <c r="L34" s="36">
        <f t="shared" si="3"/>
        <v>532651</v>
      </c>
      <c r="M34" s="31"/>
    </row>
    <row r="35" spans="2:13" ht="18.75" x14ac:dyDescent="0.3">
      <c r="B35" s="34">
        <v>30</v>
      </c>
      <c r="C35" s="29" t="s">
        <v>67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50">
        <v>3</v>
      </c>
      <c r="J35" s="35">
        <f t="shared" si="1"/>
        <v>47</v>
      </c>
      <c r="K35" s="36">
        <f t="shared" si="5"/>
        <v>33999</v>
      </c>
      <c r="L35" s="36">
        <f t="shared" si="3"/>
        <v>532651</v>
      </c>
      <c r="M35" s="31"/>
    </row>
    <row r="36" spans="2:13" ht="18.75" x14ac:dyDescent="0.3">
      <c r="B36" s="34">
        <v>31</v>
      </c>
      <c r="C36" s="29" t="s">
        <v>68</v>
      </c>
      <c r="D36" s="33">
        <v>500000</v>
      </c>
      <c r="E36" s="33">
        <v>66650</v>
      </c>
      <c r="F36" s="32">
        <f t="shared" si="0"/>
        <v>566650</v>
      </c>
      <c r="G36" s="34">
        <v>50</v>
      </c>
      <c r="H36" s="32">
        <v>11333</v>
      </c>
      <c r="I36" s="50">
        <v>3</v>
      </c>
      <c r="J36" s="35">
        <f t="shared" si="1"/>
        <v>47</v>
      </c>
      <c r="K36" s="36">
        <f t="shared" si="5"/>
        <v>33999</v>
      </c>
      <c r="L36" s="36">
        <f t="shared" si="3"/>
        <v>532651</v>
      </c>
      <c r="M36" s="31"/>
    </row>
    <row r="37" spans="2:13" ht="18.75" x14ac:dyDescent="0.3">
      <c r="B37" s="34">
        <v>32</v>
      </c>
      <c r="C37" s="31" t="s">
        <v>74</v>
      </c>
      <c r="D37" s="33">
        <v>450000</v>
      </c>
      <c r="E37" s="33">
        <v>59985</v>
      </c>
      <c r="F37" s="32">
        <f t="shared" si="0"/>
        <v>509985</v>
      </c>
      <c r="G37" s="34">
        <v>50</v>
      </c>
      <c r="H37" s="32">
        <v>10199.700000000001</v>
      </c>
      <c r="I37" s="31">
        <v>26</v>
      </c>
      <c r="J37" s="35">
        <f t="shared" si="1"/>
        <v>24</v>
      </c>
      <c r="K37" s="32">
        <f t="shared" si="5"/>
        <v>265192.2</v>
      </c>
      <c r="L37" s="33">
        <f t="shared" si="3"/>
        <v>244792.8</v>
      </c>
      <c r="M37" s="31"/>
    </row>
    <row r="38" spans="2:13" ht="18.75" x14ac:dyDescent="0.3">
      <c r="B38" s="34">
        <v>33</v>
      </c>
      <c r="C38" s="31" t="s">
        <v>77</v>
      </c>
      <c r="D38" s="33">
        <v>450000</v>
      </c>
      <c r="E38" s="33">
        <v>59985</v>
      </c>
      <c r="F38" s="32">
        <f t="shared" ref="F38:F65" si="6">D38+E38</f>
        <v>509985</v>
      </c>
      <c r="G38" s="34">
        <v>50</v>
      </c>
      <c r="H38" s="32">
        <v>10199.700000000001</v>
      </c>
      <c r="I38" s="52">
        <v>25</v>
      </c>
      <c r="J38" s="35">
        <f t="shared" ref="J38:J69" si="7">G38-I38</f>
        <v>25</v>
      </c>
      <c r="K38" s="32">
        <f t="shared" ref="K38:K44" si="8">H38*I38</f>
        <v>254992.50000000003</v>
      </c>
      <c r="L38" s="33">
        <f t="shared" ref="L38:L69" si="9">F38-K38</f>
        <v>254992.49999999997</v>
      </c>
      <c r="M38" s="31"/>
    </row>
    <row r="39" spans="2:13" ht="18.75" x14ac:dyDescent="0.3">
      <c r="B39" s="34">
        <v>34</v>
      </c>
      <c r="C39" s="31" t="s">
        <v>78</v>
      </c>
      <c r="D39" s="33">
        <v>450000</v>
      </c>
      <c r="E39" s="33">
        <v>59985</v>
      </c>
      <c r="F39" s="32">
        <f t="shared" si="6"/>
        <v>509985</v>
      </c>
      <c r="G39" s="34">
        <v>50</v>
      </c>
      <c r="H39" s="32">
        <v>10199.700000000001</v>
      </c>
      <c r="I39" s="52">
        <v>25</v>
      </c>
      <c r="J39" s="35">
        <f t="shared" si="7"/>
        <v>25</v>
      </c>
      <c r="K39" s="32">
        <f t="shared" si="8"/>
        <v>254992.50000000003</v>
      </c>
      <c r="L39" s="32">
        <f t="shared" si="9"/>
        <v>254992.49999999997</v>
      </c>
      <c r="M39" s="31"/>
    </row>
    <row r="40" spans="2:13" ht="18.75" x14ac:dyDescent="0.3">
      <c r="B40" s="34">
        <v>35</v>
      </c>
      <c r="C40" s="31" t="s">
        <v>82</v>
      </c>
      <c r="D40" s="33">
        <v>450000</v>
      </c>
      <c r="E40" s="33">
        <v>59985</v>
      </c>
      <c r="F40" s="32">
        <f t="shared" si="6"/>
        <v>509985</v>
      </c>
      <c r="G40" s="34">
        <v>50</v>
      </c>
      <c r="H40" s="32">
        <v>10199.700000000001</v>
      </c>
      <c r="I40" s="31">
        <v>29</v>
      </c>
      <c r="J40" s="35">
        <f t="shared" si="7"/>
        <v>21</v>
      </c>
      <c r="K40" s="36">
        <f t="shared" si="8"/>
        <v>295791.30000000005</v>
      </c>
      <c r="L40" s="36">
        <f t="shared" si="9"/>
        <v>214193.69999999995</v>
      </c>
      <c r="M40" s="31"/>
    </row>
    <row r="41" spans="2:13" ht="18.75" x14ac:dyDescent="0.3">
      <c r="B41" s="34">
        <v>36</v>
      </c>
      <c r="C41" s="31" t="s">
        <v>99</v>
      </c>
      <c r="D41" s="33">
        <v>450000</v>
      </c>
      <c r="E41" s="33">
        <v>59985</v>
      </c>
      <c r="F41" s="32">
        <f t="shared" si="6"/>
        <v>509985</v>
      </c>
      <c r="G41" s="34">
        <v>50</v>
      </c>
      <c r="H41" s="36">
        <v>10199.700000000001</v>
      </c>
      <c r="I41" s="31">
        <v>29</v>
      </c>
      <c r="J41" s="35">
        <f t="shared" si="7"/>
        <v>21</v>
      </c>
      <c r="K41" s="36">
        <f t="shared" si="8"/>
        <v>295791.30000000005</v>
      </c>
      <c r="L41" s="36">
        <f t="shared" si="9"/>
        <v>214193.69999999995</v>
      </c>
      <c r="M41" s="31"/>
    </row>
    <row r="42" spans="2:13" ht="18.75" x14ac:dyDescent="0.3">
      <c r="B42" s="34">
        <v>37</v>
      </c>
      <c r="C42" s="31" t="s">
        <v>196</v>
      </c>
      <c r="D42" s="33">
        <v>450000</v>
      </c>
      <c r="E42" s="33">
        <v>59985</v>
      </c>
      <c r="F42" s="32">
        <f t="shared" si="6"/>
        <v>509985</v>
      </c>
      <c r="G42" s="34">
        <v>50</v>
      </c>
      <c r="H42" s="32">
        <v>10199.700000000001</v>
      </c>
      <c r="I42" s="31">
        <v>44</v>
      </c>
      <c r="J42" s="35">
        <f t="shared" si="7"/>
        <v>6</v>
      </c>
      <c r="K42" s="36">
        <f t="shared" si="8"/>
        <v>448786.80000000005</v>
      </c>
      <c r="L42" s="32">
        <f t="shared" si="9"/>
        <v>61198.199999999953</v>
      </c>
      <c r="M42" s="31"/>
    </row>
    <row r="43" spans="2:13" ht="18.75" x14ac:dyDescent="0.3">
      <c r="B43" s="34">
        <v>38</v>
      </c>
      <c r="C43" s="31" t="s">
        <v>122</v>
      </c>
      <c r="D43" s="33">
        <v>450000</v>
      </c>
      <c r="E43" s="33">
        <v>59985</v>
      </c>
      <c r="F43" s="32">
        <f t="shared" si="6"/>
        <v>509985</v>
      </c>
      <c r="G43" s="34">
        <v>50</v>
      </c>
      <c r="H43" s="36">
        <v>10199.700000000001</v>
      </c>
      <c r="I43" s="31">
        <v>29</v>
      </c>
      <c r="J43" s="35">
        <f t="shared" si="7"/>
        <v>21</v>
      </c>
      <c r="K43" s="36">
        <f t="shared" si="8"/>
        <v>295791.30000000005</v>
      </c>
      <c r="L43" s="36">
        <f t="shared" si="9"/>
        <v>214193.69999999995</v>
      </c>
      <c r="M43" s="31"/>
    </row>
    <row r="44" spans="2:13" ht="18.75" x14ac:dyDescent="0.3">
      <c r="B44" s="34">
        <v>39</v>
      </c>
      <c r="C44" s="31" t="s">
        <v>204</v>
      </c>
      <c r="D44" s="33">
        <v>450000</v>
      </c>
      <c r="E44" s="33">
        <v>59985</v>
      </c>
      <c r="F44" s="32">
        <f t="shared" si="6"/>
        <v>509985</v>
      </c>
      <c r="G44" s="34">
        <v>50</v>
      </c>
      <c r="H44" s="32">
        <v>10199.700000000001</v>
      </c>
      <c r="I44" s="31">
        <v>34</v>
      </c>
      <c r="J44" s="35">
        <f t="shared" si="7"/>
        <v>16</v>
      </c>
      <c r="K44" s="36">
        <f t="shared" si="8"/>
        <v>346789.80000000005</v>
      </c>
      <c r="L44" s="32">
        <f t="shared" si="9"/>
        <v>163195.19999999995</v>
      </c>
      <c r="M44" s="31"/>
    </row>
    <row r="45" spans="2:13" ht="18.75" x14ac:dyDescent="0.3">
      <c r="B45" s="34">
        <v>40</v>
      </c>
      <c r="C45" s="50" t="s">
        <v>146</v>
      </c>
      <c r="D45" s="33">
        <v>450000</v>
      </c>
      <c r="E45" s="33">
        <v>59985</v>
      </c>
      <c r="F45" s="32">
        <f t="shared" si="6"/>
        <v>509985</v>
      </c>
      <c r="G45" s="34">
        <v>50</v>
      </c>
      <c r="H45" s="32">
        <v>10199.700000000001</v>
      </c>
      <c r="I45" s="50">
        <v>18</v>
      </c>
      <c r="J45" s="35">
        <f t="shared" si="7"/>
        <v>32</v>
      </c>
      <c r="K45" s="36">
        <f t="shared" ref="K45:K54" si="10">I45*H45</f>
        <v>183594.6</v>
      </c>
      <c r="L45" s="36">
        <f t="shared" si="9"/>
        <v>326390.40000000002</v>
      </c>
      <c r="M45" s="31"/>
    </row>
    <row r="46" spans="2:13" ht="18.75" x14ac:dyDescent="0.3">
      <c r="B46" s="34">
        <v>41</v>
      </c>
      <c r="C46" s="50" t="s">
        <v>231</v>
      </c>
      <c r="D46" s="33">
        <v>450000</v>
      </c>
      <c r="E46" s="33">
        <v>59985</v>
      </c>
      <c r="F46" s="32">
        <f t="shared" si="6"/>
        <v>509985</v>
      </c>
      <c r="G46" s="34">
        <v>50</v>
      </c>
      <c r="H46" s="32">
        <v>10199.700000000001</v>
      </c>
      <c r="I46" s="50">
        <v>18</v>
      </c>
      <c r="J46" s="35">
        <f t="shared" si="7"/>
        <v>32</v>
      </c>
      <c r="K46" s="36">
        <f t="shared" si="10"/>
        <v>183594.6</v>
      </c>
      <c r="L46" s="36">
        <f t="shared" si="9"/>
        <v>326390.40000000002</v>
      </c>
      <c r="M46" s="31"/>
    </row>
    <row r="47" spans="2:13" ht="18.75" x14ac:dyDescent="0.3">
      <c r="B47" s="34">
        <v>42</v>
      </c>
      <c r="C47" s="50" t="s">
        <v>17</v>
      </c>
      <c r="D47" s="33">
        <v>450000</v>
      </c>
      <c r="E47" s="33">
        <v>59985</v>
      </c>
      <c r="F47" s="32">
        <f t="shared" si="6"/>
        <v>509985</v>
      </c>
      <c r="G47" s="34">
        <v>50</v>
      </c>
      <c r="H47" s="32">
        <v>10199.700000000001</v>
      </c>
      <c r="I47" s="50">
        <v>13</v>
      </c>
      <c r="J47" s="35">
        <f t="shared" si="7"/>
        <v>37</v>
      </c>
      <c r="K47" s="36">
        <f t="shared" si="10"/>
        <v>132596.1</v>
      </c>
      <c r="L47" s="36">
        <f t="shared" si="9"/>
        <v>377388.9</v>
      </c>
      <c r="M47" s="31"/>
    </row>
    <row r="48" spans="2:13" ht="18.75" x14ac:dyDescent="0.3">
      <c r="B48" s="34">
        <v>43</v>
      </c>
      <c r="C48" s="50" t="s">
        <v>22</v>
      </c>
      <c r="D48" s="33">
        <v>450000</v>
      </c>
      <c r="E48" s="33">
        <v>59985</v>
      </c>
      <c r="F48" s="32">
        <f t="shared" si="6"/>
        <v>509985</v>
      </c>
      <c r="G48" s="34">
        <v>50</v>
      </c>
      <c r="H48" s="32">
        <v>10199.700000000001</v>
      </c>
      <c r="I48" s="50">
        <v>10</v>
      </c>
      <c r="J48" s="35">
        <f t="shared" si="7"/>
        <v>40</v>
      </c>
      <c r="K48" s="36">
        <f t="shared" si="10"/>
        <v>101997</v>
      </c>
      <c r="L48" s="36">
        <f t="shared" si="9"/>
        <v>407988</v>
      </c>
      <c r="M48" s="31"/>
    </row>
    <row r="49" spans="2:13" ht="18.75" x14ac:dyDescent="0.3">
      <c r="B49" s="34">
        <v>44</v>
      </c>
      <c r="C49" s="50" t="s">
        <v>29</v>
      </c>
      <c r="D49" s="33">
        <v>450000</v>
      </c>
      <c r="E49" s="33">
        <v>59985</v>
      </c>
      <c r="F49" s="32">
        <f t="shared" si="6"/>
        <v>509985</v>
      </c>
      <c r="G49" s="34">
        <v>50</v>
      </c>
      <c r="H49" s="32">
        <v>10199.700000000001</v>
      </c>
      <c r="I49" s="50">
        <v>7</v>
      </c>
      <c r="J49" s="35">
        <f t="shared" si="7"/>
        <v>43</v>
      </c>
      <c r="K49" s="36">
        <f t="shared" si="10"/>
        <v>71397.900000000009</v>
      </c>
      <c r="L49" s="36">
        <f t="shared" si="9"/>
        <v>438587.1</v>
      </c>
      <c r="M49" s="31"/>
    </row>
    <row r="50" spans="2:13" ht="18.75" x14ac:dyDescent="0.3">
      <c r="B50" s="34">
        <v>45</v>
      </c>
      <c r="C50" s="29" t="s">
        <v>35</v>
      </c>
      <c r="D50" s="33">
        <v>450000</v>
      </c>
      <c r="E50" s="33">
        <v>59985</v>
      </c>
      <c r="F50" s="32">
        <f t="shared" si="6"/>
        <v>509985</v>
      </c>
      <c r="G50" s="34">
        <v>50</v>
      </c>
      <c r="H50" s="32">
        <v>10199.700000000001</v>
      </c>
      <c r="I50" s="50">
        <v>8</v>
      </c>
      <c r="J50" s="35">
        <f t="shared" si="7"/>
        <v>42</v>
      </c>
      <c r="K50" s="36">
        <f t="shared" si="10"/>
        <v>81597.600000000006</v>
      </c>
      <c r="L50" s="36">
        <f t="shared" si="9"/>
        <v>428387.4</v>
      </c>
      <c r="M50" s="31"/>
    </row>
    <row r="51" spans="2:13" ht="18.75" x14ac:dyDescent="0.3">
      <c r="B51" s="34">
        <v>46</v>
      </c>
      <c r="C51" s="29" t="s">
        <v>48</v>
      </c>
      <c r="D51" s="33">
        <v>450000</v>
      </c>
      <c r="E51" s="33">
        <v>59985</v>
      </c>
      <c r="F51" s="32">
        <f t="shared" si="6"/>
        <v>509985</v>
      </c>
      <c r="G51" s="34">
        <v>50</v>
      </c>
      <c r="H51" s="32">
        <v>10199.700000000001</v>
      </c>
      <c r="I51" s="50">
        <v>5</v>
      </c>
      <c r="J51" s="35">
        <f t="shared" si="7"/>
        <v>45</v>
      </c>
      <c r="K51" s="36">
        <f t="shared" si="10"/>
        <v>50998.5</v>
      </c>
      <c r="L51" s="36">
        <f t="shared" si="9"/>
        <v>458986.5</v>
      </c>
      <c r="M51" s="31"/>
    </row>
    <row r="52" spans="2:13" ht="18.75" x14ac:dyDescent="0.3">
      <c r="B52" s="34">
        <v>47</v>
      </c>
      <c r="C52" s="29" t="s">
        <v>63</v>
      </c>
      <c r="D52" s="33">
        <v>450000</v>
      </c>
      <c r="E52" s="33">
        <v>59985</v>
      </c>
      <c r="F52" s="32">
        <f t="shared" si="6"/>
        <v>509985</v>
      </c>
      <c r="G52" s="34">
        <v>50</v>
      </c>
      <c r="H52" s="32">
        <v>10199.700000000001</v>
      </c>
      <c r="I52" s="50">
        <v>3</v>
      </c>
      <c r="J52" s="35">
        <f t="shared" si="7"/>
        <v>47</v>
      </c>
      <c r="K52" s="36">
        <f t="shared" si="10"/>
        <v>30599.100000000002</v>
      </c>
      <c r="L52" s="36">
        <f t="shared" si="9"/>
        <v>479385.9</v>
      </c>
      <c r="M52" s="31"/>
    </row>
    <row r="53" spans="2:13" ht="18.75" x14ac:dyDescent="0.3">
      <c r="B53" s="34">
        <v>48</v>
      </c>
      <c r="C53" s="29" t="s">
        <v>65</v>
      </c>
      <c r="D53" s="33">
        <v>450000</v>
      </c>
      <c r="E53" s="33">
        <v>59985</v>
      </c>
      <c r="F53" s="32">
        <f t="shared" si="6"/>
        <v>509985</v>
      </c>
      <c r="G53" s="34">
        <v>50</v>
      </c>
      <c r="H53" s="32">
        <v>10199.700000000001</v>
      </c>
      <c r="I53" s="50">
        <v>3</v>
      </c>
      <c r="J53" s="35">
        <f t="shared" si="7"/>
        <v>47</v>
      </c>
      <c r="K53" s="36">
        <f t="shared" si="10"/>
        <v>30599.100000000002</v>
      </c>
      <c r="L53" s="36">
        <f t="shared" si="9"/>
        <v>479385.9</v>
      </c>
      <c r="M53" s="31"/>
    </row>
    <row r="54" spans="2:13" ht="18.75" x14ac:dyDescent="0.3">
      <c r="B54" s="34">
        <v>49</v>
      </c>
      <c r="C54" s="29" t="s">
        <v>59</v>
      </c>
      <c r="D54" s="33">
        <v>450000</v>
      </c>
      <c r="E54" s="33">
        <v>59985</v>
      </c>
      <c r="F54" s="32">
        <f t="shared" si="6"/>
        <v>509985</v>
      </c>
      <c r="G54" s="34">
        <v>50</v>
      </c>
      <c r="H54" s="32">
        <v>10199.700000000001</v>
      </c>
      <c r="I54" s="50">
        <v>3</v>
      </c>
      <c r="J54" s="35">
        <f t="shared" si="7"/>
        <v>47</v>
      </c>
      <c r="K54" s="36">
        <f t="shared" si="10"/>
        <v>30599.100000000002</v>
      </c>
      <c r="L54" s="36">
        <f t="shared" si="9"/>
        <v>479385.9</v>
      </c>
      <c r="M54" s="31"/>
    </row>
    <row r="55" spans="2:13" ht="18.75" x14ac:dyDescent="0.3">
      <c r="B55" s="34">
        <v>50</v>
      </c>
      <c r="C55" s="31" t="s">
        <v>189</v>
      </c>
      <c r="D55" s="32">
        <v>330000</v>
      </c>
      <c r="E55" s="33">
        <v>43989</v>
      </c>
      <c r="F55" s="32">
        <f t="shared" si="6"/>
        <v>373989</v>
      </c>
      <c r="G55" s="34">
        <v>50</v>
      </c>
      <c r="H55" s="32">
        <v>7479.78</v>
      </c>
      <c r="I55" s="31">
        <v>44</v>
      </c>
      <c r="J55" s="35">
        <f t="shared" si="7"/>
        <v>6</v>
      </c>
      <c r="K55" s="33">
        <f>H55*I55</f>
        <v>329110.32</v>
      </c>
      <c r="L55" s="32">
        <f t="shared" si="9"/>
        <v>44878.679999999993</v>
      </c>
      <c r="M55" s="53"/>
    </row>
    <row r="56" spans="2:13" ht="18.75" x14ac:dyDescent="0.3">
      <c r="B56" s="34">
        <v>51</v>
      </c>
      <c r="C56" s="31" t="s">
        <v>79</v>
      </c>
      <c r="D56" s="32">
        <v>330000</v>
      </c>
      <c r="E56" s="33">
        <v>43989</v>
      </c>
      <c r="F56" s="32">
        <f t="shared" si="6"/>
        <v>373989</v>
      </c>
      <c r="G56" s="34">
        <v>50</v>
      </c>
      <c r="H56" s="32">
        <v>7479.78</v>
      </c>
      <c r="I56" s="31">
        <v>25</v>
      </c>
      <c r="J56" s="35">
        <f t="shared" si="7"/>
        <v>25</v>
      </c>
      <c r="K56" s="32">
        <f>H56*I56</f>
        <v>186994.5</v>
      </c>
      <c r="L56" s="36">
        <f t="shared" si="9"/>
        <v>186994.5</v>
      </c>
      <c r="M56" s="31"/>
    </row>
    <row r="57" spans="2:13" ht="18.75" x14ac:dyDescent="0.3">
      <c r="B57" s="34">
        <v>52</v>
      </c>
      <c r="C57" s="31" t="s">
        <v>83</v>
      </c>
      <c r="D57" s="32">
        <v>330000</v>
      </c>
      <c r="E57" s="33">
        <v>43989</v>
      </c>
      <c r="F57" s="32">
        <f t="shared" si="6"/>
        <v>373989</v>
      </c>
      <c r="G57" s="34">
        <v>50</v>
      </c>
      <c r="H57" s="32">
        <v>7479.78</v>
      </c>
      <c r="I57" s="31">
        <v>29</v>
      </c>
      <c r="J57" s="35">
        <f t="shared" si="7"/>
        <v>21</v>
      </c>
      <c r="K57" s="36">
        <f>H57*I57</f>
        <v>216913.62</v>
      </c>
      <c r="L57" s="36">
        <f t="shared" si="9"/>
        <v>157075.38</v>
      </c>
      <c r="M57" s="31"/>
    </row>
    <row r="58" spans="2:13" ht="18.75" x14ac:dyDescent="0.3">
      <c r="B58" s="34">
        <v>53</v>
      </c>
      <c r="C58" s="31" t="s">
        <v>95</v>
      </c>
      <c r="D58" s="32">
        <v>330000</v>
      </c>
      <c r="E58" s="33">
        <v>43989</v>
      </c>
      <c r="F58" s="32">
        <f t="shared" si="6"/>
        <v>373989</v>
      </c>
      <c r="G58" s="34">
        <v>50</v>
      </c>
      <c r="H58" s="32">
        <v>7479.78</v>
      </c>
      <c r="I58" s="31">
        <v>25</v>
      </c>
      <c r="J58" s="35">
        <f t="shared" si="7"/>
        <v>25</v>
      </c>
      <c r="K58" s="36">
        <f>H58*I58</f>
        <v>186994.5</v>
      </c>
      <c r="L58" s="32">
        <f t="shared" si="9"/>
        <v>186994.5</v>
      </c>
      <c r="M58" s="31"/>
    </row>
    <row r="59" spans="2:13" ht="18.75" x14ac:dyDescent="0.3">
      <c r="B59" s="34">
        <v>54</v>
      </c>
      <c r="C59" s="31" t="s">
        <v>96</v>
      </c>
      <c r="D59" s="32">
        <v>330000</v>
      </c>
      <c r="E59" s="33">
        <v>43989</v>
      </c>
      <c r="F59" s="32">
        <f t="shared" si="6"/>
        <v>373989</v>
      </c>
      <c r="G59" s="34">
        <v>50</v>
      </c>
      <c r="H59" s="36">
        <v>7479.78</v>
      </c>
      <c r="I59" s="31">
        <v>29</v>
      </c>
      <c r="J59" s="35">
        <f t="shared" si="7"/>
        <v>21</v>
      </c>
      <c r="K59" s="36">
        <f>H59*I59</f>
        <v>216913.62</v>
      </c>
      <c r="L59" s="36">
        <f t="shared" si="9"/>
        <v>157075.38</v>
      </c>
      <c r="M59" s="31"/>
    </row>
    <row r="60" spans="2:13" ht="18.75" x14ac:dyDescent="0.3">
      <c r="B60" s="34">
        <v>55</v>
      </c>
      <c r="C60" s="50" t="s">
        <v>18</v>
      </c>
      <c r="D60" s="32">
        <v>330000</v>
      </c>
      <c r="E60" s="33">
        <v>43989</v>
      </c>
      <c r="F60" s="32">
        <f t="shared" si="6"/>
        <v>373989</v>
      </c>
      <c r="G60" s="34">
        <v>50</v>
      </c>
      <c r="H60" s="36">
        <v>7479.74</v>
      </c>
      <c r="I60" s="50">
        <v>13</v>
      </c>
      <c r="J60" s="35">
        <f t="shared" si="7"/>
        <v>37</v>
      </c>
      <c r="K60" s="36">
        <f>I60*H60</f>
        <v>97236.62</v>
      </c>
      <c r="L60" s="36">
        <f t="shared" si="9"/>
        <v>276752.38</v>
      </c>
      <c r="M60" s="31"/>
    </row>
    <row r="61" spans="2:13" ht="18.75" x14ac:dyDescent="0.3">
      <c r="B61" s="34">
        <v>56</v>
      </c>
      <c r="C61" s="31" t="s">
        <v>233</v>
      </c>
      <c r="D61" s="32">
        <v>330000</v>
      </c>
      <c r="E61" s="33">
        <v>43989</v>
      </c>
      <c r="F61" s="32">
        <f t="shared" si="6"/>
        <v>373989</v>
      </c>
      <c r="G61" s="34">
        <v>50</v>
      </c>
      <c r="H61" s="36">
        <v>7479.78</v>
      </c>
      <c r="I61" s="31">
        <v>29</v>
      </c>
      <c r="J61" s="35">
        <f t="shared" si="7"/>
        <v>21</v>
      </c>
      <c r="K61" s="36">
        <f>H61*I61</f>
        <v>216913.62</v>
      </c>
      <c r="L61" s="36">
        <f t="shared" si="9"/>
        <v>157075.38</v>
      </c>
      <c r="M61" s="31"/>
    </row>
    <row r="62" spans="2:13" ht="18.75" x14ac:dyDescent="0.3">
      <c r="B62" s="34">
        <v>57</v>
      </c>
      <c r="C62" s="31" t="s">
        <v>220</v>
      </c>
      <c r="D62" s="32">
        <v>330000</v>
      </c>
      <c r="E62" s="33">
        <v>43989</v>
      </c>
      <c r="F62" s="32">
        <f t="shared" si="6"/>
        <v>373989</v>
      </c>
      <c r="G62" s="34">
        <v>50</v>
      </c>
      <c r="H62" s="32">
        <v>7479.78</v>
      </c>
      <c r="I62" s="31">
        <v>29</v>
      </c>
      <c r="J62" s="35">
        <f t="shared" si="7"/>
        <v>21</v>
      </c>
      <c r="K62" s="36">
        <f>H62*I62</f>
        <v>216913.62</v>
      </c>
      <c r="L62" s="32">
        <f t="shared" si="9"/>
        <v>157075.38</v>
      </c>
      <c r="M62" s="31"/>
    </row>
    <row r="63" spans="2:13" ht="18.75" x14ac:dyDescent="0.3">
      <c r="B63" s="34">
        <v>58</v>
      </c>
      <c r="C63" s="31" t="s">
        <v>135</v>
      </c>
      <c r="D63" s="32">
        <v>330000</v>
      </c>
      <c r="E63" s="33">
        <v>43989</v>
      </c>
      <c r="F63" s="32">
        <f t="shared" si="6"/>
        <v>373989</v>
      </c>
      <c r="G63" s="34">
        <v>50</v>
      </c>
      <c r="H63" s="32">
        <v>7479.78</v>
      </c>
      <c r="I63" s="31">
        <v>50</v>
      </c>
      <c r="J63" s="35">
        <f t="shared" si="7"/>
        <v>0</v>
      </c>
      <c r="K63" s="36">
        <f>H63*I63</f>
        <v>373989</v>
      </c>
      <c r="L63" s="32">
        <f t="shared" si="9"/>
        <v>0</v>
      </c>
      <c r="M63" s="31"/>
    </row>
    <row r="64" spans="2:13" ht="18.75" x14ac:dyDescent="0.3">
      <c r="B64" s="34">
        <v>59</v>
      </c>
      <c r="C64" s="31" t="s">
        <v>140</v>
      </c>
      <c r="D64" s="32">
        <v>330000</v>
      </c>
      <c r="E64" s="33">
        <v>43989</v>
      </c>
      <c r="F64" s="32">
        <f t="shared" si="6"/>
        <v>373989</v>
      </c>
      <c r="G64" s="34">
        <v>50</v>
      </c>
      <c r="H64" s="36">
        <v>7479.78</v>
      </c>
      <c r="I64" s="31">
        <v>29</v>
      </c>
      <c r="J64" s="35">
        <f t="shared" si="7"/>
        <v>21</v>
      </c>
      <c r="K64" s="36">
        <f>H64*I64</f>
        <v>216913.62</v>
      </c>
      <c r="L64" s="36">
        <f t="shared" si="9"/>
        <v>157075.38</v>
      </c>
      <c r="M64" s="31"/>
    </row>
    <row r="65" spans="2:13" ht="18.75" x14ac:dyDescent="0.3">
      <c r="B65" s="34">
        <v>60</v>
      </c>
      <c r="C65" s="31" t="s">
        <v>175</v>
      </c>
      <c r="D65" s="32">
        <v>330000</v>
      </c>
      <c r="E65" s="33">
        <v>43989</v>
      </c>
      <c r="F65" s="32">
        <f t="shared" si="6"/>
        <v>373989</v>
      </c>
      <c r="G65" s="34">
        <v>50</v>
      </c>
      <c r="H65" s="36">
        <v>7479.78</v>
      </c>
      <c r="I65" s="31">
        <v>24</v>
      </c>
      <c r="J65" s="35">
        <f t="shared" si="7"/>
        <v>26</v>
      </c>
      <c r="K65" s="36">
        <f>H65*I65</f>
        <v>179514.72</v>
      </c>
      <c r="L65" s="36">
        <f t="shared" si="9"/>
        <v>194474.28</v>
      </c>
      <c r="M65" s="31"/>
    </row>
    <row r="66" spans="2:13" ht="18.75" x14ac:dyDescent="0.3">
      <c r="B66" s="34">
        <v>61</v>
      </c>
      <c r="C66" s="50" t="s">
        <v>149</v>
      </c>
      <c r="D66" s="33">
        <v>330000</v>
      </c>
      <c r="E66" s="33">
        <v>43989</v>
      </c>
      <c r="F66" s="32">
        <v>373989</v>
      </c>
      <c r="G66" s="34">
        <v>50</v>
      </c>
      <c r="H66" s="32">
        <v>7478.78</v>
      </c>
      <c r="I66" s="50">
        <v>18</v>
      </c>
      <c r="J66" s="35">
        <f t="shared" si="7"/>
        <v>32</v>
      </c>
      <c r="K66" s="36">
        <f t="shared" ref="K66:K88" si="11">I66*H66</f>
        <v>134618.04</v>
      </c>
      <c r="L66" s="36">
        <f t="shared" si="9"/>
        <v>239370.96</v>
      </c>
      <c r="M66" s="31"/>
    </row>
    <row r="67" spans="2:13" ht="18.75" x14ac:dyDescent="0.3">
      <c r="B67" s="34">
        <v>62</v>
      </c>
      <c r="C67" s="50" t="s">
        <v>150</v>
      </c>
      <c r="D67" s="33">
        <v>330000</v>
      </c>
      <c r="E67" s="33">
        <v>43989</v>
      </c>
      <c r="F67" s="32">
        <f t="shared" ref="F67:F98" si="12">D67+E67</f>
        <v>373989</v>
      </c>
      <c r="G67" s="34">
        <v>50</v>
      </c>
      <c r="H67" s="32">
        <v>7479.78</v>
      </c>
      <c r="I67" s="50">
        <v>18</v>
      </c>
      <c r="J67" s="35">
        <f t="shared" si="7"/>
        <v>32</v>
      </c>
      <c r="K67" s="36">
        <f t="shared" si="11"/>
        <v>134636.04</v>
      </c>
      <c r="L67" s="36">
        <f t="shared" si="9"/>
        <v>239352.95999999999</v>
      </c>
      <c r="M67" s="31"/>
    </row>
    <row r="68" spans="2:13" ht="18.75" x14ac:dyDescent="0.3">
      <c r="B68" s="34">
        <v>63</v>
      </c>
      <c r="C68" s="50" t="s">
        <v>209</v>
      </c>
      <c r="D68" s="33">
        <v>330000</v>
      </c>
      <c r="E68" s="33">
        <v>43989</v>
      </c>
      <c r="F68" s="32">
        <f t="shared" si="12"/>
        <v>373989</v>
      </c>
      <c r="G68" s="34">
        <v>50</v>
      </c>
      <c r="H68" s="32">
        <v>7479.78</v>
      </c>
      <c r="I68" s="50">
        <v>15</v>
      </c>
      <c r="J68" s="35">
        <f t="shared" si="7"/>
        <v>35</v>
      </c>
      <c r="K68" s="36">
        <f t="shared" si="11"/>
        <v>112196.7</v>
      </c>
      <c r="L68" s="36">
        <f t="shared" si="9"/>
        <v>261792.3</v>
      </c>
      <c r="M68" s="31"/>
    </row>
    <row r="69" spans="2:13" ht="18.75" x14ac:dyDescent="0.3">
      <c r="B69" s="34">
        <v>64</v>
      </c>
      <c r="C69" s="50" t="s">
        <v>210</v>
      </c>
      <c r="D69" s="33">
        <v>330000</v>
      </c>
      <c r="E69" s="33">
        <v>43989</v>
      </c>
      <c r="F69" s="32">
        <f t="shared" si="12"/>
        <v>373989</v>
      </c>
      <c r="G69" s="34">
        <v>50</v>
      </c>
      <c r="H69" s="32">
        <v>7479.78</v>
      </c>
      <c r="I69" s="50">
        <v>15</v>
      </c>
      <c r="J69" s="35">
        <f t="shared" si="7"/>
        <v>35</v>
      </c>
      <c r="K69" s="36">
        <f t="shared" si="11"/>
        <v>112196.7</v>
      </c>
      <c r="L69" s="36">
        <f t="shared" si="9"/>
        <v>261792.3</v>
      </c>
      <c r="M69" s="31"/>
    </row>
    <row r="70" spans="2:13" ht="18.75" x14ac:dyDescent="0.3">
      <c r="B70" s="34">
        <v>65</v>
      </c>
      <c r="C70" s="50" t="s">
        <v>211</v>
      </c>
      <c r="D70" s="33">
        <v>330000</v>
      </c>
      <c r="E70" s="33">
        <v>43989</v>
      </c>
      <c r="F70" s="32">
        <f t="shared" si="12"/>
        <v>373989</v>
      </c>
      <c r="G70" s="34">
        <v>50</v>
      </c>
      <c r="H70" s="32">
        <v>7479.78</v>
      </c>
      <c r="I70" s="50">
        <v>15</v>
      </c>
      <c r="J70" s="35">
        <f t="shared" ref="J70:J101" si="13">G70-I70</f>
        <v>35</v>
      </c>
      <c r="K70" s="36">
        <f t="shared" si="11"/>
        <v>112196.7</v>
      </c>
      <c r="L70" s="36">
        <f t="shared" ref="L70:L101" si="14">F70-K70</f>
        <v>261792.3</v>
      </c>
      <c r="M70" s="31"/>
    </row>
    <row r="71" spans="2:13" ht="18.75" x14ac:dyDescent="0.3">
      <c r="B71" s="34">
        <v>66</v>
      </c>
      <c r="C71" s="50" t="s">
        <v>212</v>
      </c>
      <c r="D71" s="33">
        <v>330000</v>
      </c>
      <c r="E71" s="33">
        <v>43989</v>
      </c>
      <c r="F71" s="32">
        <f t="shared" si="12"/>
        <v>373989</v>
      </c>
      <c r="G71" s="34">
        <v>50</v>
      </c>
      <c r="H71" s="32">
        <v>7479.78</v>
      </c>
      <c r="I71" s="50">
        <v>14</v>
      </c>
      <c r="J71" s="35">
        <f t="shared" si="13"/>
        <v>36</v>
      </c>
      <c r="K71" s="36">
        <f t="shared" si="11"/>
        <v>104716.92</v>
      </c>
      <c r="L71" s="36">
        <f t="shared" si="14"/>
        <v>269272.08</v>
      </c>
      <c r="M71" s="31"/>
    </row>
    <row r="72" spans="2:13" ht="18.75" x14ac:dyDescent="0.3">
      <c r="B72" s="34">
        <v>67</v>
      </c>
      <c r="C72" s="50" t="s">
        <v>13</v>
      </c>
      <c r="D72" s="33">
        <v>330000</v>
      </c>
      <c r="E72" s="33">
        <v>43989</v>
      </c>
      <c r="F72" s="32">
        <f t="shared" si="12"/>
        <v>373989</v>
      </c>
      <c r="G72" s="34">
        <v>50</v>
      </c>
      <c r="H72" s="32">
        <v>7479.78</v>
      </c>
      <c r="I72" s="50">
        <v>15</v>
      </c>
      <c r="J72" s="35">
        <f t="shared" si="13"/>
        <v>35</v>
      </c>
      <c r="K72" s="36">
        <f t="shared" si="11"/>
        <v>112196.7</v>
      </c>
      <c r="L72" s="36">
        <f t="shared" si="14"/>
        <v>261792.3</v>
      </c>
      <c r="M72" s="31"/>
    </row>
    <row r="73" spans="2:13" ht="18.75" x14ac:dyDescent="0.3">
      <c r="B73" s="34">
        <v>68</v>
      </c>
      <c r="C73" s="50" t="s">
        <v>19</v>
      </c>
      <c r="D73" s="32">
        <v>330000</v>
      </c>
      <c r="E73" s="33">
        <v>43989</v>
      </c>
      <c r="F73" s="32">
        <f t="shared" si="12"/>
        <v>373989</v>
      </c>
      <c r="G73" s="34">
        <v>50</v>
      </c>
      <c r="H73" s="36">
        <v>7479.74</v>
      </c>
      <c r="I73" s="50">
        <v>13</v>
      </c>
      <c r="J73" s="35">
        <f t="shared" si="13"/>
        <v>37</v>
      </c>
      <c r="K73" s="36">
        <f t="shared" si="11"/>
        <v>97236.62</v>
      </c>
      <c r="L73" s="36">
        <f t="shared" si="14"/>
        <v>276752.38</v>
      </c>
      <c r="M73" s="31"/>
    </row>
    <row r="74" spans="2:13" ht="18.75" x14ac:dyDescent="0.3">
      <c r="B74" s="34">
        <v>69</v>
      </c>
      <c r="C74" s="50" t="s">
        <v>215</v>
      </c>
      <c r="D74" s="32">
        <v>330000</v>
      </c>
      <c r="E74" s="33">
        <v>43989</v>
      </c>
      <c r="F74" s="32">
        <f t="shared" si="12"/>
        <v>373989</v>
      </c>
      <c r="G74" s="34">
        <v>50</v>
      </c>
      <c r="H74" s="36">
        <v>7479.78</v>
      </c>
      <c r="I74" s="50">
        <v>10</v>
      </c>
      <c r="J74" s="35">
        <f t="shared" si="13"/>
        <v>40</v>
      </c>
      <c r="K74" s="36">
        <f t="shared" si="11"/>
        <v>74797.8</v>
      </c>
      <c r="L74" s="36">
        <f t="shared" si="14"/>
        <v>299191.2</v>
      </c>
      <c r="M74" s="31"/>
    </row>
    <row r="75" spans="2:13" ht="18.75" x14ac:dyDescent="0.3">
      <c r="B75" s="34">
        <v>70</v>
      </c>
      <c r="C75" s="50" t="s">
        <v>25</v>
      </c>
      <c r="D75" s="32">
        <v>330000</v>
      </c>
      <c r="E75" s="33">
        <v>43989</v>
      </c>
      <c r="F75" s="32">
        <f t="shared" si="12"/>
        <v>373989</v>
      </c>
      <c r="G75" s="34">
        <v>50</v>
      </c>
      <c r="H75" s="36">
        <v>7479.78</v>
      </c>
      <c r="I75" s="50">
        <v>8</v>
      </c>
      <c r="J75" s="35">
        <f t="shared" si="13"/>
        <v>42</v>
      </c>
      <c r="K75" s="36">
        <f t="shared" si="11"/>
        <v>59838.239999999998</v>
      </c>
      <c r="L75" s="36">
        <f t="shared" si="14"/>
        <v>314150.76</v>
      </c>
      <c r="M75" s="31"/>
    </row>
    <row r="76" spans="2:13" ht="18.75" x14ac:dyDescent="0.3">
      <c r="B76" s="34">
        <v>71</v>
      </c>
      <c r="C76" s="50" t="s">
        <v>26</v>
      </c>
      <c r="D76" s="32">
        <v>330000</v>
      </c>
      <c r="E76" s="33">
        <v>43989</v>
      </c>
      <c r="F76" s="32">
        <f t="shared" si="12"/>
        <v>373989</v>
      </c>
      <c r="G76" s="34">
        <v>50</v>
      </c>
      <c r="H76" s="36">
        <v>7479.78</v>
      </c>
      <c r="I76" s="50">
        <v>8</v>
      </c>
      <c r="J76" s="35">
        <f t="shared" si="13"/>
        <v>42</v>
      </c>
      <c r="K76" s="36">
        <f t="shared" si="11"/>
        <v>59838.239999999998</v>
      </c>
      <c r="L76" s="36">
        <f t="shared" si="14"/>
        <v>314150.76</v>
      </c>
      <c r="M76" s="31"/>
    </row>
    <row r="77" spans="2:13" ht="18.75" x14ac:dyDescent="0.3">
      <c r="B77" s="34">
        <v>72</v>
      </c>
      <c r="C77" s="50" t="s">
        <v>30</v>
      </c>
      <c r="D77" s="32">
        <v>330000</v>
      </c>
      <c r="E77" s="33">
        <v>43989</v>
      </c>
      <c r="F77" s="32">
        <f t="shared" si="12"/>
        <v>373989</v>
      </c>
      <c r="G77" s="34">
        <v>50</v>
      </c>
      <c r="H77" s="36">
        <v>7479.78</v>
      </c>
      <c r="I77" s="50">
        <v>7</v>
      </c>
      <c r="J77" s="35">
        <f t="shared" si="13"/>
        <v>43</v>
      </c>
      <c r="K77" s="36">
        <f t="shared" si="11"/>
        <v>52358.46</v>
      </c>
      <c r="L77" s="36">
        <f t="shared" si="14"/>
        <v>321630.53999999998</v>
      </c>
      <c r="M77" s="31"/>
    </row>
    <row r="78" spans="2:13" ht="18.75" x14ac:dyDescent="0.3">
      <c r="B78" s="34">
        <v>73</v>
      </c>
      <c r="C78" s="29" t="s">
        <v>36</v>
      </c>
      <c r="D78" s="32">
        <v>330000</v>
      </c>
      <c r="E78" s="33">
        <v>43989</v>
      </c>
      <c r="F78" s="32">
        <f t="shared" si="12"/>
        <v>373989</v>
      </c>
      <c r="G78" s="34">
        <v>50</v>
      </c>
      <c r="H78" s="36">
        <v>7479.78</v>
      </c>
      <c r="I78" s="50">
        <v>7</v>
      </c>
      <c r="J78" s="35">
        <f t="shared" si="13"/>
        <v>43</v>
      </c>
      <c r="K78" s="36">
        <f t="shared" si="11"/>
        <v>52358.46</v>
      </c>
      <c r="L78" s="36">
        <f t="shared" si="14"/>
        <v>321630.53999999998</v>
      </c>
      <c r="M78" s="31"/>
    </row>
    <row r="79" spans="2:13" ht="18.75" x14ac:dyDescent="0.3">
      <c r="B79" s="34">
        <v>74</v>
      </c>
      <c r="C79" s="29" t="s">
        <v>37</v>
      </c>
      <c r="D79" s="32">
        <v>330000</v>
      </c>
      <c r="E79" s="33">
        <v>43989</v>
      </c>
      <c r="F79" s="32">
        <f t="shared" si="12"/>
        <v>373989</v>
      </c>
      <c r="G79" s="34">
        <v>50</v>
      </c>
      <c r="H79" s="36">
        <v>7479.78</v>
      </c>
      <c r="I79" s="50">
        <v>8</v>
      </c>
      <c r="J79" s="35">
        <f t="shared" si="13"/>
        <v>42</v>
      </c>
      <c r="K79" s="36">
        <f t="shared" si="11"/>
        <v>59838.239999999998</v>
      </c>
      <c r="L79" s="36">
        <f t="shared" si="14"/>
        <v>314150.76</v>
      </c>
      <c r="M79" s="31"/>
    </row>
    <row r="80" spans="2:13" ht="18.75" x14ac:dyDescent="0.3">
      <c r="B80" s="34">
        <v>75</v>
      </c>
      <c r="C80" s="29" t="s">
        <v>40</v>
      </c>
      <c r="D80" s="32">
        <v>330000</v>
      </c>
      <c r="E80" s="33">
        <v>43989</v>
      </c>
      <c r="F80" s="32">
        <f t="shared" si="12"/>
        <v>373989</v>
      </c>
      <c r="G80" s="34">
        <v>50</v>
      </c>
      <c r="H80" s="36">
        <v>7479.78</v>
      </c>
      <c r="I80" s="50">
        <v>30</v>
      </c>
      <c r="J80" s="35">
        <f t="shared" si="13"/>
        <v>20</v>
      </c>
      <c r="K80" s="36">
        <f t="shared" si="11"/>
        <v>224393.4</v>
      </c>
      <c r="L80" s="36">
        <f t="shared" si="14"/>
        <v>149595.6</v>
      </c>
      <c r="M80" s="31"/>
    </row>
    <row r="81" spans="2:13" ht="18.75" x14ac:dyDescent="0.3">
      <c r="B81" s="34">
        <v>76</v>
      </c>
      <c r="C81" s="29" t="s">
        <v>173</v>
      </c>
      <c r="D81" s="32">
        <v>330000</v>
      </c>
      <c r="E81" s="33">
        <v>43989</v>
      </c>
      <c r="F81" s="32">
        <f t="shared" si="12"/>
        <v>373989</v>
      </c>
      <c r="G81" s="34">
        <v>50</v>
      </c>
      <c r="H81" s="32">
        <v>7479.78</v>
      </c>
      <c r="I81" s="50">
        <v>19</v>
      </c>
      <c r="J81" s="35">
        <f t="shared" si="13"/>
        <v>31</v>
      </c>
      <c r="K81" s="36">
        <f t="shared" si="11"/>
        <v>142115.82</v>
      </c>
      <c r="L81" s="36">
        <f t="shared" si="14"/>
        <v>231873.18</v>
      </c>
      <c r="M81" s="31"/>
    </row>
    <row r="82" spans="2:13" ht="18.75" x14ac:dyDescent="0.3">
      <c r="B82" s="34">
        <v>77</v>
      </c>
      <c r="C82" s="29" t="s">
        <v>49</v>
      </c>
      <c r="D82" s="32">
        <v>330000</v>
      </c>
      <c r="E82" s="33">
        <v>43989</v>
      </c>
      <c r="F82" s="32">
        <f t="shared" si="12"/>
        <v>373989</v>
      </c>
      <c r="G82" s="34">
        <v>50</v>
      </c>
      <c r="H82" s="32">
        <v>7479.78</v>
      </c>
      <c r="I82" s="50">
        <v>5</v>
      </c>
      <c r="J82" s="35">
        <f t="shared" si="13"/>
        <v>45</v>
      </c>
      <c r="K82" s="36">
        <f t="shared" si="11"/>
        <v>37398.9</v>
      </c>
      <c r="L82" s="36">
        <f t="shared" si="14"/>
        <v>336590.1</v>
      </c>
      <c r="M82" s="31"/>
    </row>
    <row r="83" spans="2:13" ht="18.75" x14ac:dyDescent="0.3">
      <c r="B83" s="34">
        <v>78</v>
      </c>
      <c r="C83" s="29" t="s">
        <v>50</v>
      </c>
      <c r="D83" s="32">
        <v>330000</v>
      </c>
      <c r="E83" s="33">
        <v>43989</v>
      </c>
      <c r="F83" s="32">
        <f t="shared" si="12"/>
        <v>373989</v>
      </c>
      <c r="G83" s="34">
        <v>50</v>
      </c>
      <c r="H83" s="32">
        <v>7479.78</v>
      </c>
      <c r="I83" s="50">
        <v>5</v>
      </c>
      <c r="J83" s="35">
        <f t="shared" si="13"/>
        <v>45</v>
      </c>
      <c r="K83" s="36">
        <f t="shared" si="11"/>
        <v>37398.9</v>
      </c>
      <c r="L83" s="36">
        <f t="shared" si="14"/>
        <v>336590.1</v>
      </c>
      <c r="M83" s="31"/>
    </row>
    <row r="84" spans="2:13" ht="18.75" x14ac:dyDescent="0.3">
      <c r="B84" s="34">
        <v>79</v>
      </c>
      <c r="C84" s="29" t="s">
        <v>70</v>
      </c>
      <c r="D84" s="32">
        <v>330000</v>
      </c>
      <c r="E84" s="33">
        <v>43989</v>
      </c>
      <c r="F84" s="32">
        <f t="shared" si="12"/>
        <v>373989</v>
      </c>
      <c r="G84" s="34">
        <v>50</v>
      </c>
      <c r="H84" s="32">
        <v>7479.78</v>
      </c>
      <c r="I84" s="50">
        <v>3</v>
      </c>
      <c r="J84" s="35">
        <f t="shared" si="13"/>
        <v>47</v>
      </c>
      <c r="K84" s="36">
        <f t="shared" si="11"/>
        <v>22439.34</v>
      </c>
      <c r="L84" s="36">
        <f t="shared" si="14"/>
        <v>351549.66</v>
      </c>
      <c r="M84" s="31"/>
    </row>
    <row r="85" spans="2:13" ht="18.75" x14ac:dyDescent="0.3">
      <c r="B85" s="34">
        <v>80</v>
      </c>
      <c r="C85" s="29" t="s">
        <v>69</v>
      </c>
      <c r="D85" s="32">
        <v>330000</v>
      </c>
      <c r="E85" s="33">
        <v>43989</v>
      </c>
      <c r="F85" s="32">
        <f t="shared" si="12"/>
        <v>373989</v>
      </c>
      <c r="G85" s="34">
        <v>50</v>
      </c>
      <c r="H85" s="32">
        <v>7479.78</v>
      </c>
      <c r="I85" s="50">
        <v>3</v>
      </c>
      <c r="J85" s="35">
        <f t="shared" si="13"/>
        <v>47</v>
      </c>
      <c r="K85" s="36">
        <f t="shared" si="11"/>
        <v>22439.34</v>
      </c>
      <c r="L85" s="36">
        <f t="shared" si="14"/>
        <v>351549.66</v>
      </c>
      <c r="M85" s="31"/>
    </row>
    <row r="86" spans="2:13" ht="18.75" x14ac:dyDescent="0.3">
      <c r="B86" s="34">
        <v>81</v>
      </c>
      <c r="C86" s="29" t="s">
        <v>62</v>
      </c>
      <c r="D86" s="32">
        <v>330000</v>
      </c>
      <c r="E86" s="33">
        <v>43989</v>
      </c>
      <c r="F86" s="32">
        <f t="shared" si="12"/>
        <v>373989</v>
      </c>
      <c r="G86" s="34">
        <v>50</v>
      </c>
      <c r="H86" s="32">
        <v>7479.78</v>
      </c>
      <c r="I86" s="50">
        <v>3</v>
      </c>
      <c r="J86" s="35">
        <f t="shared" si="13"/>
        <v>47</v>
      </c>
      <c r="K86" s="36">
        <f t="shared" si="11"/>
        <v>22439.34</v>
      </c>
      <c r="L86" s="36">
        <f t="shared" si="14"/>
        <v>351549.66</v>
      </c>
      <c r="M86" s="31"/>
    </row>
    <row r="87" spans="2:13" ht="18.75" x14ac:dyDescent="0.3">
      <c r="B87" s="34">
        <v>82</v>
      </c>
      <c r="C87" s="29" t="s">
        <v>64</v>
      </c>
      <c r="D87" s="32">
        <v>330000</v>
      </c>
      <c r="E87" s="33">
        <v>43989</v>
      </c>
      <c r="F87" s="32">
        <f t="shared" si="12"/>
        <v>373989</v>
      </c>
      <c r="G87" s="34">
        <v>50</v>
      </c>
      <c r="H87" s="32">
        <v>7479.78</v>
      </c>
      <c r="I87" s="50">
        <v>3</v>
      </c>
      <c r="J87" s="35">
        <f t="shared" si="13"/>
        <v>47</v>
      </c>
      <c r="K87" s="36">
        <f t="shared" si="11"/>
        <v>22439.34</v>
      </c>
      <c r="L87" s="36">
        <f t="shared" si="14"/>
        <v>351549.66</v>
      </c>
      <c r="M87" s="31"/>
    </row>
    <row r="88" spans="2:13" ht="18.75" x14ac:dyDescent="0.3">
      <c r="B88" s="34">
        <v>83</v>
      </c>
      <c r="C88" s="29" t="s">
        <v>174</v>
      </c>
      <c r="D88" s="33">
        <v>200000</v>
      </c>
      <c r="E88" s="33">
        <v>26660</v>
      </c>
      <c r="F88" s="32">
        <f t="shared" si="12"/>
        <v>226660</v>
      </c>
      <c r="G88" s="34">
        <v>40</v>
      </c>
      <c r="H88" s="32">
        <v>5666.5</v>
      </c>
      <c r="I88" s="50">
        <v>39</v>
      </c>
      <c r="J88" s="35">
        <f t="shared" si="13"/>
        <v>1</v>
      </c>
      <c r="K88" s="36">
        <f t="shared" si="11"/>
        <v>220993.5</v>
      </c>
      <c r="L88" s="36">
        <f t="shared" si="14"/>
        <v>5666.5</v>
      </c>
      <c r="M88" s="31"/>
    </row>
    <row r="89" spans="2:13" ht="18.75" x14ac:dyDescent="0.3">
      <c r="B89" s="34">
        <v>84</v>
      </c>
      <c r="C89" s="31" t="s">
        <v>73</v>
      </c>
      <c r="D89" s="33">
        <v>150000</v>
      </c>
      <c r="E89" s="33">
        <v>19995</v>
      </c>
      <c r="F89" s="32">
        <f t="shared" si="12"/>
        <v>169995</v>
      </c>
      <c r="G89" s="34">
        <v>50</v>
      </c>
      <c r="H89" s="32">
        <v>3399.9</v>
      </c>
      <c r="I89" s="52">
        <v>29</v>
      </c>
      <c r="J89" s="35">
        <f t="shared" si="13"/>
        <v>21</v>
      </c>
      <c r="K89" s="32">
        <f t="shared" ref="K89:K113" si="15">H89*I89</f>
        <v>98597.1</v>
      </c>
      <c r="L89" s="33">
        <f t="shared" si="14"/>
        <v>71397.899999999994</v>
      </c>
      <c r="M89" s="31"/>
    </row>
    <row r="90" spans="2:13" ht="18.75" x14ac:dyDescent="0.3">
      <c r="B90" s="34">
        <v>85</v>
      </c>
      <c r="C90" s="31" t="s">
        <v>76</v>
      </c>
      <c r="D90" s="33">
        <v>150000</v>
      </c>
      <c r="E90" s="33">
        <v>19995</v>
      </c>
      <c r="F90" s="32">
        <f t="shared" si="12"/>
        <v>169995</v>
      </c>
      <c r="G90" s="34">
        <v>50</v>
      </c>
      <c r="H90" s="32">
        <v>3399.9</v>
      </c>
      <c r="I90" s="52">
        <v>29</v>
      </c>
      <c r="J90" s="35">
        <f t="shared" si="13"/>
        <v>21</v>
      </c>
      <c r="K90" s="32">
        <f t="shared" si="15"/>
        <v>98597.1</v>
      </c>
      <c r="L90" s="32">
        <f t="shared" si="14"/>
        <v>71397.899999999994</v>
      </c>
      <c r="M90" s="31"/>
    </row>
    <row r="91" spans="2:13" ht="18.75" x14ac:dyDescent="0.3">
      <c r="B91" s="34">
        <v>86</v>
      </c>
      <c r="C91" s="31" t="s">
        <v>190</v>
      </c>
      <c r="D91" s="33">
        <v>150000</v>
      </c>
      <c r="E91" s="33">
        <v>19995</v>
      </c>
      <c r="F91" s="32">
        <f t="shared" si="12"/>
        <v>169995</v>
      </c>
      <c r="G91" s="34">
        <v>50</v>
      </c>
      <c r="H91" s="32">
        <v>3399.9</v>
      </c>
      <c r="I91" s="52">
        <v>44</v>
      </c>
      <c r="J91" s="35">
        <f t="shared" si="13"/>
        <v>6</v>
      </c>
      <c r="K91" s="32">
        <f t="shared" si="15"/>
        <v>149595.6</v>
      </c>
      <c r="L91" s="33">
        <f t="shared" si="14"/>
        <v>20399.399999999994</v>
      </c>
      <c r="M91" s="31"/>
    </row>
    <row r="92" spans="2:13" ht="18.75" x14ac:dyDescent="0.3">
      <c r="B92" s="34">
        <v>87</v>
      </c>
      <c r="C92" s="31" t="s">
        <v>81</v>
      </c>
      <c r="D92" s="33">
        <v>150000</v>
      </c>
      <c r="E92" s="33">
        <v>19995</v>
      </c>
      <c r="F92" s="32">
        <f t="shared" si="12"/>
        <v>169995</v>
      </c>
      <c r="G92" s="34">
        <v>50</v>
      </c>
      <c r="H92" s="32">
        <v>3399.9</v>
      </c>
      <c r="I92" s="31">
        <v>29</v>
      </c>
      <c r="J92" s="35">
        <f t="shared" si="13"/>
        <v>21</v>
      </c>
      <c r="K92" s="36">
        <f t="shared" si="15"/>
        <v>98597.1</v>
      </c>
      <c r="L92" s="32">
        <f t="shared" si="14"/>
        <v>71397.899999999994</v>
      </c>
      <c r="M92" s="31"/>
    </row>
    <row r="93" spans="2:13" ht="18.75" x14ac:dyDescent="0.3">
      <c r="B93" s="34">
        <v>88</v>
      </c>
      <c r="C93" s="31" t="s">
        <v>84</v>
      </c>
      <c r="D93" s="33">
        <v>150000</v>
      </c>
      <c r="E93" s="33">
        <v>19995</v>
      </c>
      <c r="F93" s="32">
        <f t="shared" si="12"/>
        <v>169995</v>
      </c>
      <c r="G93" s="34">
        <v>50</v>
      </c>
      <c r="H93" s="32">
        <v>3399.9</v>
      </c>
      <c r="I93" s="31">
        <v>29</v>
      </c>
      <c r="J93" s="35">
        <f t="shared" si="13"/>
        <v>21</v>
      </c>
      <c r="K93" s="36">
        <f t="shared" si="15"/>
        <v>98597.1</v>
      </c>
      <c r="L93" s="32">
        <f t="shared" si="14"/>
        <v>71397.899999999994</v>
      </c>
      <c r="M93" s="31"/>
    </row>
    <row r="94" spans="2:13" ht="18.75" x14ac:dyDescent="0.3">
      <c r="B94" s="34">
        <v>89</v>
      </c>
      <c r="C94" s="31" t="s">
        <v>86</v>
      </c>
      <c r="D94" s="33">
        <v>150000</v>
      </c>
      <c r="E94" s="33">
        <v>19995</v>
      </c>
      <c r="F94" s="32">
        <f t="shared" si="12"/>
        <v>169995</v>
      </c>
      <c r="G94" s="34">
        <v>50</v>
      </c>
      <c r="H94" s="32">
        <v>3399.9</v>
      </c>
      <c r="I94" s="31">
        <v>44</v>
      </c>
      <c r="J94" s="35">
        <f t="shared" si="13"/>
        <v>6</v>
      </c>
      <c r="K94" s="36">
        <f t="shared" si="15"/>
        <v>149595.6</v>
      </c>
      <c r="L94" s="32">
        <f t="shared" si="14"/>
        <v>20399.399999999994</v>
      </c>
      <c r="M94" s="31"/>
    </row>
    <row r="95" spans="2:13" ht="18.75" x14ac:dyDescent="0.3">
      <c r="B95" s="34">
        <v>90</v>
      </c>
      <c r="C95" s="31" t="s">
        <v>87</v>
      </c>
      <c r="D95" s="33">
        <v>150000</v>
      </c>
      <c r="E95" s="33">
        <v>19995</v>
      </c>
      <c r="F95" s="32">
        <f t="shared" si="12"/>
        <v>169995</v>
      </c>
      <c r="G95" s="34">
        <v>50</v>
      </c>
      <c r="H95" s="32">
        <v>3399.9</v>
      </c>
      <c r="I95" s="31">
        <v>44</v>
      </c>
      <c r="J95" s="35">
        <f t="shared" si="13"/>
        <v>6</v>
      </c>
      <c r="K95" s="36">
        <f t="shared" si="15"/>
        <v>149595.6</v>
      </c>
      <c r="L95" s="32">
        <f t="shared" si="14"/>
        <v>20399.399999999994</v>
      </c>
      <c r="M95" s="31"/>
    </row>
    <row r="96" spans="2:13" ht="18.75" x14ac:dyDescent="0.3">
      <c r="B96" s="34">
        <v>91</v>
      </c>
      <c r="C96" s="31" t="s">
        <v>89</v>
      </c>
      <c r="D96" s="33">
        <v>150000</v>
      </c>
      <c r="E96" s="33">
        <v>19995</v>
      </c>
      <c r="F96" s="32">
        <f t="shared" si="12"/>
        <v>169995</v>
      </c>
      <c r="G96" s="34">
        <v>50</v>
      </c>
      <c r="H96" s="32">
        <v>3399.9</v>
      </c>
      <c r="I96" s="31">
        <v>29</v>
      </c>
      <c r="J96" s="35">
        <f t="shared" si="13"/>
        <v>21</v>
      </c>
      <c r="K96" s="36">
        <f t="shared" si="15"/>
        <v>98597.1</v>
      </c>
      <c r="L96" s="32">
        <f t="shared" si="14"/>
        <v>71397.899999999994</v>
      </c>
      <c r="M96" s="31"/>
    </row>
    <row r="97" spans="2:13" ht="18.75" x14ac:dyDescent="0.3">
      <c r="B97" s="34">
        <v>92</v>
      </c>
      <c r="C97" s="31" t="s">
        <v>91</v>
      </c>
      <c r="D97" s="33">
        <v>150000</v>
      </c>
      <c r="E97" s="33">
        <v>19995</v>
      </c>
      <c r="F97" s="32">
        <f t="shared" si="12"/>
        <v>169995</v>
      </c>
      <c r="G97" s="34">
        <v>50</v>
      </c>
      <c r="H97" s="32">
        <v>3399.9</v>
      </c>
      <c r="I97" s="31">
        <v>44</v>
      </c>
      <c r="J97" s="35">
        <f t="shared" si="13"/>
        <v>6</v>
      </c>
      <c r="K97" s="36">
        <f t="shared" si="15"/>
        <v>149595.6</v>
      </c>
      <c r="L97" s="32">
        <f t="shared" si="14"/>
        <v>20399.399999999994</v>
      </c>
      <c r="M97" s="31"/>
    </row>
    <row r="98" spans="2:13" ht="18.75" x14ac:dyDescent="0.3">
      <c r="B98" s="34">
        <v>93</v>
      </c>
      <c r="C98" s="31" t="s">
        <v>94</v>
      </c>
      <c r="D98" s="33">
        <v>150000</v>
      </c>
      <c r="E98" s="33">
        <v>19995</v>
      </c>
      <c r="F98" s="32">
        <f t="shared" si="12"/>
        <v>169995</v>
      </c>
      <c r="G98" s="34">
        <v>50</v>
      </c>
      <c r="H98" s="32">
        <v>3399.9</v>
      </c>
      <c r="I98" s="31">
        <v>29</v>
      </c>
      <c r="J98" s="35">
        <f t="shared" si="13"/>
        <v>21</v>
      </c>
      <c r="K98" s="36">
        <f t="shared" si="15"/>
        <v>98597.1</v>
      </c>
      <c r="L98" s="32">
        <f t="shared" si="14"/>
        <v>71397.899999999994</v>
      </c>
      <c r="M98" s="31"/>
    </row>
    <row r="99" spans="2:13" ht="18.75" x14ac:dyDescent="0.3">
      <c r="B99" s="34">
        <v>94</v>
      </c>
      <c r="C99" s="31" t="s">
        <v>224</v>
      </c>
      <c r="D99" s="33">
        <v>150000</v>
      </c>
      <c r="E99" s="33">
        <v>19995</v>
      </c>
      <c r="F99" s="32">
        <f t="shared" ref="F99:F130" si="16">D99+E99</f>
        <v>169995</v>
      </c>
      <c r="G99" s="34">
        <v>50</v>
      </c>
      <c r="H99" s="32">
        <v>3399.9</v>
      </c>
      <c r="I99" s="31">
        <v>44</v>
      </c>
      <c r="J99" s="35">
        <f t="shared" si="13"/>
        <v>6</v>
      </c>
      <c r="K99" s="36">
        <f t="shared" si="15"/>
        <v>149595.6</v>
      </c>
      <c r="L99" s="32">
        <f t="shared" si="14"/>
        <v>20399.399999999994</v>
      </c>
      <c r="M99" s="31"/>
    </row>
    <row r="100" spans="2:13" ht="18.75" x14ac:dyDescent="0.3">
      <c r="B100" s="34">
        <v>95</v>
      </c>
      <c r="C100" s="31" t="s">
        <v>193</v>
      </c>
      <c r="D100" s="33">
        <v>150000</v>
      </c>
      <c r="E100" s="33">
        <v>19995</v>
      </c>
      <c r="F100" s="32">
        <f t="shared" si="16"/>
        <v>169995</v>
      </c>
      <c r="G100" s="34">
        <v>50</v>
      </c>
      <c r="H100" s="32">
        <v>3399.9</v>
      </c>
      <c r="I100" s="31">
        <v>29</v>
      </c>
      <c r="J100" s="35">
        <f t="shared" si="13"/>
        <v>21</v>
      </c>
      <c r="K100" s="36">
        <f t="shared" si="15"/>
        <v>98597.1</v>
      </c>
      <c r="L100" s="32">
        <f t="shared" si="14"/>
        <v>71397.899999999994</v>
      </c>
      <c r="M100" s="31"/>
    </row>
    <row r="101" spans="2:13" ht="18.75" x14ac:dyDescent="0.3">
      <c r="B101" s="34">
        <v>96</v>
      </c>
      <c r="C101" s="31" t="s">
        <v>101</v>
      </c>
      <c r="D101" s="33">
        <v>150000</v>
      </c>
      <c r="E101" s="33">
        <v>19995</v>
      </c>
      <c r="F101" s="32">
        <f t="shared" si="16"/>
        <v>169995</v>
      </c>
      <c r="G101" s="34">
        <v>50</v>
      </c>
      <c r="H101" s="32">
        <v>3399.9</v>
      </c>
      <c r="I101" s="31">
        <v>27</v>
      </c>
      <c r="J101" s="35">
        <f t="shared" si="13"/>
        <v>23</v>
      </c>
      <c r="K101" s="36">
        <f t="shared" si="15"/>
        <v>91797.3</v>
      </c>
      <c r="L101" s="32">
        <f t="shared" si="14"/>
        <v>78197.7</v>
      </c>
      <c r="M101" s="31"/>
    </row>
    <row r="102" spans="2:13" ht="18.75" x14ac:dyDescent="0.3">
      <c r="B102" s="34">
        <v>97</v>
      </c>
      <c r="C102" s="31" t="s">
        <v>102</v>
      </c>
      <c r="D102" s="33">
        <v>150000</v>
      </c>
      <c r="E102" s="33">
        <v>19995</v>
      </c>
      <c r="F102" s="32">
        <f t="shared" si="16"/>
        <v>169995</v>
      </c>
      <c r="G102" s="34">
        <v>50</v>
      </c>
      <c r="H102" s="32">
        <v>3399.9</v>
      </c>
      <c r="I102" s="31">
        <v>29</v>
      </c>
      <c r="J102" s="35">
        <f t="shared" ref="J102:J133" si="17">G102-I102</f>
        <v>21</v>
      </c>
      <c r="K102" s="36">
        <f t="shared" si="15"/>
        <v>98597.1</v>
      </c>
      <c r="L102" s="32">
        <f t="shared" ref="L102:L129" si="18">F102-K102</f>
        <v>71397.899999999994</v>
      </c>
      <c r="M102" s="31"/>
    </row>
    <row r="103" spans="2:13" ht="18.75" x14ac:dyDescent="0.3">
      <c r="B103" s="34">
        <v>98</v>
      </c>
      <c r="C103" s="31" t="s">
        <v>104</v>
      </c>
      <c r="D103" s="33">
        <v>150000</v>
      </c>
      <c r="E103" s="33">
        <v>19995</v>
      </c>
      <c r="F103" s="32">
        <f t="shared" si="16"/>
        <v>169995</v>
      </c>
      <c r="G103" s="34">
        <v>50</v>
      </c>
      <c r="H103" s="32">
        <v>3399.9</v>
      </c>
      <c r="I103" s="31">
        <v>44</v>
      </c>
      <c r="J103" s="35">
        <f t="shared" si="17"/>
        <v>6</v>
      </c>
      <c r="K103" s="36">
        <f t="shared" si="15"/>
        <v>149595.6</v>
      </c>
      <c r="L103" s="32">
        <f t="shared" si="18"/>
        <v>20399.399999999994</v>
      </c>
      <c r="M103" s="31"/>
    </row>
    <row r="104" spans="2:13" ht="18.75" x14ac:dyDescent="0.3">
      <c r="B104" s="34">
        <v>99</v>
      </c>
      <c r="C104" s="31" t="s">
        <v>110</v>
      </c>
      <c r="D104" s="33">
        <v>150000</v>
      </c>
      <c r="E104" s="33">
        <v>19995</v>
      </c>
      <c r="F104" s="32">
        <f t="shared" si="16"/>
        <v>169995</v>
      </c>
      <c r="G104" s="34">
        <v>50</v>
      </c>
      <c r="H104" s="32">
        <v>3399.9</v>
      </c>
      <c r="I104" s="31">
        <v>29</v>
      </c>
      <c r="J104" s="35">
        <f t="shared" si="17"/>
        <v>21</v>
      </c>
      <c r="K104" s="36">
        <f t="shared" si="15"/>
        <v>98597.1</v>
      </c>
      <c r="L104" s="32">
        <f t="shared" si="18"/>
        <v>71397.899999999994</v>
      </c>
      <c r="M104" s="31"/>
    </row>
    <row r="105" spans="2:13" ht="18.75" x14ac:dyDescent="0.3">
      <c r="B105" s="34">
        <v>100</v>
      </c>
      <c r="C105" s="31" t="s">
        <v>225</v>
      </c>
      <c r="D105" s="33">
        <v>150000</v>
      </c>
      <c r="E105" s="33">
        <v>19995</v>
      </c>
      <c r="F105" s="32">
        <f t="shared" si="16"/>
        <v>169995</v>
      </c>
      <c r="G105" s="34">
        <v>50</v>
      </c>
      <c r="H105" s="32">
        <v>3399.9</v>
      </c>
      <c r="I105" s="31">
        <v>44</v>
      </c>
      <c r="J105" s="35">
        <f t="shared" si="17"/>
        <v>6</v>
      </c>
      <c r="K105" s="36">
        <f t="shared" si="15"/>
        <v>149595.6</v>
      </c>
      <c r="L105" s="32">
        <f t="shared" si="18"/>
        <v>20399.399999999994</v>
      </c>
      <c r="M105" s="31"/>
    </row>
    <row r="106" spans="2:13" ht="18.75" x14ac:dyDescent="0.3">
      <c r="B106" s="34">
        <v>101</v>
      </c>
      <c r="C106" s="31" t="s">
        <v>113</v>
      </c>
      <c r="D106" s="33">
        <v>150000</v>
      </c>
      <c r="E106" s="33">
        <v>19995</v>
      </c>
      <c r="F106" s="32">
        <f t="shared" si="16"/>
        <v>169995</v>
      </c>
      <c r="G106" s="34">
        <v>50</v>
      </c>
      <c r="H106" s="32">
        <v>3399.9</v>
      </c>
      <c r="I106" s="31">
        <v>44</v>
      </c>
      <c r="J106" s="35">
        <f t="shared" si="17"/>
        <v>6</v>
      </c>
      <c r="K106" s="36">
        <f t="shared" si="15"/>
        <v>149595.6</v>
      </c>
      <c r="L106" s="32">
        <f t="shared" si="18"/>
        <v>20399.399999999994</v>
      </c>
      <c r="M106" s="31"/>
    </row>
    <row r="107" spans="2:13" ht="18.75" x14ac:dyDescent="0.3">
      <c r="B107" s="34">
        <v>102</v>
      </c>
      <c r="C107" s="31" t="s">
        <v>114</v>
      </c>
      <c r="D107" s="33">
        <v>150000</v>
      </c>
      <c r="E107" s="33">
        <v>19995</v>
      </c>
      <c r="F107" s="32">
        <f t="shared" si="16"/>
        <v>169995</v>
      </c>
      <c r="G107" s="34">
        <v>50</v>
      </c>
      <c r="H107" s="32">
        <v>3399.9</v>
      </c>
      <c r="I107" s="31">
        <v>29</v>
      </c>
      <c r="J107" s="35">
        <f t="shared" si="17"/>
        <v>21</v>
      </c>
      <c r="K107" s="36">
        <f t="shared" si="15"/>
        <v>98597.1</v>
      </c>
      <c r="L107" s="32">
        <f t="shared" si="18"/>
        <v>71397.899999999994</v>
      </c>
      <c r="M107" s="31"/>
    </row>
    <row r="108" spans="2:13" ht="18.75" x14ac:dyDescent="0.3">
      <c r="B108" s="34">
        <v>103</v>
      </c>
      <c r="C108" s="31" t="s">
        <v>236</v>
      </c>
      <c r="D108" s="33">
        <v>150000</v>
      </c>
      <c r="E108" s="33">
        <v>19995</v>
      </c>
      <c r="F108" s="32">
        <f t="shared" si="16"/>
        <v>169995</v>
      </c>
      <c r="G108" s="34">
        <v>50</v>
      </c>
      <c r="H108" s="32">
        <v>3399.9</v>
      </c>
      <c r="I108" s="31">
        <v>29</v>
      </c>
      <c r="J108" s="35">
        <f t="shared" si="17"/>
        <v>21</v>
      </c>
      <c r="K108" s="36">
        <f t="shared" si="15"/>
        <v>98597.1</v>
      </c>
      <c r="L108" s="32">
        <f t="shared" si="18"/>
        <v>71397.899999999994</v>
      </c>
      <c r="M108" s="31"/>
    </row>
    <row r="109" spans="2:13" ht="18.75" x14ac:dyDescent="0.3">
      <c r="B109" s="34">
        <v>104</v>
      </c>
      <c r="C109" s="31" t="s">
        <v>117</v>
      </c>
      <c r="D109" s="33">
        <v>150000</v>
      </c>
      <c r="E109" s="33">
        <v>19995</v>
      </c>
      <c r="F109" s="32">
        <f t="shared" si="16"/>
        <v>169995</v>
      </c>
      <c r="G109" s="34">
        <v>50</v>
      </c>
      <c r="H109" s="32">
        <v>3399.9</v>
      </c>
      <c r="I109" s="31">
        <v>44</v>
      </c>
      <c r="J109" s="35">
        <f t="shared" si="17"/>
        <v>6</v>
      </c>
      <c r="K109" s="36">
        <f t="shared" si="15"/>
        <v>149595.6</v>
      </c>
      <c r="L109" s="32">
        <f t="shared" si="18"/>
        <v>20399.399999999994</v>
      </c>
      <c r="M109" s="31"/>
    </row>
    <row r="110" spans="2:13" ht="18.75" x14ac:dyDescent="0.3">
      <c r="B110" s="34">
        <v>105</v>
      </c>
      <c r="C110" s="31" t="s">
        <v>155</v>
      </c>
      <c r="D110" s="33">
        <v>150000</v>
      </c>
      <c r="E110" s="33">
        <v>19995</v>
      </c>
      <c r="F110" s="32">
        <f t="shared" si="16"/>
        <v>169995</v>
      </c>
      <c r="G110" s="34">
        <v>50</v>
      </c>
      <c r="H110" s="32">
        <v>3399.9</v>
      </c>
      <c r="I110" s="31">
        <v>29</v>
      </c>
      <c r="J110" s="35">
        <f t="shared" si="17"/>
        <v>21</v>
      </c>
      <c r="K110" s="36">
        <f t="shared" si="15"/>
        <v>98597.1</v>
      </c>
      <c r="L110" s="32">
        <f t="shared" si="18"/>
        <v>71397.899999999994</v>
      </c>
      <c r="M110" s="31"/>
    </row>
    <row r="111" spans="2:13" ht="18.75" x14ac:dyDescent="0.3">
      <c r="B111" s="34">
        <v>106</v>
      </c>
      <c r="C111" s="31" t="s">
        <v>176</v>
      </c>
      <c r="D111" s="33">
        <v>150000</v>
      </c>
      <c r="E111" s="33">
        <v>19995</v>
      </c>
      <c r="F111" s="32">
        <f t="shared" si="16"/>
        <v>169995</v>
      </c>
      <c r="G111" s="34">
        <v>50</v>
      </c>
      <c r="H111" s="32">
        <v>3399.9</v>
      </c>
      <c r="I111" s="31">
        <v>44</v>
      </c>
      <c r="J111" s="35">
        <f t="shared" si="17"/>
        <v>6</v>
      </c>
      <c r="K111" s="36">
        <f t="shared" si="15"/>
        <v>149595.6</v>
      </c>
      <c r="L111" s="32">
        <f t="shared" si="18"/>
        <v>20399.399999999994</v>
      </c>
      <c r="M111" s="31"/>
    </row>
    <row r="112" spans="2:13" ht="18.75" x14ac:dyDescent="0.3">
      <c r="B112" s="34">
        <v>107</v>
      </c>
      <c r="C112" s="31" t="s">
        <v>120</v>
      </c>
      <c r="D112" s="33">
        <v>150000</v>
      </c>
      <c r="E112" s="33">
        <v>19995</v>
      </c>
      <c r="F112" s="32">
        <f t="shared" si="16"/>
        <v>169995</v>
      </c>
      <c r="G112" s="34">
        <v>50</v>
      </c>
      <c r="H112" s="32">
        <v>3399.9</v>
      </c>
      <c r="I112" s="31">
        <v>29</v>
      </c>
      <c r="J112" s="35">
        <f t="shared" si="17"/>
        <v>21</v>
      </c>
      <c r="K112" s="36">
        <f t="shared" si="15"/>
        <v>98597.1</v>
      </c>
      <c r="L112" s="32">
        <f t="shared" si="18"/>
        <v>71397.899999999994</v>
      </c>
      <c r="M112" s="31"/>
    </row>
    <row r="113" spans="2:13" ht="18.75" x14ac:dyDescent="0.3">
      <c r="B113" s="34">
        <v>108</v>
      </c>
      <c r="C113" s="31" t="s">
        <v>197</v>
      </c>
      <c r="D113" s="33">
        <v>150000</v>
      </c>
      <c r="E113" s="33">
        <v>19995</v>
      </c>
      <c r="F113" s="32">
        <f t="shared" si="16"/>
        <v>169995</v>
      </c>
      <c r="G113" s="34">
        <v>50</v>
      </c>
      <c r="H113" s="32">
        <v>3399.9</v>
      </c>
      <c r="I113" s="31">
        <v>29</v>
      </c>
      <c r="J113" s="35">
        <f t="shared" si="17"/>
        <v>21</v>
      </c>
      <c r="K113" s="36">
        <f t="shared" si="15"/>
        <v>98597.1</v>
      </c>
      <c r="L113" s="32">
        <f t="shared" si="18"/>
        <v>71397.899999999994</v>
      </c>
      <c r="M113" s="31"/>
    </row>
    <row r="114" spans="2:13" ht="18.75" x14ac:dyDescent="0.3">
      <c r="B114" s="34">
        <v>109</v>
      </c>
      <c r="C114" s="31" t="s">
        <v>124</v>
      </c>
      <c r="D114" s="33">
        <v>150000</v>
      </c>
      <c r="E114" s="33">
        <v>19995</v>
      </c>
      <c r="F114" s="32">
        <f t="shared" si="16"/>
        <v>169995</v>
      </c>
      <c r="G114" s="34">
        <v>50</v>
      </c>
      <c r="H114" s="32">
        <v>3399.9</v>
      </c>
      <c r="I114" s="31">
        <v>29</v>
      </c>
      <c r="J114" s="35">
        <f t="shared" si="17"/>
        <v>21</v>
      </c>
      <c r="K114" s="36">
        <f>I114*H114</f>
        <v>98597.1</v>
      </c>
      <c r="L114" s="32">
        <f t="shared" si="18"/>
        <v>71397.899999999994</v>
      </c>
      <c r="M114" s="31"/>
    </row>
    <row r="115" spans="2:13" ht="18.75" x14ac:dyDescent="0.3">
      <c r="B115" s="34">
        <v>110</v>
      </c>
      <c r="C115" s="31" t="s">
        <v>127</v>
      </c>
      <c r="D115" s="33">
        <v>150000</v>
      </c>
      <c r="E115" s="33">
        <v>19995</v>
      </c>
      <c r="F115" s="32">
        <f t="shared" si="16"/>
        <v>169995</v>
      </c>
      <c r="G115" s="34">
        <v>50</v>
      </c>
      <c r="H115" s="32">
        <v>3399.9</v>
      </c>
      <c r="I115" s="31">
        <v>44</v>
      </c>
      <c r="J115" s="35">
        <f t="shared" si="17"/>
        <v>6</v>
      </c>
      <c r="K115" s="36">
        <f t="shared" ref="K115:K129" si="19">H115*I115</f>
        <v>149595.6</v>
      </c>
      <c r="L115" s="32">
        <f t="shared" si="18"/>
        <v>20399.399999999994</v>
      </c>
      <c r="M115" s="31"/>
    </row>
    <row r="116" spans="2:13" ht="18.75" x14ac:dyDescent="0.3">
      <c r="B116" s="34">
        <v>111</v>
      </c>
      <c r="C116" s="31" t="s">
        <v>200</v>
      </c>
      <c r="D116" s="33">
        <v>150000</v>
      </c>
      <c r="E116" s="33">
        <v>19995</v>
      </c>
      <c r="F116" s="32">
        <f t="shared" si="16"/>
        <v>169995</v>
      </c>
      <c r="G116" s="34">
        <v>50</v>
      </c>
      <c r="H116" s="32">
        <v>3399.9</v>
      </c>
      <c r="I116" s="31">
        <v>44</v>
      </c>
      <c r="J116" s="35">
        <f t="shared" si="17"/>
        <v>6</v>
      </c>
      <c r="K116" s="36">
        <f t="shared" si="19"/>
        <v>149595.6</v>
      </c>
      <c r="L116" s="32">
        <f t="shared" si="18"/>
        <v>20399.399999999994</v>
      </c>
      <c r="M116" s="31"/>
    </row>
    <row r="117" spans="2:13" ht="18.75" x14ac:dyDescent="0.3">
      <c r="B117" s="34">
        <v>112</v>
      </c>
      <c r="C117" s="31" t="s">
        <v>199</v>
      </c>
      <c r="D117" s="33">
        <v>150000</v>
      </c>
      <c r="E117" s="33">
        <v>19995</v>
      </c>
      <c r="F117" s="32">
        <f t="shared" si="16"/>
        <v>169995</v>
      </c>
      <c r="G117" s="34">
        <v>50</v>
      </c>
      <c r="H117" s="32">
        <v>3399.9</v>
      </c>
      <c r="I117" s="31">
        <v>44</v>
      </c>
      <c r="J117" s="35">
        <f t="shared" si="17"/>
        <v>6</v>
      </c>
      <c r="K117" s="36">
        <f t="shared" si="19"/>
        <v>149595.6</v>
      </c>
      <c r="L117" s="32">
        <f t="shared" si="18"/>
        <v>20399.399999999994</v>
      </c>
      <c r="M117" s="31"/>
    </row>
    <row r="118" spans="2:13" ht="18.75" x14ac:dyDescent="0.3">
      <c r="B118" s="34">
        <v>113</v>
      </c>
      <c r="C118" s="31" t="s">
        <v>129</v>
      </c>
      <c r="D118" s="33">
        <v>150000</v>
      </c>
      <c r="E118" s="33">
        <v>19995</v>
      </c>
      <c r="F118" s="32">
        <f t="shared" si="16"/>
        <v>169995</v>
      </c>
      <c r="G118" s="34">
        <v>50</v>
      </c>
      <c r="H118" s="32">
        <v>3399.9</v>
      </c>
      <c r="I118" s="31">
        <v>27</v>
      </c>
      <c r="J118" s="35">
        <f t="shared" si="17"/>
        <v>23</v>
      </c>
      <c r="K118" s="36">
        <f t="shared" si="19"/>
        <v>91797.3</v>
      </c>
      <c r="L118" s="32">
        <f t="shared" si="18"/>
        <v>78197.7</v>
      </c>
      <c r="M118" s="31"/>
    </row>
    <row r="119" spans="2:13" ht="18.75" x14ac:dyDescent="0.3">
      <c r="B119" s="34">
        <v>114</v>
      </c>
      <c r="C119" s="31" t="s">
        <v>130</v>
      </c>
      <c r="D119" s="33">
        <v>150000</v>
      </c>
      <c r="E119" s="33">
        <v>19995</v>
      </c>
      <c r="F119" s="32">
        <f t="shared" si="16"/>
        <v>169995</v>
      </c>
      <c r="G119" s="34">
        <v>50</v>
      </c>
      <c r="H119" s="32">
        <v>3399.9</v>
      </c>
      <c r="I119" s="31">
        <v>29</v>
      </c>
      <c r="J119" s="35">
        <f t="shared" si="17"/>
        <v>21</v>
      </c>
      <c r="K119" s="36">
        <f t="shared" si="19"/>
        <v>98597.1</v>
      </c>
      <c r="L119" s="32">
        <f t="shared" si="18"/>
        <v>71397.899999999994</v>
      </c>
      <c r="M119" s="31"/>
    </row>
    <row r="120" spans="2:13" ht="18.75" x14ac:dyDescent="0.3">
      <c r="B120" s="34">
        <v>115</v>
      </c>
      <c r="C120" s="31" t="s">
        <v>131</v>
      </c>
      <c r="D120" s="33">
        <v>150000</v>
      </c>
      <c r="E120" s="33">
        <v>19995</v>
      </c>
      <c r="F120" s="32">
        <f t="shared" si="16"/>
        <v>169995</v>
      </c>
      <c r="G120" s="34">
        <v>50</v>
      </c>
      <c r="H120" s="32">
        <v>3399.9</v>
      </c>
      <c r="I120" s="31">
        <v>29</v>
      </c>
      <c r="J120" s="35">
        <f t="shared" si="17"/>
        <v>21</v>
      </c>
      <c r="K120" s="36">
        <f t="shared" si="19"/>
        <v>98597.1</v>
      </c>
      <c r="L120" s="32">
        <f t="shared" si="18"/>
        <v>71397.899999999994</v>
      </c>
      <c r="M120" s="31"/>
    </row>
    <row r="121" spans="2:13" ht="18.75" x14ac:dyDescent="0.3">
      <c r="B121" s="34">
        <v>116</v>
      </c>
      <c r="C121" s="31" t="s">
        <v>201</v>
      </c>
      <c r="D121" s="33">
        <v>150000</v>
      </c>
      <c r="E121" s="33">
        <v>19995</v>
      </c>
      <c r="F121" s="32">
        <f t="shared" si="16"/>
        <v>169995</v>
      </c>
      <c r="G121" s="34">
        <v>50</v>
      </c>
      <c r="H121" s="32">
        <v>3399.9</v>
      </c>
      <c r="I121" s="31">
        <v>29</v>
      </c>
      <c r="J121" s="35">
        <f t="shared" si="17"/>
        <v>21</v>
      </c>
      <c r="K121" s="36">
        <f t="shared" si="19"/>
        <v>98597.1</v>
      </c>
      <c r="L121" s="32">
        <f t="shared" si="18"/>
        <v>71397.899999999994</v>
      </c>
      <c r="M121" s="31"/>
    </row>
    <row r="122" spans="2:13" ht="18.75" x14ac:dyDescent="0.3">
      <c r="B122" s="34">
        <v>117</v>
      </c>
      <c r="C122" s="31" t="s">
        <v>133</v>
      </c>
      <c r="D122" s="33">
        <v>150000</v>
      </c>
      <c r="E122" s="33">
        <v>19995</v>
      </c>
      <c r="F122" s="32">
        <f t="shared" si="16"/>
        <v>169995</v>
      </c>
      <c r="G122" s="34">
        <v>50</v>
      </c>
      <c r="H122" s="32">
        <v>3399.9</v>
      </c>
      <c r="I122" s="31">
        <v>29</v>
      </c>
      <c r="J122" s="35">
        <f t="shared" si="17"/>
        <v>21</v>
      </c>
      <c r="K122" s="36">
        <f t="shared" si="19"/>
        <v>98597.1</v>
      </c>
      <c r="L122" s="32">
        <f t="shared" si="18"/>
        <v>71397.899999999994</v>
      </c>
      <c r="M122" s="31"/>
    </row>
    <row r="123" spans="2:13" ht="18.75" x14ac:dyDescent="0.3">
      <c r="B123" s="34">
        <v>118</v>
      </c>
      <c r="C123" s="31" t="s">
        <v>134</v>
      </c>
      <c r="D123" s="33">
        <v>150000</v>
      </c>
      <c r="E123" s="33">
        <v>19995</v>
      </c>
      <c r="F123" s="32">
        <f t="shared" si="16"/>
        <v>169995</v>
      </c>
      <c r="G123" s="34">
        <v>50</v>
      </c>
      <c r="H123" s="32">
        <v>3399.9</v>
      </c>
      <c r="I123" s="31">
        <v>44</v>
      </c>
      <c r="J123" s="35">
        <f t="shared" si="17"/>
        <v>6</v>
      </c>
      <c r="K123" s="36">
        <f t="shared" si="19"/>
        <v>149595.6</v>
      </c>
      <c r="L123" s="32">
        <f t="shared" si="18"/>
        <v>20399.399999999994</v>
      </c>
      <c r="M123" s="31"/>
    </row>
    <row r="124" spans="2:13" ht="18.75" x14ac:dyDescent="0.3">
      <c r="B124" s="34">
        <v>119</v>
      </c>
      <c r="C124" s="31" t="s">
        <v>203</v>
      </c>
      <c r="D124" s="33">
        <v>150000</v>
      </c>
      <c r="E124" s="33">
        <v>19995</v>
      </c>
      <c r="F124" s="32">
        <f t="shared" si="16"/>
        <v>169995</v>
      </c>
      <c r="G124" s="34">
        <v>50</v>
      </c>
      <c r="H124" s="32">
        <v>3399.9</v>
      </c>
      <c r="I124" s="31">
        <v>44</v>
      </c>
      <c r="J124" s="35">
        <f t="shared" si="17"/>
        <v>6</v>
      </c>
      <c r="K124" s="36">
        <f t="shared" si="19"/>
        <v>149595.6</v>
      </c>
      <c r="L124" s="32">
        <f t="shared" si="18"/>
        <v>20399.399999999994</v>
      </c>
      <c r="M124" s="31"/>
    </row>
    <row r="125" spans="2:13" ht="18.75" x14ac:dyDescent="0.3">
      <c r="B125" s="34">
        <v>120</v>
      </c>
      <c r="C125" s="31" t="s">
        <v>136</v>
      </c>
      <c r="D125" s="33">
        <v>150000</v>
      </c>
      <c r="E125" s="33">
        <v>19995</v>
      </c>
      <c r="F125" s="32">
        <f t="shared" si="16"/>
        <v>169995</v>
      </c>
      <c r="G125" s="34">
        <v>50</v>
      </c>
      <c r="H125" s="32">
        <v>3399.9</v>
      </c>
      <c r="I125" s="31">
        <v>44</v>
      </c>
      <c r="J125" s="35">
        <f t="shared" si="17"/>
        <v>6</v>
      </c>
      <c r="K125" s="36">
        <f t="shared" si="19"/>
        <v>149595.6</v>
      </c>
      <c r="L125" s="32">
        <f t="shared" si="18"/>
        <v>20399.399999999994</v>
      </c>
      <c r="M125" s="31"/>
    </row>
    <row r="126" spans="2:13" ht="18.75" x14ac:dyDescent="0.3">
      <c r="B126" s="34">
        <v>121</v>
      </c>
      <c r="C126" s="31" t="s">
        <v>137</v>
      </c>
      <c r="D126" s="33">
        <v>150000</v>
      </c>
      <c r="E126" s="33">
        <v>19995</v>
      </c>
      <c r="F126" s="32">
        <f t="shared" si="16"/>
        <v>169995</v>
      </c>
      <c r="G126" s="34">
        <v>50</v>
      </c>
      <c r="H126" s="32">
        <v>3399.9</v>
      </c>
      <c r="I126" s="31">
        <v>29</v>
      </c>
      <c r="J126" s="35">
        <f t="shared" si="17"/>
        <v>21</v>
      </c>
      <c r="K126" s="36">
        <f t="shared" si="19"/>
        <v>98597.1</v>
      </c>
      <c r="L126" s="32">
        <f t="shared" si="18"/>
        <v>71397.899999999994</v>
      </c>
      <c r="M126" s="31"/>
    </row>
    <row r="127" spans="2:13" ht="18.75" x14ac:dyDescent="0.3">
      <c r="B127" s="34">
        <v>122</v>
      </c>
      <c r="C127" s="31" t="s">
        <v>230</v>
      </c>
      <c r="D127" s="33">
        <v>150000</v>
      </c>
      <c r="E127" s="33">
        <v>19995</v>
      </c>
      <c r="F127" s="32">
        <f t="shared" si="16"/>
        <v>169995</v>
      </c>
      <c r="G127" s="34">
        <v>50</v>
      </c>
      <c r="H127" s="32">
        <v>3399.9</v>
      </c>
      <c r="I127" s="31">
        <v>34</v>
      </c>
      <c r="J127" s="35">
        <f t="shared" si="17"/>
        <v>16</v>
      </c>
      <c r="K127" s="36">
        <f t="shared" si="19"/>
        <v>115596.6</v>
      </c>
      <c r="L127" s="32">
        <f t="shared" si="18"/>
        <v>54398.399999999994</v>
      </c>
      <c r="M127" s="31"/>
    </row>
    <row r="128" spans="2:13" ht="18.75" x14ac:dyDescent="0.3">
      <c r="B128" s="34">
        <v>123</v>
      </c>
      <c r="C128" s="31" t="s">
        <v>139</v>
      </c>
      <c r="D128" s="33">
        <v>150000</v>
      </c>
      <c r="E128" s="33">
        <v>19995</v>
      </c>
      <c r="F128" s="32">
        <f t="shared" si="16"/>
        <v>169995</v>
      </c>
      <c r="G128" s="34">
        <v>50</v>
      </c>
      <c r="H128" s="32">
        <v>3399.9</v>
      </c>
      <c r="I128" s="31">
        <v>29</v>
      </c>
      <c r="J128" s="35">
        <f t="shared" si="17"/>
        <v>21</v>
      </c>
      <c r="K128" s="36">
        <f t="shared" si="19"/>
        <v>98597.1</v>
      </c>
      <c r="L128" s="32">
        <f t="shared" si="18"/>
        <v>71397.899999999994</v>
      </c>
      <c r="M128" s="31"/>
    </row>
    <row r="129" spans="2:13" ht="18.75" x14ac:dyDescent="0.3">
      <c r="B129" s="34">
        <v>124</v>
      </c>
      <c r="C129" s="31" t="s">
        <v>229</v>
      </c>
      <c r="D129" s="33">
        <v>150000</v>
      </c>
      <c r="E129" s="33">
        <v>19995</v>
      </c>
      <c r="F129" s="32">
        <f t="shared" si="16"/>
        <v>169995</v>
      </c>
      <c r="G129" s="34">
        <v>50</v>
      </c>
      <c r="H129" s="32">
        <v>3399.9</v>
      </c>
      <c r="I129" s="31">
        <v>24</v>
      </c>
      <c r="J129" s="35">
        <f t="shared" si="17"/>
        <v>26</v>
      </c>
      <c r="K129" s="36">
        <f t="shared" si="19"/>
        <v>81597.600000000006</v>
      </c>
      <c r="L129" s="36">
        <f t="shared" si="18"/>
        <v>88397.4</v>
      </c>
      <c r="M129" s="31"/>
    </row>
    <row r="130" spans="2:13" ht="18.75" x14ac:dyDescent="0.3">
      <c r="B130" s="34">
        <v>125</v>
      </c>
      <c r="C130" s="31" t="s">
        <v>207</v>
      </c>
      <c r="D130" s="33">
        <v>150000</v>
      </c>
      <c r="E130" s="33">
        <v>19995</v>
      </c>
      <c r="F130" s="32">
        <f t="shared" si="16"/>
        <v>169995</v>
      </c>
      <c r="G130" s="34">
        <v>50</v>
      </c>
      <c r="H130" s="32">
        <v>3399.9</v>
      </c>
      <c r="I130" s="31">
        <v>24</v>
      </c>
      <c r="J130" s="35">
        <f t="shared" si="17"/>
        <v>26</v>
      </c>
      <c r="K130" s="36">
        <f t="shared" ref="K130:K155" si="20">I130*H130</f>
        <v>81597.600000000006</v>
      </c>
      <c r="L130" s="36">
        <f>F130-H130</f>
        <v>166595.1</v>
      </c>
      <c r="M130" s="31"/>
    </row>
    <row r="131" spans="2:13" ht="18.75" x14ac:dyDescent="0.3">
      <c r="B131" s="34">
        <v>126</v>
      </c>
      <c r="C131" s="50" t="s">
        <v>147</v>
      </c>
      <c r="D131" s="33">
        <v>150000</v>
      </c>
      <c r="E131" s="33">
        <v>19995</v>
      </c>
      <c r="F131" s="32">
        <f t="shared" ref="F131:F155" si="21">D131+E131</f>
        <v>169995</v>
      </c>
      <c r="G131" s="34">
        <v>50</v>
      </c>
      <c r="H131" s="32">
        <v>3399.9</v>
      </c>
      <c r="I131" s="50">
        <v>18</v>
      </c>
      <c r="J131" s="35">
        <f t="shared" si="17"/>
        <v>32</v>
      </c>
      <c r="K131" s="36">
        <f t="shared" si="20"/>
        <v>61198.200000000004</v>
      </c>
      <c r="L131" s="36">
        <f t="shared" ref="L131:L155" si="22">F131-K131</f>
        <v>108796.79999999999</v>
      </c>
      <c r="M131" s="31"/>
    </row>
    <row r="132" spans="2:13" ht="18.75" x14ac:dyDescent="0.3">
      <c r="B132" s="34">
        <v>127</v>
      </c>
      <c r="C132" s="50" t="s">
        <v>151</v>
      </c>
      <c r="D132" s="33">
        <v>150000</v>
      </c>
      <c r="E132" s="33">
        <v>19995</v>
      </c>
      <c r="F132" s="32">
        <f t="shared" si="21"/>
        <v>169995</v>
      </c>
      <c r="G132" s="34">
        <v>50</v>
      </c>
      <c r="H132" s="32">
        <v>3399.9</v>
      </c>
      <c r="I132" s="50">
        <v>18</v>
      </c>
      <c r="J132" s="35">
        <f t="shared" si="17"/>
        <v>32</v>
      </c>
      <c r="K132" s="36">
        <f t="shared" si="20"/>
        <v>61198.200000000004</v>
      </c>
      <c r="L132" s="36">
        <f t="shared" si="22"/>
        <v>108796.79999999999</v>
      </c>
      <c r="M132" s="31"/>
    </row>
    <row r="133" spans="2:13" ht="18.75" x14ac:dyDescent="0.3">
      <c r="B133" s="34">
        <v>128</v>
      </c>
      <c r="C133" s="50" t="s">
        <v>152</v>
      </c>
      <c r="D133" s="33">
        <v>150000</v>
      </c>
      <c r="E133" s="33">
        <v>19995</v>
      </c>
      <c r="F133" s="32">
        <f t="shared" si="21"/>
        <v>169995</v>
      </c>
      <c r="G133" s="34">
        <v>50</v>
      </c>
      <c r="H133" s="32">
        <v>3399.9</v>
      </c>
      <c r="I133" s="50">
        <v>18</v>
      </c>
      <c r="J133" s="35">
        <f t="shared" si="17"/>
        <v>32</v>
      </c>
      <c r="K133" s="36">
        <f t="shared" si="20"/>
        <v>61198.200000000004</v>
      </c>
      <c r="L133" s="36">
        <f t="shared" si="22"/>
        <v>108796.79999999999</v>
      </c>
      <c r="M133" s="31"/>
    </row>
    <row r="134" spans="2:13" ht="18.75" x14ac:dyDescent="0.3">
      <c r="B134" s="34">
        <v>129</v>
      </c>
      <c r="C134" s="50" t="s">
        <v>153</v>
      </c>
      <c r="D134" s="33">
        <v>150000</v>
      </c>
      <c r="E134" s="33">
        <v>19995</v>
      </c>
      <c r="F134" s="32">
        <f t="shared" si="21"/>
        <v>169995</v>
      </c>
      <c r="G134" s="34">
        <v>50</v>
      </c>
      <c r="H134" s="32">
        <v>3399.9</v>
      </c>
      <c r="I134" s="50">
        <v>18</v>
      </c>
      <c r="J134" s="35">
        <f t="shared" ref="J134:J155" si="23">G134-I134</f>
        <v>32</v>
      </c>
      <c r="K134" s="36">
        <f t="shared" si="20"/>
        <v>61198.200000000004</v>
      </c>
      <c r="L134" s="36">
        <f t="shared" si="22"/>
        <v>108796.79999999999</v>
      </c>
      <c r="M134" s="31"/>
    </row>
    <row r="135" spans="2:13" ht="18.75" x14ac:dyDescent="0.3">
      <c r="B135" s="34">
        <v>130</v>
      </c>
      <c r="C135" s="50" t="s">
        <v>216</v>
      </c>
      <c r="D135" s="33">
        <v>150000</v>
      </c>
      <c r="E135" s="33">
        <v>19995</v>
      </c>
      <c r="F135" s="32">
        <f t="shared" si="21"/>
        <v>169995</v>
      </c>
      <c r="G135" s="34">
        <v>50</v>
      </c>
      <c r="H135" s="32">
        <v>3399.9</v>
      </c>
      <c r="I135" s="50">
        <v>10</v>
      </c>
      <c r="J135" s="35">
        <f t="shared" si="23"/>
        <v>40</v>
      </c>
      <c r="K135" s="36">
        <f t="shared" si="20"/>
        <v>33999</v>
      </c>
      <c r="L135" s="36">
        <f t="shared" si="22"/>
        <v>135996</v>
      </c>
      <c r="M135" s="31"/>
    </row>
    <row r="136" spans="2:13" ht="18.75" x14ac:dyDescent="0.3">
      <c r="B136" s="34">
        <v>131</v>
      </c>
      <c r="C136" s="50" t="s">
        <v>213</v>
      </c>
      <c r="D136" s="33">
        <v>150000</v>
      </c>
      <c r="E136" s="33">
        <v>19995</v>
      </c>
      <c r="F136" s="32">
        <f t="shared" si="21"/>
        <v>169995</v>
      </c>
      <c r="G136" s="34">
        <v>50</v>
      </c>
      <c r="H136" s="32">
        <v>3399.9</v>
      </c>
      <c r="I136" s="50">
        <v>10</v>
      </c>
      <c r="J136" s="35">
        <f t="shared" si="23"/>
        <v>40</v>
      </c>
      <c r="K136" s="36">
        <f t="shared" si="20"/>
        <v>33999</v>
      </c>
      <c r="L136" s="36">
        <f t="shared" si="22"/>
        <v>135996</v>
      </c>
      <c r="M136" s="31"/>
    </row>
    <row r="137" spans="2:13" ht="18.75" x14ac:dyDescent="0.3">
      <c r="B137" s="34">
        <v>132</v>
      </c>
      <c r="C137" s="50" t="s">
        <v>23</v>
      </c>
      <c r="D137" s="33">
        <v>150000</v>
      </c>
      <c r="E137" s="33">
        <v>19995</v>
      </c>
      <c r="F137" s="32">
        <f t="shared" si="21"/>
        <v>169995</v>
      </c>
      <c r="G137" s="34">
        <v>50</v>
      </c>
      <c r="H137" s="32">
        <v>3399.9</v>
      </c>
      <c r="I137" s="50">
        <v>10</v>
      </c>
      <c r="J137" s="35">
        <f t="shared" si="23"/>
        <v>40</v>
      </c>
      <c r="K137" s="36">
        <f t="shared" si="20"/>
        <v>33999</v>
      </c>
      <c r="L137" s="36">
        <f t="shared" si="22"/>
        <v>135996</v>
      </c>
      <c r="M137" s="31"/>
    </row>
    <row r="138" spans="2:13" ht="18.75" x14ac:dyDescent="0.3">
      <c r="B138" s="34">
        <v>133</v>
      </c>
      <c r="C138" s="50" t="s">
        <v>24</v>
      </c>
      <c r="D138" s="33">
        <v>150000</v>
      </c>
      <c r="E138" s="33">
        <v>19995</v>
      </c>
      <c r="F138" s="32">
        <f t="shared" si="21"/>
        <v>169995</v>
      </c>
      <c r="G138" s="34">
        <v>50</v>
      </c>
      <c r="H138" s="32">
        <v>3399.9</v>
      </c>
      <c r="I138" s="50">
        <v>10</v>
      </c>
      <c r="J138" s="35">
        <f t="shared" si="23"/>
        <v>40</v>
      </c>
      <c r="K138" s="36">
        <f t="shared" si="20"/>
        <v>33999</v>
      </c>
      <c r="L138" s="36">
        <f t="shared" si="22"/>
        <v>135996</v>
      </c>
      <c r="M138" s="31"/>
    </row>
    <row r="139" spans="2:13" ht="18.75" x14ac:dyDescent="0.3">
      <c r="B139" s="34">
        <v>134</v>
      </c>
      <c r="C139" s="50" t="s">
        <v>27</v>
      </c>
      <c r="D139" s="33">
        <v>150000</v>
      </c>
      <c r="E139" s="33">
        <v>19995</v>
      </c>
      <c r="F139" s="32">
        <f t="shared" si="21"/>
        <v>169995</v>
      </c>
      <c r="G139" s="34">
        <v>50</v>
      </c>
      <c r="H139" s="32">
        <v>3399.9</v>
      </c>
      <c r="I139" s="50">
        <v>8</v>
      </c>
      <c r="J139" s="35">
        <f t="shared" si="23"/>
        <v>42</v>
      </c>
      <c r="K139" s="36">
        <f t="shared" si="20"/>
        <v>27199.200000000001</v>
      </c>
      <c r="L139" s="36">
        <f t="shared" si="22"/>
        <v>142795.79999999999</v>
      </c>
      <c r="M139" s="31"/>
    </row>
    <row r="140" spans="2:13" ht="18.75" x14ac:dyDescent="0.3">
      <c r="B140" s="34">
        <v>135</v>
      </c>
      <c r="C140" s="29" t="s">
        <v>32</v>
      </c>
      <c r="D140" s="33">
        <v>150000</v>
      </c>
      <c r="E140" s="33">
        <v>19995</v>
      </c>
      <c r="F140" s="32">
        <f t="shared" si="21"/>
        <v>169995</v>
      </c>
      <c r="G140" s="34">
        <v>50</v>
      </c>
      <c r="H140" s="32">
        <v>3399.9</v>
      </c>
      <c r="I140" s="50">
        <v>8</v>
      </c>
      <c r="J140" s="35">
        <f t="shared" si="23"/>
        <v>42</v>
      </c>
      <c r="K140" s="36">
        <f t="shared" si="20"/>
        <v>27199.200000000001</v>
      </c>
      <c r="L140" s="36">
        <f t="shared" si="22"/>
        <v>142795.79999999999</v>
      </c>
      <c r="M140" s="31"/>
    </row>
    <row r="141" spans="2:13" ht="18.75" x14ac:dyDescent="0.3">
      <c r="B141" s="34">
        <v>136</v>
      </c>
      <c r="C141" s="29" t="s">
        <v>33</v>
      </c>
      <c r="D141" s="33">
        <v>150000</v>
      </c>
      <c r="E141" s="33">
        <v>19995</v>
      </c>
      <c r="F141" s="32">
        <f t="shared" si="21"/>
        <v>169995</v>
      </c>
      <c r="G141" s="34">
        <v>50</v>
      </c>
      <c r="H141" s="32">
        <v>3399.9</v>
      </c>
      <c r="I141" s="50">
        <v>8</v>
      </c>
      <c r="J141" s="35">
        <f t="shared" si="23"/>
        <v>42</v>
      </c>
      <c r="K141" s="36">
        <f t="shared" si="20"/>
        <v>27199.200000000001</v>
      </c>
      <c r="L141" s="36">
        <f t="shared" si="22"/>
        <v>142795.79999999999</v>
      </c>
      <c r="M141" s="31"/>
    </row>
    <row r="142" spans="2:13" ht="18.75" x14ac:dyDescent="0.3">
      <c r="B142" s="34">
        <v>137</v>
      </c>
      <c r="C142" s="29" t="s">
        <v>34</v>
      </c>
      <c r="D142" s="33">
        <v>150000</v>
      </c>
      <c r="E142" s="33">
        <v>19995</v>
      </c>
      <c r="F142" s="32">
        <f t="shared" si="21"/>
        <v>169995</v>
      </c>
      <c r="G142" s="34">
        <v>50</v>
      </c>
      <c r="H142" s="32">
        <v>3399.9</v>
      </c>
      <c r="I142" s="50">
        <v>8</v>
      </c>
      <c r="J142" s="35">
        <f t="shared" si="23"/>
        <v>42</v>
      </c>
      <c r="K142" s="36">
        <f t="shared" si="20"/>
        <v>27199.200000000001</v>
      </c>
      <c r="L142" s="36">
        <f t="shared" si="22"/>
        <v>142795.79999999999</v>
      </c>
      <c r="M142" s="31"/>
    </row>
    <row r="143" spans="2:13" ht="18.75" x14ac:dyDescent="0.3">
      <c r="B143" s="34">
        <v>138</v>
      </c>
      <c r="C143" s="29" t="s">
        <v>41</v>
      </c>
      <c r="D143" s="33">
        <v>150000</v>
      </c>
      <c r="E143" s="33">
        <v>19995</v>
      </c>
      <c r="F143" s="32">
        <f t="shared" si="21"/>
        <v>169995</v>
      </c>
      <c r="G143" s="34">
        <v>50</v>
      </c>
      <c r="H143" s="32">
        <v>3399.9</v>
      </c>
      <c r="I143" s="50">
        <v>4</v>
      </c>
      <c r="J143" s="35">
        <f t="shared" si="23"/>
        <v>46</v>
      </c>
      <c r="K143" s="36">
        <f t="shared" si="20"/>
        <v>13599.6</v>
      </c>
      <c r="L143" s="36">
        <f t="shared" si="22"/>
        <v>156395.4</v>
      </c>
      <c r="M143" s="31"/>
    </row>
    <row r="144" spans="2:13" ht="18.75" x14ac:dyDescent="0.3">
      <c r="B144" s="34">
        <v>139</v>
      </c>
      <c r="C144" s="29" t="s">
        <v>157</v>
      </c>
      <c r="D144" s="33">
        <v>150000</v>
      </c>
      <c r="E144" s="33">
        <v>19995</v>
      </c>
      <c r="F144" s="32">
        <f t="shared" si="21"/>
        <v>169995</v>
      </c>
      <c r="G144" s="34">
        <v>50</v>
      </c>
      <c r="H144" s="32">
        <v>3399</v>
      </c>
      <c r="I144" s="50">
        <v>20</v>
      </c>
      <c r="J144" s="35">
        <f t="shared" si="23"/>
        <v>30</v>
      </c>
      <c r="K144" s="36">
        <f t="shared" si="20"/>
        <v>67980</v>
      </c>
      <c r="L144" s="36">
        <f t="shared" si="22"/>
        <v>102015</v>
      </c>
      <c r="M144" s="31"/>
    </row>
    <row r="145" spans="2:13" ht="18.75" x14ac:dyDescent="0.3">
      <c r="B145" s="34">
        <v>140</v>
      </c>
      <c r="C145" s="29" t="s">
        <v>158</v>
      </c>
      <c r="D145" s="33">
        <v>150000</v>
      </c>
      <c r="E145" s="33">
        <v>19995</v>
      </c>
      <c r="F145" s="32">
        <f t="shared" si="21"/>
        <v>169995</v>
      </c>
      <c r="G145" s="34">
        <v>50</v>
      </c>
      <c r="H145" s="32">
        <v>3399.9</v>
      </c>
      <c r="I145" s="31">
        <v>44</v>
      </c>
      <c r="J145" s="35">
        <f t="shared" si="23"/>
        <v>6</v>
      </c>
      <c r="K145" s="36">
        <f t="shared" si="20"/>
        <v>149595.6</v>
      </c>
      <c r="L145" s="36">
        <f t="shared" si="22"/>
        <v>20399.399999999994</v>
      </c>
      <c r="M145" s="31"/>
    </row>
    <row r="146" spans="2:13" ht="18.75" x14ac:dyDescent="0.3">
      <c r="B146" s="34">
        <v>141</v>
      </c>
      <c r="C146" s="29" t="s">
        <v>165</v>
      </c>
      <c r="D146" s="33">
        <v>150000</v>
      </c>
      <c r="E146" s="33">
        <v>19995</v>
      </c>
      <c r="F146" s="32">
        <f t="shared" si="21"/>
        <v>169995</v>
      </c>
      <c r="G146" s="34">
        <v>50</v>
      </c>
      <c r="H146" s="32">
        <v>3399</v>
      </c>
      <c r="I146" s="50">
        <v>20</v>
      </c>
      <c r="J146" s="35">
        <f t="shared" si="23"/>
        <v>30</v>
      </c>
      <c r="K146" s="36">
        <f t="shared" si="20"/>
        <v>67980</v>
      </c>
      <c r="L146" s="36">
        <f t="shared" si="22"/>
        <v>102015</v>
      </c>
      <c r="M146" s="31"/>
    </row>
    <row r="147" spans="2:13" ht="18.75" x14ac:dyDescent="0.3">
      <c r="B147" s="34">
        <v>142</v>
      </c>
      <c r="C147" s="29" t="s">
        <v>168</v>
      </c>
      <c r="D147" s="33">
        <v>150000</v>
      </c>
      <c r="E147" s="33">
        <v>19995</v>
      </c>
      <c r="F147" s="32">
        <f t="shared" si="21"/>
        <v>169995</v>
      </c>
      <c r="G147" s="34">
        <v>50</v>
      </c>
      <c r="H147" s="32">
        <v>3399</v>
      </c>
      <c r="I147" s="50">
        <v>20</v>
      </c>
      <c r="J147" s="35">
        <f t="shared" si="23"/>
        <v>30</v>
      </c>
      <c r="K147" s="36">
        <f t="shared" si="20"/>
        <v>67980</v>
      </c>
      <c r="L147" s="36">
        <f t="shared" si="22"/>
        <v>102015</v>
      </c>
      <c r="M147" s="31"/>
    </row>
    <row r="148" spans="2:13" ht="18.75" x14ac:dyDescent="0.3">
      <c r="B148" s="34">
        <v>143</v>
      </c>
      <c r="C148" s="29" t="s">
        <v>181</v>
      </c>
      <c r="D148" s="33">
        <v>150000</v>
      </c>
      <c r="E148" s="33">
        <v>19995</v>
      </c>
      <c r="F148" s="32">
        <f t="shared" si="21"/>
        <v>169995</v>
      </c>
      <c r="G148" s="34">
        <v>50</v>
      </c>
      <c r="H148" s="32">
        <v>3399</v>
      </c>
      <c r="I148" s="50">
        <v>18</v>
      </c>
      <c r="J148" s="35">
        <f t="shared" si="23"/>
        <v>32</v>
      </c>
      <c r="K148" s="36">
        <f t="shared" si="20"/>
        <v>61182</v>
      </c>
      <c r="L148" s="36">
        <f t="shared" si="22"/>
        <v>108813</v>
      </c>
      <c r="M148" s="31"/>
    </row>
    <row r="149" spans="2:13" ht="18.75" x14ac:dyDescent="0.3">
      <c r="B149" s="34">
        <v>144</v>
      </c>
      <c r="C149" s="29" t="s">
        <v>52</v>
      </c>
      <c r="D149" s="33">
        <v>150000</v>
      </c>
      <c r="E149" s="33">
        <v>19995</v>
      </c>
      <c r="F149" s="32">
        <f t="shared" si="21"/>
        <v>169995</v>
      </c>
      <c r="G149" s="34">
        <v>50</v>
      </c>
      <c r="H149" s="32">
        <v>3399.9</v>
      </c>
      <c r="I149" s="50">
        <v>5</v>
      </c>
      <c r="J149" s="35">
        <f t="shared" si="23"/>
        <v>45</v>
      </c>
      <c r="K149" s="36">
        <f t="shared" si="20"/>
        <v>16999.5</v>
      </c>
      <c r="L149" s="36">
        <f t="shared" si="22"/>
        <v>152995.5</v>
      </c>
      <c r="M149" s="31"/>
    </row>
    <row r="150" spans="2:13" ht="18.75" x14ac:dyDescent="0.3">
      <c r="B150" s="34">
        <v>145</v>
      </c>
      <c r="C150" s="29" t="s">
        <v>53</v>
      </c>
      <c r="D150" s="33">
        <v>150000</v>
      </c>
      <c r="E150" s="33">
        <v>19995</v>
      </c>
      <c r="F150" s="32">
        <f t="shared" si="21"/>
        <v>169995</v>
      </c>
      <c r="G150" s="34">
        <v>50</v>
      </c>
      <c r="H150" s="32">
        <v>3399.9</v>
      </c>
      <c r="I150" s="50">
        <v>5</v>
      </c>
      <c r="J150" s="35">
        <f t="shared" si="23"/>
        <v>45</v>
      </c>
      <c r="K150" s="36">
        <f t="shared" si="20"/>
        <v>16999.5</v>
      </c>
      <c r="L150" s="36">
        <f t="shared" si="22"/>
        <v>152995.5</v>
      </c>
      <c r="M150" s="31"/>
    </row>
    <row r="151" spans="2:13" ht="18.75" x14ac:dyDescent="0.3">
      <c r="B151" s="34">
        <v>146</v>
      </c>
      <c r="C151" s="29" t="s">
        <v>250</v>
      </c>
      <c r="D151" s="33">
        <v>150000</v>
      </c>
      <c r="E151" s="33">
        <v>19995</v>
      </c>
      <c r="F151" s="32">
        <f t="shared" si="21"/>
        <v>169995</v>
      </c>
      <c r="G151" s="34">
        <v>50</v>
      </c>
      <c r="H151" s="32">
        <v>3399.9</v>
      </c>
      <c r="I151" s="50">
        <v>5</v>
      </c>
      <c r="J151" s="35">
        <f t="shared" si="23"/>
        <v>45</v>
      </c>
      <c r="K151" s="36">
        <f t="shared" si="20"/>
        <v>16999.5</v>
      </c>
      <c r="L151" s="36">
        <f t="shared" si="22"/>
        <v>152995.5</v>
      </c>
      <c r="M151" s="31"/>
    </row>
    <row r="152" spans="2:13" ht="18.75" x14ac:dyDescent="0.3">
      <c r="B152" s="34">
        <v>147</v>
      </c>
      <c r="C152" s="29" t="s">
        <v>51</v>
      </c>
      <c r="D152" s="33">
        <v>150000</v>
      </c>
      <c r="E152" s="33">
        <v>19995</v>
      </c>
      <c r="F152" s="32">
        <f t="shared" si="21"/>
        <v>169995</v>
      </c>
      <c r="G152" s="34">
        <v>50</v>
      </c>
      <c r="H152" s="32">
        <v>3339.9</v>
      </c>
      <c r="I152" s="50">
        <v>5</v>
      </c>
      <c r="J152" s="35">
        <f t="shared" si="23"/>
        <v>45</v>
      </c>
      <c r="K152" s="36">
        <f t="shared" si="20"/>
        <v>16699.5</v>
      </c>
      <c r="L152" s="36">
        <f t="shared" si="22"/>
        <v>153295.5</v>
      </c>
      <c r="M152" s="31"/>
    </row>
    <row r="153" spans="2:13" s="22" customFormat="1" ht="18.75" x14ac:dyDescent="0.3">
      <c r="B153" s="34">
        <v>148</v>
      </c>
      <c r="C153" s="29" t="s">
        <v>58</v>
      </c>
      <c r="D153" s="33">
        <v>150000</v>
      </c>
      <c r="E153" s="33">
        <v>19995</v>
      </c>
      <c r="F153" s="32">
        <f t="shared" si="21"/>
        <v>169995</v>
      </c>
      <c r="G153" s="34">
        <v>50</v>
      </c>
      <c r="H153" s="32">
        <v>3399.9</v>
      </c>
      <c r="I153" s="50">
        <v>3</v>
      </c>
      <c r="J153" s="35">
        <f t="shared" si="23"/>
        <v>47</v>
      </c>
      <c r="K153" s="36">
        <f t="shared" si="20"/>
        <v>10199.700000000001</v>
      </c>
      <c r="L153" s="36">
        <f t="shared" si="22"/>
        <v>159795.29999999999</v>
      </c>
      <c r="M153" s="31"/>
    </row>
    <row r="154" spans="2:13" ht="18.75" x14ac:dyDescent="0.3">
      <c r="B154" s="34">
        <v>149</v>
      </c>
      <c r="C154" s="29" t="s">
        <v>61</v>
      </c>
      <c r="D154" s="33">
        <v>150000</v>
      </c>
      <c r="E154" s="33">
        <v>19995</v>
      </c>
      <c r="F154" s="32">
        <f t="shared" si="21"/>
        <v>169995</v>
      </c>
      <c r="G154" s="34">
        <v>50</v>
      </c>
      <c r="H154" s="32">
        <v>3399.9</v>
      </c>
      <c r="I154" s="50">
        <v>3</v>
      </c>
      <c r="J154" s="35">
        <f t="shared" si="23"/>
        <v>47</v>
      </c>
      <c r="K154" s="36">
        <f t="shared" si="20"/>
        <v>10199.700000000001</v>
      </c>
      <c r="L154" s="36">
        <f t="shared" si="22"/>
        <v>159795.29999999999</v>
      </c>
      <c r="M154" s="31"/>
    </row>
    <row r="155" spans="2:13" ht="18.75" x14ac:dyDescent="0.3">
      <c r="B155" s="34">
        <v>150</v>
      </c>
      <c r="C155" s="29" t="s">
        <v>60</v>
      </c>
      <c r="D155" s="33">
        <v>150000</v>
      </c>
      <c r="E155" s="33">
        <v>19995</v>
      </c>
      <c r="F155" s="32">
        <f t="shared" si="21"/>
        <v>169995</v>
      </c>
      <c r="G155" s="34">
        <v>50</v>
      </c>
      <c r="H155" s="32">
        <v>3399.9</v>
      </c>
      <c r="I155" s="50">
        <v>3</v>
      </c>
      <c r="J155" s="35">
        <f t="shared" si="23"/>
        <v>47</v>
      </c>
      <c r="K155" s="36">
        <f t="shared" si="20"/>
        <v>10199.700000000001</v>
      </c>
      <c r="L155" s="36">
        <f t="shared" si="22"/>
        <v>159795.29999999999</v>
      </c>
      <c r="M155" s="31"/>
    </row>
    <row r="156" spans="2:13" s="75" customFormat="1" ht="18.75" x14ac:dyDescent="0.3">
      <c r="B156" s="71"/>
      <c r="C156" s="69" t="s">
        <v>296</v>
      </c>
      <c r="D156" s="76">
        <f>SUM(D6:D155)</f>
        <v>44740000</v>
      </c>
      <c r="E156" s="76">
        <f t="shared" ref="E156:F156" si="24">SUM(E6:E155)</f>
        <v>5929183.9199999999</v>
      </c>
      <c r="F156" s="76">
        <f t="shared" si="24"/>
        <v>50669183.920000002</v>
      </c>
      <c r="G156" s="71"/>
      <c r="H156" s="76">
        <f>SUM(H6:H155)</f>
        <v>1025978.7900000024</v>
      </c>
      <c r="I156" s="73"/>
      <c r="J156" s="74"/>
      <c r="K156" s="76">
        <f t="shared" ref="K156:L156" si="25">SUM(K6:K155)</f>
        <v>21408626.740000032</v>
      </c>
      <c r="L156" s="76">
        <f t="shared" si="25"/>
        <v>29338754.879999958</v>
      </c>
      <c r="M156" s="53"/>
    </row>
    <row r="157" spans="2:13" ht="18.75" x14ac:dyDescent="0.3">
      <c r="B157" s="34"/>
      <c r="C157" s="48"/>
      <c r="D157" s="43"/>
      <c r="E157" s="44"/>
      <c r="F157" s="43"/>
      <c r="G157" s="41"/>
      <c r="H157" s="43"/>
      <c r="I157" s="46"/>
      <c r="J157" s="47"/>
      <c r="K157" s="45"/>
      <c r="L157" s="45"/>
      <c r="M157" s="49"/>
    </row>
    <row r="158" spans="2:13" ht="18.75" x14ac:dyDescent="0.3">
      <c r="B158" s="9"/>
      <c r="C158" s="8" t="s">
        <v>217</v>
      </c>
      <c r="D158" s="9"/>
      <c r="E158" s="9"/>
      <c r="F158" s="9"/>
      <c r="G158" s="9"/>
      <c r="H158" s="9"/>
      <c r="I158" s="9"/>
      <c r="J158" s="9"/>
      <c r="K158" s="9"/>
      <c r="L158" s="9"/>
      <c r="M158" s="49"/>
    </row>
    <row r="159" spans="2:13" ht="18.75" x14ac:dyDescent="0.3">
      <c r="B159" s="9">
        <v>1</v>
      </c>
      <c r="C159" s="9" t="s">
        <v>160</v>
      </c>
      <c r="D159" s="12">
        <v>500000</v>
      </c>
      <c r="E159" s="12">
        <v>66650</v>
      </c>
      <c r="F159" s="12">
        <v>566650</v>
      </c>
      <c r="G159" s="14">
        <v>50</v>
      </c>
      <c r="H159" s="12">
        <v>11333</v>
      </c>
      <c r="I159" s="14">
        <v>24</v>
      </c>
      <c r="J159" s="35">
        <f t="shared" ref="J159:J169" si="26">G159-I159</f>
        <v>26</v>
      </c>
      <c r="K159" s="36">
        <f t="shared" ref="K159:K169" si="27">H159*I159</f>
        <v>271992</v>
      </c>
      <c r="L159" s="32">
        <f t="shared" ref="L159:L169" si="28">F159-K159</f>
        <v>294658</v>
      </c>
      <c r="M159" s="49"/>
    </row>
    <row r="160" spans="2:13" ht="18.75" x14ac:dyDescent="0.3">
      <c r="B160" s="9">
        <v>2</v>
      </c>
      <c r="C160" s="9" t="s">
        <v>164</v>
      </c>
      <c r="D160" s="12">
        <v>450000</v>
      </c>
      <c r="E160" s="12">
        <v>59985</v>
      </c>
      <c r="F160" s="12">
        <v>509985</v>
      </c>
      <c r="G160" s="14">
        <v>50</v>
      </c>
      <c r="H160" s="12">
        <v>10199.700000000001</v>
      </c>
      <c r="I160" s="14">
        <v>30</v>
      </c>
      <c r="J160" s="35">
        <f t="shared" si="26"/>
        <v>20</v>
      </c>
      <c r="K160" s="36">
        <f t="shared" si="27"/>
        <v>305991</v>
      </c>
      <c r="L160" s="32">
        <f t="shared" si="28"/>
        <v>203994</v>
      </c>
      <c r="M160" s="49"/>
    </row>
    <row r="161" spans="2:13" ht="18.75" x14ac:dyDescent="0.3">
      <c r="B161" s="9">
        <v>3</v>
      </c>
      <c r="C161" s="9" t="s">
        <v>184</v>
      </c>
      <c r="D161" s="12">
        <v>330000</v>
      </c>
      <c r="E161" s="12">
        <v>43989</v>
      </c>
      <c r="F161" s="12">
        <v>373989</v>
      </c>
      <c r="G161" s="14">
        <v>50</v>
      </c>
      <c r="H161" s="12">
        <v>7479.78</v>
      </c>
      <c r="I161" s="14">
        <v>42</v>
      </c>
      <c r="J161" s="35">
        <f t="shared" si="26"/>
        <v>8</v>
      </c>
      <c r="K161" s="36">
        <f t="shared" si="27"/>
        <v>314150.76</v>
      </c>
      <c r="L161" s="32">
        <f t="shared" si="28"/>
        <v>59838.239999999991</v>
      </c>
      <c r="M161" s="49"/>
    </row>
    <row r="162" spans="2:13" ht="18.75" x14ac:dyDescent="0.3">
      <c r="B162" s="9">
        <v>4</v>
      </c>
      <c r="C162" s="9" t="s">
        <v>180</v>
      </c>
      <c r="D162" s="12">
        <v>330000</v>
      </c>
      <c r="E162" s="12">
        <v>43989</v>
      </c>
      <c r="F162" s="12">
        <v>373989</v>
      </c>
      <c r="G162" s="14">
        <v>50</v>
      </c>
      <c r="H162" s="12">
        <v>7479.78</v>
      </c>
      <c r="I162" s="14">
        <v>24</v>
      </c>
      <c r="J162" s="35">
        <f t="shared" si="26"/>
        <v>26</v>
      </c>
      <c r="K162" s="36">
        <f t="shared" si="27"/>
        <v>179514.72</v>
      </c>
      <c r="L162" s="32">
        <f t="shared" si="28"/>
        <v>194474.28</v>
      </c>
      <c r="M162" s="49"/>
    </row>
    <row r="163" spans="2:13" ht="18.75" x14ac:dyDescent="0.3">
      <c r="B163" s="9">
        <v>5</v>
      </c>
      <c r="C163" s="9" t="s">
        <v>162</v>
      </c>
      <c r="D163" s="12">
        <v>150000</v>
      </c>
      <c r="E163" s="12">
        <v>19995</v>
      </c>
      <c r="F163" s="12">
        <v>169995</v>
      </c>
      <c r="G163" s="14">
        <v>50</v>
      </c>
      <c r="H163" s="12">
        <v>3399.9</v>
      </c>
      <c r="I163" s="14">
        <v>24</v>
      </c>
      <c r="J163" s="35">
        <f t="shared" si="26"/>
        <v>26</v>
      </c>
      <c r="K163" s="36">
        <f t="shared" si="27"/>
        <v>81597.600000000006</v>
      </c>
      <c r="L163" s="32">
        <f t="shared" si="28"/>
        <v>88397.4</v>
      </c>
      <c r="M163" s="49"/>
    </row>
    <row r="164" spans="2:13" ht="18.75" x14ac:dyDescent="0.3">
      <c r="B164" s="9">
        <v>6</v>
      </c>
      <c r="C164" s="9" t="s">
        <v>163</v>
      </c>
      <c r="D164" s="12">
        <v>150000</v>
      </c>
      <c r="E164" s="12">
        <v>19995</v>
      </c>
      <c r="F164" s="12">
        <v>169995</v>
      </c>
      <c r="G164" s="14">
        <v>50</v>
      </c>
      <c r="H164" s="12">
        <v>3399.9</v>
      </c>
      <c r="I164" s="14">
        <v>24</v>
      </c>
      <c r="J164" s="35">
        <f t="shared" si="26"/>
        <v>26</v>
      </c>
      <c r="K164" s="36">
        <f t="shared" si="27"/>
        <v>81597.600000000006</v>
      </c>
      <c r="L164" s="32">
        <f t="shared" si="28"/>
        <v>88397.4</v>
      </c>
      <c r="M164" s="49"/>
    </row>
    <row r="165" spans="2:13" ht="18.75" x14ac:dyDescent="0.3">
      <c r="B165" s="9">
        <v>7</v>
      </c>
      <c r="C165" s="9" t="s">
        <v>167</v>
      </c>
      <c r="D165" s="12">
        <v>150000</v>
      </c>
      <c r="E165" s="12">
        <v>19995</v>
      </c>
      <c r="F165" s="12">
        <v>169995</v>
      </c>
      <c r="G165" s="14">
        <v>50</v>
      </c>
      <c r="H165" s="12">
        <v>3399.9</v>
      </c>
      <c r="I165" s="14">
        <v>24</v>
      </c>
      <c r="J165" s="35">
        <f t="shared" si="26"/>
        <v>26</v>
      </c>
      <c r="K165" s="36">
        <f t="shared" si="27"/>
        <v>81597.600000000006</v>
      </c>
      <c r="L165" s="32">
        <f t="shared" si="28"/>
        <v>88397.4</v>
      </c>
      <c r="M165" s="49"/>
    </row>
    <row r="166" spans="2:13" ht="18.75" x14ac:dyDescent="0.3">
      <c r="B166" s="9">
        <v>8</v>
      </c>
      <c r="C166" s="9" t="s">
        <v>186</v>
      </c>
      <c r="D166" s="12">
        <v>150000</v>
      </c>
      <c r="E166" s="12">
        <v>19995</v>
      </c>
      <c r="F166" s="12">
        <v>169995</v>
      </c>
      <c r="G166" s="14">
        <v>50</v>
      </c>
      <c r="H166" s="12">
        <v>3399.9</v>
      </c>
      <c r="I166" s="14">
        <v>24</v>
      </c>
      <c r="J166" s="35">
        <f t="shared" si="26"/>
        <v>26</v>
      </c>
      <c r="K166" s="36">
        <f t="shared" si="27"/>
        <v>81597.600000000006</v>
      </c>
      <c r="L166" s="32">
        <f t="shared" si="28"/>
        <v>88397.4</v>
      </c>
      <c r="M166" s="49"/>
    </row>
    <row r="167" spans="2:13" ht="18.75" x14ac:dyDescent="0.3">
      <c r="B167" s="9">
        <v>9</v>
      </c>
      <c r="C167" s="9" t="s">
        <v>188</v>
      </c>
      <c r="D167" s="12">
        <v>150000</v>
      </c>
      <c r="E167" s="12">
        <v>19995</v>
      </c>
      <c r="F167" s="12">
        <v>169995</v>
      </c>
      <c r="G167" s="14">
        <v>50</v>
      </c>
      <c r="H167" s="12">
        <v>3399.9</v>
      </c>
      <c r="I167" s="14">
        <v>24</v>
      </c>
      <c r="J167" s="35">
        <f t="shared" si="26"/>
        <v>26</v>
      </c>
      <c r="K167" s="36">
        <f t="shared" si="27"/>
        <v>81597.600000000006</v>
      </c>
      <c r="L167" s="32">
        <f t="shared" si="28"/>
        <v>88397.4</v>
      </c>
      <c r="M167" s="42"/>
    </row>
    <row r="168" spans="2:13" ht="18.75" x14ac:dyDescent="0.3">
      <c r="B168" s="9">
        <v>10</v>
      </c>
      <c r="C168" s="9" t="s">
        <v>166</v>
      </c>
      <c r="D168" s="12">
        <v>150000</v>
      </c>
      <c r="E168" s="12">
        <v>19995</v>
      </c>
      <c r="F168" s="12">
        <v>169995</v>
      </c>
      <c r="G168" s="14">
        <v>50</v>
      </c>
      <c r="H168" s="12">
        <v>3399.9</v>
      </c>
      <c r="I168" s="14">
        <v>24</v>
      </c>
      <c r="J168" s="35">
        <f t="shared" si="26"/>
        <v>26</v>
      </c>
      <c r="K168" s="36">
        <f t="shared" si="27"/>
        <v>81597.600000000006</v>
      </c>
      <c r="L168" s="32">
        <f t="shared" si="28"/>
        <v>88397.4</v>
      </c>
      <c r="M168" s="42"/>
    </row>
    <row r="169" spans="2:13" ht="18.75" x14ac:dyDescent="0.3">
      <c r="B169" s="9">
        <v>11</v>
      </c>
      <c r="C169" s="9" t="s">
        <v>57</v>
      </c>
      <c r="D169" s="12">
        <v>450000</v>
      </c>
      <c r="E169" s="12">
        <v>59985</v>
      </c>
      <c r="F169" s="12">
        <v>509985</v>
      </c>
      <c r="G169" s="14">
        <v>50</v>
      </c>
      <c r="H169" s="12">
        <v>10199.700000000001</v>
      </c>
      <c r="I169" s="14">
        <v>3</v>
      </c>
      <c r="J169" s="35">
        <f t="shared" si="26"/>
        <v>47</v>
      </c>
      <c r="K169" s="36">
        <f t="shared" si="27"/>
        <v>30599.100000000002</v>
      </c>
      <c r="L169" s="32">
        <f t="shared" si="28"/>
        <v>479385.9</v>
      </c>
      <c r="M169" s="42"/>
    </row>
    <row r="170" spans="2:13" ht="18.75" x14ac:dyDescent="0.3">
      <c r="B170" s="1"/>
      <c r="C170" s="69" t="s">
        <v>296</v>
      </c>
      <c r="D170" s="17">
        <f>SUM(D159:D169)</f>
        <v>2960000</v>
      </c>
      <c r="E170" s="17">
        <f t="shared" ref="E170:F170" si="29">SUM(E159:E169)</f>
        <v>394568</v>
      </c>
      <c r="F170" s="17">
        <f t="shared" si="29"/>
        <v>3354568</v>
      </c>
      <c r="G170" s="17"/>
      <c r="H170" s="17">
        <f>SUM(H159:H169)</f>
        <v>67091.360000000015</v>
      </c>
      <c r="I170" s="17"/>
      <c r="J170" s="17"/>
      <c r="K170" s="17">
        <f t="shared" ref="K170:L170" si="30">SUM(K159:K169)</f>
        <v>1591833.1800000006</v>
      </c>
      <c r="L170" s="17">
        <f t="shared" si="30"/>
        <v>1762734.8199999998</v>
      </c>
      <c r="M170" s="9"/>
    </row>
    <row r="171" spans="2:13" x14ac:dyDescent="0.25"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</row>
    <row r="172" spans="2:13" s="57" customFormat="1" ht="18.75" x14ac:dyDescent="0.3">
      <c r="B172" s="8">
        <f>B169+B155</f>
        <v>161</v>
      </c>
      <c r="C172" s="30" t="s">
        <v>38</v>
      </c>
      <c r="D172" s="83">
        <f>D170+D156</f>
        <v>47700000</v>
      </c>
      <c r="E172" s="83">
        <f t="shared" ref="E172:F172" si="31">E170+E156</f>
        <v>6323751.9199999999</v>
      </c>
      <c r="F172" s="83">
        <f t="shared" si="31"/>
        <v>54023751.920000002</v>
      </c>
      <c r="G172" s="2"/>
      <c r="H172" s="83">
        <f>H170+H156</f>
        <v>1093070.1500000025</v>
      </c>
      <c r="I172" s="2"/>
      <c r="J172" s="2"/>
      <c r="K172" s="83">
        <f t="shared" ref="K172:L172" si="32">K170+K156</f>
        <v>23000459.920000032</v>
      </c>
      <c r="L172" s="83">
        <f t="shared" si="32"/>
        <v>31101489.699999958</v>
      </c>
      <c r="M172" s="2"/>
    </row>
    <row r="173" spans="2:13" s="57" customFormat="1" ht="18.75" x14ac:dyDescent="0.3">
      <c r="B173" s="8"/>
      <c r="C173" s="30"/>
      <c r="D173" s="83"/>
      <c r="E173" s="83"/>
      <c r="F173" s="83"/>
      <c r="G173" s="2"/>
      <c r="H173" s="83"/>
      <c r="I173" s="2"/>
      <c r="J173" s="2"/>
      <c r="K173" s="83"/>
      <c r="L173" s="83"/>
      <c r="M173" s="2"/>
    </row>
    <row r="174" spans="2:13" s="57" customFormat="1" ht="18.75" x14ac:dyDescent="0.3">
      <c r="B174" s="8"/>
      <c r="C174" s="30"/>
      <c r="D174" s="83"/>
      <c r="E174" s="83"/>
      <c r="F174" s="83"/>
      <c r="G174" s="2"/>
      <c r="H174" s="83"/>
      <c r="I174" s="2"/>
      <c r="J174" s="2"/>
      <c r="K174" s="83"/>
      <c r="L174" s="83"/>
      <c r="M174" s="2"/>
    </row>
    <row r="175" spans="2:13" s="57" customFormat="1" ht="18.75" x14ac:dyDescent="0.3">
      <c r="B175" s="1"/>
      <c r="C175" s="8" t="s">
        <v>280</v>
      </c>
      <c r="D175" s="12"/>
      <c r="E175" s="12"/>
      <c r="F175" s="12"/>
      <c r="G175" s="12"/>
      <c r="H175" s="12"/>
      <c r="I175" s="12"/>
      <c r="J175" s="12"/>
      <c r="K175" s="12"/>
      <c r="L175" s="12"/>
      <c r="M175" s="1"/>
    </row>
    <row r="176" spans="2:13" s="57" customFormat="1" ht="37.5" x14ac:dyDescent="0.3">
      <c r="B176" s="7" t="s">
        <v>2</v>
      </c>
      <c r="C176" s="7" t="s">
        <v>0</v>
      </c>
      <c r="D176" s="8" t="s">
        <v>3</v>
      </c>
      <c r="E176" s="8" t="s">
        <v>4</v>
      </c>
      <c r="F176" s="8" t="s">
        <v>1</v>
      </c>
      <c r="G176" s="10" t="s">
        <v>11</v>
      </c>
      <c r="H176" s="10" t="s">
        <v>10</v>
      </c>
      <c r="I176" s="11" t="s">
        <v>5</v>
      </c>
      <c r="J176" s="11" t="s">
        <v>6</v>
      </c>
      <c r="K176" s="10" t="s">
        <v>7</v>
      </c>
      <c r="L176" s="10" t="s">
        <v>8</v>
      </c>
      <c r="M176" s="10" t="s">
        <v>9</v>
      </c>
    </row>
    <row r="177" spans="2:13" s="57" customFormat="1" ht="18.75" x14ac:dyDescent="0.3">
      <c r="B177" s="88">
        <v>1</v>
      </c>
      <c r="C177" s="66" t="s">
        <v>281</v>
      </c>
      <c r="D177" s="33">
        <v>450000</v>
      </c>
      <c r="E177" s="33">
        <v>59985</v>
      </c>
      <c r="F177" s="32">
        <f>D177+E177</f>
        <v>509985</v>
      </c>
      <c r="G177" s="34">
        <v>50</v>
      </c>
      <c r="H177" s="87">
        <v>10199.700000000001</v>
      </c>
      <c r="I177" s="9">
        <v>45</v>
      </c>
      <c r="J177" s="9">
        <f>G177-I177</f>
        <v>5</v>
      </c>
      <c r="K177" s="92">
        <f>H177*I177</f>
        <v>458986.50000000006</v>
      </c>
      <c r="L177" s="32">
        <f t="shared" ref="L177" si="33">F177-K177</f>
        <v>50998.499999999942</v>
      </c>
      <c r="M177" s="1"/>
    </row>
    <row r="178" spans="2:13" s="57" customFormat="1" x14ac:dyDescent="0.25"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</row>
    <row r="179" spans="2:13" s="57" customFormat="1" ht="18.75" x14ac:dyDescent="0.3">
      <c r="B179" s="8"/>
      <c r="C179" s="30" t="s">
        <v>279</v>
      </c>
      <c r="D179" s="83">
        <f>D177+D172</f>
        <v>48150000</v>
      </c>
      <c r="E179" s="83">
        <f t="shared" ref="E179:F179" si="34">E177+E172</f>
        <v>6383736.9199999999</v>
      </c>
      <c r="F179" s="83">
        <f t="shared" si="34"/>
        <v>54533736.920000002</v>
      </c>
      <c r="G179" s="2"/>
      <c r="H179" s="83">
        <f>H177+H172</f>
        <v>1103269.8500000024</v>
      </c>
      <c r="I179" s="2"/>
      <c r="J179" s="2"/>
      <c r="K179" s="83">
        <f t="shared" ref="K179:L179" si="35">K177+K172</f>
        <v>23459446.420000032</v>
      </c>
      <c r="L179" s="83">
        <f t="shared" si="35"/>
        <v>31152488.199999958</v>
      </c>
      <c r="M179" s="2"/>
    </row>
    <row r="180" spans="2:13" s="57" customFormat="1" ht="18.75" x14ac:dyDescent="0.3">
      <c r="B180" s="8"/>
      <c r="C180" s="30"/>
      <c r="D180" s="83"/>
      <c r="E180" s="83"/>
      <c r="F180" s="83"/>
      <c r="G180" s="2"/>
      <c r="H180" s="83"/>
      <c r="I180" s="2"/>
      <c r="J180" s="2"/>
      <c r="K180" s="83"/>
      <c r="L180" s="83"/>
      <c r="M180" s="2"/>
    </row>
    <row r="181" spans="2:13" ht="18.75" x14ac:dyDescent="0.3">
      <c r="B181" s="1"/>
      <c r="C181" s="8" t="s">
        <v>227</v>
      </c>
      <c r="D181" s="1"/>
      <c r="E181" s="1"/>
      <c r="F181" s="1"/>
      <c r="G181" s="1"/>
      <c r="H181" s="1"/>
      <c r="I181" s="1"/>
      <c r="J181" s="1"/>
      <c r="K181" s="1"/>
      <c r="L181" s="1"/>
      <c r="M181" s="1"/>
    </row>
    <row r="182" spans="2:13" ht="18.75" x14ac:dyDescent="0.3">
      <c r="B182" s="34">
        <v>1</v>
      </c>
      <c r="C182" s="9" t="s">
        <v>169</v>
      </c>
      <c r="D182" s="12">
        <v>180000</v>
      </c>
      <c r="E182" s="12">
        <v>23994</v>
      </c>
      <c r="F182" s="12">
        <v>203994</v>
      </c>
      <c r="G182" s="14">
        <v>40</v>
      </c>
      <c r="H182" s="12">
        <v>5099.8500000000004</v>
      </c>
      <c r="I182" s="14">
        <v>40</v>
      </c>
      <c r="J182" s="35">
        <f>G182-I182</f>
        <v>0</v>
      </c>
      <c r="K182" s="36">
        <f>H182*I182</f>
        <v>203994</v>
      </c>
      <c r="L182" s="32">
        <f>F182-K182</f>
        <v>0</v>
      </c>
      <c r="M182" s="53" t="s">
        <v>248</v>
      </c>
    </row>
    <row r="183" spans="2:13" x14ac:dyDescent="0.25"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</row>
  </sheetData>
  <pageMargins left="0.7" right="0.7" top="0.75" bottom="0.75" header="0.3" footer="0.3"/>
  <pageSetup paperSize="5" scale="5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88"/>
  <sheetViews>
    <sheetView topLeftCell="A183" workbookViewId="0">
      <selection activeCell="K185" sqref="K185"/>
    </sheetView>
  </sheetViews>
  <sheetFormatPr defaultRowHeight="15" x14ac:dyDescent="0.25"/>
  <cols>
    <col min="3" max="3" width="43" customWidth="1"/>
    <col min="4" max="4" width="19.7109375" bestFit="1" customWidth="1"/>
    <col min="5" max="5" width="18.28515625" bestFit="1" customWidth="1"/>
    <col min="6" max="6" width="19.7109375" bestFit="1" customWidth="1"/>
    <col min="8" max="8" width="18.28515625" bestFit="1" customWidth="1"/>
    <col min="9" max="9" width="14.5703125" bestFit="1" customWidth="1"/>
    <col min="10" max="10" width="14.42578125" customWidth="1"/>
    <col min="11" max="12" width="19.7109375" bestFit="1" customWidth="1"/>
    <col min="13" max="13" width="33.7109375" customWidth="1"/>
  </cols>
  <sheetData>
    <row r="2" spans="1:13" ht="18.75" x14ac:dyDescent="0.3">
      <c r="B2" s="9"/>
      <c r="C2" s="106" t="s">
        <v>12</v>
      </c>
      <c r="D2" s="9"/>
      <c r="E2" s="106"/>
      <c r="F2" s="106"/>
      <c r="G2" s="9"/>
      <c r="H2" s="9"/>
      <c r="I2" s="9"/>
      <c r="J2" s="9"/>
      <c r="K2" s="9"/>
      <c r="L2" s="9"/>
      <c r="M2" s="9"/>
    </row>
    <row r="3" spans="1:13" ht="18.75" x14ac:dyDescent="0.3">
      <c r="B3" s="9"/>
      <c r="C3" s="106" t="s">
        <v>252</v>
      </c>
      <c r="D3" s="9"/>
      <c r="E3" s="106"/>
      <c r="F3" s="106"/>
      <c r="G3" s="106"/>
      <c r="H3" s="9"/>
      <c r="I3" s="9"/>
      <c r="J3" s="9"/>
      <c r="K3" s="9"/>
      <c r="L3" s="9"/>
      <c r="M3" s="9"/>
    </row>
    <row r="4" spans="1:13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7.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</row>
    <row r="6" spans="1:13" ht="18.75" x14ac:dyDescent="0.3">
      <c r="A6" s="18"/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6" si="0">D6+E6</f>
        <v>566650</v>
      </c>
      <c r="G6" s="34">
        <v>50</v>
      </c>
      <c r="H6" s="32">
        <v>11333</v>
      </c>
      <c r="I6" s="31">
        <v>30</v>
      </c>
      <c r="J6" s="35">
        <f t="shared" ref="J6:J37" si="1">G6-I6</f>
        <v>20</v>
      </c>
      <c r="K6" s="33">
        <f t="shared" ref="K6:K14" si="2">H6*I6</f>
        <v>339990</v>
      </c>
      <c r="L6" s="36">
        <f t="shared" ref="L6:L37" si="3">F6-K6</f>
        <v>226660</v>
      </c>
      <c r="M6" s="31"/>
    </row>
    <row r="7" spans="1:13" ht="18.75" x14ac:dyDescent="0.3">
      <c r="A7" s="18"/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30</v>
      </c>
      <c r="J7" s="35">
        <f t="shared" si="1"/>
        <v>20</v>
      </c>
      <c r="K7" s="33">
        <f t="shared" si="2"/>
        <v>339990</v>
      </c>
      <c r="L7" s="36">
        <f t="shared" si="3"/>
        <v>226660</v>
      </c>
      <c r="M7" s="31"/>
    </row>
    <row r="8" spans="1:13" ht="18.75" x14ac:dyDescent="0.3">
      <c r="A8" s="18"/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45</v>
      </c>
      <c r="J8" s="35">
        <f t="shared" si="1"/>
        <v>5</v>
      </c>
      <c r="K8" s="36">
        <f t="shared" si="2"/>
        <v>509985</v>
      </c>
      <c r="L8" s="32">
        <f t="shared" si="3"/>
        <v>56665</v>
      </c>
      <c r="M8" s="31"/>
    </row>
    <row r="9" spans="1:13" ht="18.75" x14ac:dyDescent="0.3">
      <c r="A9" s="18"/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45</v>
      </c>
      <c r="J9" s="35">
        <f t="shared" si="1"/>
        <v>5</v>
      </c>
      <c r="K9" s="36">
        <f t="shared" si="2"/>
        <v>509985</v>
      </c>
      <c r="L9" s="32">
        <f t="shared" si="3"/>
        <v>56665</v>
      </c>
      <c r="M9" s="31"/>
    </row>
    <row r="10" spans="1:13" ht="18.75" x14ac:dyDescent="0.3">
      <c r="A10" s="18"/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45</v>
      </c>
      <c r="J10" s="35">
        <f t="shared" si="1"/>
        <v>5</v>
      </c>
      <c r="K10" s="36">
        <f t="shared" si="2"/>
        <v>509985</v>
      </c>
      <c r="L10" s="32">
        <f t="shared" si="3"/>
        <v>56665</v>
      </c>
      <c r="M10" s="31"/>
    </row>
    <row r="11" spans="1:13" ht="18.75" x14ac:dyDescent="0.3">
      <c r="A11" s="18"/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30</v>
      </c>
      <c r="J11" s="35">
        <f t="shared" si="1"/>
        <v>20</v>
      </c>
      <c r="K11" s="36">
        <f t="shared" si="2"/>
        <v>339990</v>
      </c>
      <c r="L11" s="36">
        <f t="shared" si="3"/>
        <v>226660</v>
      </c>
      <c r="M11" s="31"/>
    </row>
    <row r="12" spans="1:13" ht="18.75" x14ac:dyDescent="0.3">
      <c r="A12" s="18"/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29</v>
      </c>
      <c r="J12" s="35">
        <f t="shared" si="1"/>
        <v>21</v>
      </c>
      <c r="K12" s="36">
        <f t="shared" si="2"/>
        <v>328657</v>
      </c>
      <c r="L12" s="36">
        <f t="shared" si="3"/>
        <v>237993</v>
      </c>
      <c r="M12" s="31"/>
    </row>
    <row r="13" spans="1:13" ht="18.75" x14ac:dyDescent="0.3">
      <c r="A13" s="18"/>
      <c r="B13" s="34">
        <v>8</v>
      </c>
      <c r="C13" s="31" t="s">
        <v>121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2">
        <v>11333</v>
      </c>
      <c r="I13" s="31">
        <v>51</v>
      </c>
      <c r="J13" s="35">
        <f t="shared" si="1"/>
        <v>-1</v>
      </c>
      <c r="K13" s="36">
        <f t="shared" si="2"/>
        <v>577983</v>
      </c>
      <c r="L13" s="32">
        <f t="shared" si="3"/>
        <v>-11333</v>
      </c>
      <c r="M13" s="31"/>
    </row>
    <row r="14" spans="1:13" ht="18.75" x14ac:dyDescent="0.3">
      <c r="A14" s="18"/>
      <c r="B14" s="34">
        <v>9</v>
      </c>
      <c r="C14" s="31" t="s">
        <v>123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6">
        <v>11333</v>
      </c>
      <c r="I14" s="31">
        <v>30</v>
      </c>
      <c r="J14" s="35">
        <f t="shared" si="1"/>
        <v>20</v>
      </c>
      <c r="K14" s="36">
        <f t="shared" si="2"/>
        <v>339990</v>
      </c>
      <c r="L14" s="36">
        <f t="shared" si="3"/>
        <v>226660</v>
      </c>
      <c r="M14" s="31"/>
    </row>
    <row r="15" spans="1:13" ht="18.75" x14ac:dyDescent="0.3">
      <c r="A15" s="18"/>
      <c r="B15" s="34">
        <v>10</v>
      </c>
      <c r="C15" s="31" t="s">
        <v>144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25</v>
      </c>
      <c r="J15" s="35">
        <f t="shared" si="1"/>
        <v>25</v>
      </c>
      <c r="K15" s="36">
        <f t="shared" ref="K15:K24" si="4">I15*H15</f>
        <v>283325</v>
      </c>
      <c r="L15" s="36">
        <f t="shared" si="3"/>
        <v>283325</v>
      </c>
      <c r="M15" s="31"/>
    </row>
    <row r="16" spans="1:13" ht="18.75" x14ac:dyDescent="0.3">
      <c r="A16" s="18"/>
      <c r="B16" s="34">
        <v>11</v>
      </c>
      <c r="C16" s="31" t="s">
        <v>145</v>
      </c>
      <c r="D16" s="33">
        <v>500000</v>
      </c>
      <c r="E16" s="33">
        <v>66650</v>
      </c>
      <c r="F16" s="32">
        <f t="shared" si="0"/>
        <v>566650</v>
      </c>
      <c r="G16" s="34">
        <v>50</v>
      </c>
      <c r="H16" s="32">
        <v>11333</v>
      </c>
      <c r="I16" s="31">
        <v>25</v>
      </c>
      <c r="J16" s="35">
        <f t="shared" si="1"/>
        <v>25</v>
      </c>
      <c r="K16" s="36">
        <f t="shared" si="4"/>
        <v>283325</v>
      </c>
      <c r="L16" s="36">
        <f t="shared" si="3"/>
        <v>283325</v>
      </c>
      <c r="M16" s="31"/>
    </row>
    <row r="17" spans="1:13" ht="18.75" x14ac:dyDescent="0.3">
      <c r="A17" s="18"/>
      <c r="B17" s="34">
        <v>12</v>
      </c>
      <c r="C17" s="50" t="s">
        <v>154</v>
      </c>
      <c r="D17" s="33">
        <v>500000</v>
      </c>
      <c r="E17" s="33">
        <v>31991.919999999998</v>
      </c>
      <c r="F17" s="32">
        <f t="shared" si="0"/>
        <v>531991.92000000004</v>
      </c>
      <c r="G17" s="34">
        <v>24</v>
      </c>
      <c r="H17" s="32">
        <v>22166.33</v>
      </c>
      <c r="I17" s="50">
        <v>19</v>
      </c>
      <c r="J17" s="35">
        <f t="shared" si="1"/>
        <v>5</v>
      </c>
      <c r="K17" s="36">
        <f t="shared" si="4"/>
        <v>421160.27</v>
      </c>
      <c r="L17" s="36">
        <f t="shared" si="3"/>
        <v>110831.65000000002</v>
      </c>
      <c r="M17" s="31"/>
    </row>
    <row r="18" spans="1:13" ht="18.75" x14ac:dyDescent="0.3">
      <c r="A18" s="18"/>
      <c r="B18" s="34">
        <v>13</v>
      </c>
      <c r="C18" s="50" t="s">
        <v>208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16</v>
      </c>
      <c r="J18" s="35">
        <f t="shared" si="1"/>
        <v>34</v>
      </c>
      <c r="K18" s="36">
        <f t="shared" si="4"/>
        <v>181328</v>
      </c>
      <c r="L18" s="36">
        <f t="shared" si="3"/>
        <v>385322</v>
      </c>
      <c r="M18" s="31"/>
    </row>
    <row r="19" spans="1:13" ht="18.75" x14ac:dyDescent="0.3">
      <c r="A19" s="18"/>
      <c r="B19" s="34">
        <v>14</v>
      </c>
      <c r="C19" s="50" t="s">
        <v>14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14</v>
      </c>
      <c r="J19" s="35">
        <f t="shared" si="1"/>
        <v>36</v>
      </c>
      <c r="K19" s="36">
        <f t="shared" si="4"/>
        <v>158662</v>
      </c>
      <c r="L19" s="36">
        <f t="shared" si="3"/>
        <v>407988</v>
      </c>
      <c r="M19" s="31"/>
    </row>
    <row r="20" spans="1:13" ht="18.75" x14ac:dyDescent="0.3">
      <c r="A20" s="18"/>
      <c r="B20" s="34">
        <v>15</v>
      </c>
      <c r="C20" s="50" t="s">
        <v>15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14</v>
      </c>
      <c r="J20" s="35">
        <f t="shared" si="1"/>
        <v>36</v>
      </c>
      <c r="K20" s="36">
        <f t="shared" si="4"/>
        <v>158662</v>
      </c>
      <c r="L20" s="36">
        <f t="shared" si="3"/>
        <v>407988</v>
      </c>
      <c r="M20" s="31"/>
    </row>
    <row r="21" spans="1:13" ht="18.75" x14ac:dyDescent="0.3">
      <c r="A21" s="18"/>
      <c r="B21" s="34">
        <v>16</v>
      </c>
      <c r="C21" s="50" t="s">
        <v>16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14</v>
      </c>
      <c r="J21" s="35">
        <f t="shared" si="1"/>
        <v>36</v>
      </c>
      <c r="K21" s="36">
        <f t="shared" si="4"/>
        <v>158662</v>
      </c>
      <c r="L21" s="36">
        <f t="shared" si="3"/>
        <v>407988</v>
      </c>
      <c r="M21" s="31"/>
    </row>
    <row r="22" spans="1:13" ht="18.75" x14ac:dyDescent="0.3">
      <c r="A22" s="18"/>
      <c r="B22" s="34">
        <v>17</v>
      </c>
      <c r="C22" s="50" t="s">
        <v>20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41</v>
      </c>
      <c r="J22" s="35">
        <f t="shared" si="1"/>
        <v>9</v>
      </c>
      <c r="K22" s="36">
        <f t="shared" si="4"/>
        <v>464653</v>
      </c>
      <c r="L22" s="36">
        <f t="shared" si="3"/>
        <v>101997</v>
      </c>
      <c r="M22" s="31"/>
    </row>
    <row r="23" spans="1:13" ht="18.75" x14ac:dyDescent="0.3">
      <c r="A23" s="18"/>
      <c r="B23" s="34">
        <v>18</v>
      </c>
      <c r="C23" s="50" t="s">
        <v>232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50">
        <v>11</v>
      </c>
      <c r="J23" s="35">
        <f t="shared" si="1"/>
        <v>39</v>
      </c>
      <c r="K23" s="36">
        <f t="shared" si="4"/>
        <v>124663</v>
      </c>
      <c r="L23" s="36">
        <f t="shared" si="3"/>
        <v>441987</v>
      </c>
      <c r="M23" s="31"/>
    </row>
    <row r="24" spans="1:13" ht="18.75" x14ac:dyDescent="0.3">
      <c r="A24" s="18"/>
      <c r="B24" s="34">
        <v>19</v>
      </c>
      <c r="C24" s="50" t="s">
        <v>214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11</v>
      </c>
      <c r="J24" s="35">
        <f t="shared" si="1"/>
        <v>39</v>
      </c>
      <c r="K24" s="36">
        <f t="shared" si="4"/>
        <v>124663</v>
      </c>
      <c r="L24" s="36">
        <f t="shared" si="3"/>
        <v>441987</v>
      </c>
      <c r="M24" s="31"/>
    </row>
    <row r="25" spans="1:13" ht="18.75" x14ac:dyDescent="0.3">
      <c r="A25" s="18"/>
      <c r="B25" s="34">
        <v>20</v>
      </c>
      <c r="C25" s="31" t="s">
        <v>219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31">
        <v>43</v>
      </c>
      <c r="J25" s="35">
        <f t="shared" si="1"/>
        <v>7</v>
      </c>
      <c r="K25" s="36">
        <f>H25*I25</f>
        <v>487319</v>
      </c>
      <c r="L25" s="32">
        <f t="shared" si="3"/>
        <v>79331</v>
      </c>
      <c r="M25" s="31"/>
    </row>
    <row r="26" spans="1:13" ht="18.75" x14ac:dyDescent="0.3">
      <c r="A26" s="18"/>
      <c r="B26" s="34">
        <v>21</v>
      </c>
      <c r="C26" s="50" t="s">
        <v>31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8</v>
      </c>
      <c r="J26" s="35">
        <f t="shared" si="1"/>
        <v>42</v>
      </c>
      <c r="K26" s="36">
        <f t="shared" ref="K26:K39" si="5">I26*H26</f>
        <v>90664</v>
      </c>
      <c r="L26" s="36">
        <f t="shared" si="3"/>
        <v>475986</v>
      </c>
      <c r="M26" s="31"/>
    </row>
    <row r="27" spans="1:13" ht="18.75" x14ac:dyDescent="0.3">
      <c r="A27" s="18"/>
      <c r="B27" s="34">
        <v>22</v>
      </c>
      <c r="C27" s="29" t="s">
        <v>161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21</v>
      </c>
      <c r="J27" s="35">
        <f t="shared" si="1"/>
        <v>29</v>
      </c>
      <c r="K27" s="36">
        <f t="shared" si="5"/>
        <v>237993</v>
      </c>
      <c r="L27" s="36">
        <f t="shared" si="3"/>
        <v>328657</v>
      </c>
      <c r="M27" s="31"/>
    </row>
    <row r="28" spans="1:13" ht="18.75" x14ac:dyDescent="0.3">
      <c r="A28" s="18"/>
      <c r="B28" s="34">
        <v>23</v>
      </c>
      <c r="C28" s="29" t="s">
        <v>170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30</v>
      </c>
      <c r="J28" s="35">
        <f t="shared" si="1"/>
        <v>20</v>
      </c>
      <c r="K28" s="36">
        <f t="shared" si="5"/>
        <v>339990</v>
      </c>
      <c r="L28" s="36">
        <f t="shared" si="3"/>
        <v>226660</v>
      </c>
      <c r="M28" s="31"/>
    </row>
    <row r="29" spans="1:13" ht="18.75" x14ac:dyDescent="0.3">
      <c r="A29" s="18"/>
      <c r="B29" s="34">
        <v>24</v>
      </c>
      <c r="C29" s="29" t="s">
        <v>172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26</v>
      </c>
      <c r="J29" s="35">
        <f t="shared" si="1"/>
        <v>24</v>
      </c>
      <c r="K29" s="36">
        <f t="shared" si="5"/>
        <v>294658</v>
      </c>
      <c r="L29" s="36">
        <f t="shared" si="3"/>
        <v>271992</v>
      </c>
      <c r="M29" s="31"/>
    </row>
    <row r="30" spans="1:13" ht="18.75" x14ac:dyDescent="0.3">
      <c r="A30" s="18"/>
      <c r="B30" s="34">
        <v>25</v>
      </c>
      <c r="C30" s="29" t="s">
        <v>46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6</v>
      </c>
      <c r="J30" s="35">
        <f t="shared" si="1"/>
        <v>44</v>
      </c>
      <c r="K30" s="36">
        <f t="shared" si="5"/>
        <v>67998</v>
      </c>
      <c r="L30" s="36">
        <f t="shared" si="3"/>
        <v>498652</v>
      </c>
      <c r="M30" s="31"/>
    </row>
    <row r="31" spans="1:13" ht="18.75" x14ac:dyDescent="0.3">
      <c r="A31" s="18"/>
      <c r="B31" s="34">
        <v>26</v>
      </c>
      <c r="C31" s="29" t="s">
        <v>45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6</v>
      </c>
      <c r="J31" s="35">
        <f t="shared" si="1"/>
        <v>44</v>
      </c>
      <c r="K31" s="36">
        <f t="shared" si="5"/>
        <v>67998</v>
      </c>
      <c r="L31" s="36">
        <f t="shared" si="3"/>
        <v>498652</v>
      </c>
      <c r="M31" s="31"/>
    </row>
    <row r="32" spans="1:13" ht="18.75" x14ac:dyDescent="0.3">
      <c r="A32" s="18"/>
      <c r="B32" s="34">
        <v>27</v>
      </c>
      <c r="C32" s="29" t="s">
        <v>239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6</v>
      </c>
      <c r="J32" s="35">
        <f t="shared" si="1"/>
        <v>44</v>
      </c>
      <c r="K32" s="36">
        <f t="shared" si="5"/>
        <v>67998</v>
      </c>
      <c r="L32" s="36">
        <f t="shared" si="3"/>
        <v>498652</v>
      </c>
      <c r="M32" s="31"/>
    </row>
    <row r="33" spans="1:13" ht="18.75" x14ac:dyDescent="0.3">
      <c r="A33" s="18"/>
      <c r="B33" s="34">
        <v>28</v>
      </c>
      <c r="C33" s="29" t="s">
        <v>44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5</v>
      </c>
      <c r="J33" s="35">
        <f t="shared" si="1"/>
        <v>45</v>
      </c>
      <c r="K33" s="36">
        <f t="shared" si="5"/>
        <v>56665</v>
      </c>
      <c r="L33" s="36">
        <f t="shared" si="3"/>
        <v>509985</v>
      </c>
      <c r="M33" s="31"/>
    </row>
    <row r="34" spans="1:13" ht="18.75" x14ac:dyDescent="0.3">
      <c r="A34" s="18"/>
      <c r="B34" s="34">
        <v>29</v>
      </c>
      <c r="C34" s="29" t="s">
        <v>66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4</v>
      </c>
      <c r="J34" s="35">
        <f t="shared" si="1"/>
        <v>46</v>
      </c>
      <c r="K34" s="36">
        <f t="shared" si="5"/>
        <v>45332</v>
      </c>
      <c r="L34" s="36">
        <f t="shared" si="3"/>
        <v>521318</v>
      </c>
      <c r="M34" s="31"/>
    </row>
    <row r="35" spans="1:13" ht="18.75" x14ac:dyDescent="0.3">
      <c r="A35" s="18"/>
      <c r="B35" s="34">
        <v>30</v>
      </c>
      <c r="C35" s="29" t="s">
        <v>67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50">
        <v>4</v>
      </c>
      <c r="J35" s="35">
        <f t="shared" si="1"/>
        <v>46</v>
      </c>
      <c r="K35" s="36">
        <f t="shared" si="5"/>
        <v>45332</v>
      </c>
      <c r="L35" s="36">
        <f t="shared" si="3"/>
        <v>521318</v>
      </c>
      <c r="M35" s="31"/>
    </row>
    <row r="36" spans="1:13" ht="18.75" x14ac:dyDescent="0.3">
      <c r="A36" s="18"/>
      <c r="B36" s="34">
        <v>31</v>
      </c>
      <c r="C36" s="29" t="s">
        <v>68</v>
      </c>
      <c r="D36" s="33">
        <v>500000</v>
      </c>
      <c r="E36" s="33">
        <v>66650</v>
      </c>
      <c r="F36" s="32">
        <f t="shared" si="0"/>
        <v>566650</v>
      </c>
      <c r="G36" s="34">
        <v>50</v>
      </c>
      <c r="H36" s="32">
        <v>11333</v>
      </c>
      <c r="I36" s="50">
        <v>4</v>
      </c>
      <c r="J36" s="35">
        <f t="shared" si="1"/>
        <v>46</v>
      </c>
      <c r="K36" s="36">
        <f t="shared" si="5"/>
        <v>45332</v>
      </c>
      <c r="L36" s="36">
        <f t="shared" si="3"/>
        <v>521318</v>
      </c>
      <c r="M36" s="31"/>
    </row>
    <row r="37" spans="1:13" ht="18.75" x14ac:dyDescent="0.3">
      <c r="A37" s="18"/>
      <c r="B37" s="34">
        <v>32</v>
      </c>
      <c r="C37" s="29" t="s">
        <v>253</v>
      </c>
      <c r="D37" s="33">
        <v>500000</v>
      </c>
      <c r="E37" s="33">
        <v>66650</v>
      </c>
      <c r="F37" s="32">
        <f t="shared" ref="F37:F38" si="6">D37+E37</f>
        <v>566650</v>
      </c>
      <c r="G37" s="34">
        <v>50</v>
      </c>
      <c r="H37" s="32">
        <v>11333</v>
      </c>
      <c r="I37" s="50">
        <v>1</v>
      </c>
      <c r="J37" s="35">
        <f t="shared" si="1"/>
        <v>49</v>
      </c>
      <c r="K37" s="36">
        <f t="shared" si="5"/>
        <v>11333</v>
      </c>
      <c r="L37" s="36">
        <f t="shared" si="3"/>
        <v>555317</v>
      </c>
      <c r="M37" s="31" t="s">
        <v>255</v>
      </c>
    </row>
    <row r="38" spans="1:13" ht="18.75" x14ac:dyDescent="0.3">
      <c r="A38" s="18"/>
      <c r="B38" s="34">
        <v>33</v>
      </c>
      <c r="C38" s="29" t="s">
        <v>254</v>
      </c>
      <c r="D38" s="33">
        <v>500000</v>
      </c>
      <c r="E38" s="33">
        <v>66650</v>
      </c>
      <c r="F38" s="32">
        <f t="shared" si="6"/>
        <v>566650</v>
      </c>
      <c r="G38" s="34">
        <v>50</v>
      </c>
      <c r="H38" s="32">
        <v>11333</v>
      </c>
      <c r="I38" s="50">
        <v>1</v>
      </c>
      <c r="J38" s="35">
        <f t="shared" ref="J38:J69" si="7">G38-I38</f>
        <v>49</v>
      </c>
      <c r="K38" s="36">
        <f t="shared" si="5"/>
        <v>11333</v>
      </c>
      <c r="L38" s="36">
        <f t="shared" ref="L38:L69" si="8">F38-K38</f>
        <v>555317</v>
      </c>
      <c r="M38" s="31" t="s">
        <v>255</v>
      </c>
    </row>
    <row r="39" spans="1:13" ht="18.75" x14ac:dyDescent="0.3">
      <c r="A39" s="18"/>
      <c r="B39" s="34">
        <v>34</v>
      </c>
      <c r="C39" s="31" t="s">
        <v>74</v>
      </c>
      <c r="D39" s="33">
        <v>450000</v>
      </c>
      <c r="E39" s="33">
        <v>59985</v>
      </c>
      <c r="F39" s="32">
        <f t="shared" ref="F39:F68" si="9">D39+E39</f>
        <v>509985</v>
      </c>
      <c r="G39" s="34">
        <v>50</v>
      </c>
      <c r="H39" s="32">
        <v>10199.700000000001</v>
      </c>
      <c r="I39" s="31">
        <v>27</v>
      </c>
      <c r="J39" s="35">
        <f t="shared" si="7"/>
        <v>23</v>
      </c>
      <c r="K39" s="32">
        <f t="shared" si="5"/>
        <v>275391.90000000002</v>
      </c>
      <c r="L39" s="33">
        <f t="shared" si="8"/>
        <v>234593.09999999998</v>
      </c>
      <c r="M39" s="31"/>
    </row>
    <row r="40" spans="1:13" ht="18.75" x14ac:dyDescent="0.3">
      <c r="A40" s="18"/>
      <c r="B40" s="34">
        <v>35</v>
      </c>
      <c r="C40" s="31" t="s">
        <v>77</v>
      </c>
      <c r="D40" s="33">
        <v>450000</v>
      </c>
      <c r="E40" s="33">
        <v>59985</v>
      </c>
      <c r="F40" s="32">
        <f t="shared" si="9"/>
        <v>509985</v>
      </c>
      <c r="G40" s="34">
        <v>50</v>
      </c>
      <c r="H40" s="32">
        <v>10199.700000000001</v>
      </c>
      <c r="I40" s="52">
        <v>26</v>
      </c>
      <c r="J40" s="35">
        <f t="shared" si="7"/>
        <v>24</v>
      </c>
      <c r="K40" s="32">
        <f t="shared" ref="K40:K46" si="10">H40*I40</f>
        <v>265192.2</v>
      </c>
      <c r="L40" s="33">
        <f t="shared" si="8"/>
        <v>244792.8</v>
      </c>
      <c r="M40" s="31"/>
    </row>
    <row r="41" spans="1:13" ht="18.75" x14ac:dyDescent="0.3">
      <c r="A41" s="18"/>
      <c r="B41" s="34">
        <v>36</v>
      </c>
      <c r="C41" s="31" t="s">
        <v>78</v>
      </c>
      <c r="D41" s="33">
        <v>450000</v>
      </c>
      <c r="E41" s="33">
        <v>59985</v>
      </c>
      <c r="F41" s="32">
        <f t="shared" si="9"/>
        <v>509985</v>
      </c>
      <c r="G41" s="34">
        <v>50</v>
      </c>
      <c r="H41" s="32">
        <v>10199.700000000001</v>
      </c>
      <c r="I41" s="52">
        <v>26</v>
      </c>
      <c r="J41" s="35">
        <f t="shared" si="7"/>
        <v>24</v>
      </c>
      <c r="K41" s="32">
        <f t="shared" si="10"/>
        <v>265192.2</v>
      </c>
      <c r="L41" s="32">
        <f t="shared" si="8"/>
        <v>244792.8</v>
      </c>
      <c r="M41" s="31"/>
    </row>
    <row r="42" spans="1:13" ht="18.75" x14ac:dyDescent="0.3">
      <c r="A42" s="18"/>
      <c r="B42" s="34">
        <v>37</v>
      </c>
      <c r="C42" s="31" t="s">
        <v>82</v>
      </c>
      <c r="D42" s="33">
        <v>450000</v>
      </c>
      <c r="E42" s="33">
        <v>59985</v>
      </c>
      <c r="F42" s="32">
        <f t="shared" si="9"/>
        <v>509985</v>
      </c>
      <c r="G42" s="34">
        <v>50</v>
      </c>
      <c r="H42" s="32">
        <v>10199.700000000001</v>
      </c>
      <c r="I42" s="31">
        <v>30</v>
      </c>
      <c r="J42" s="35">
        <f t="shared" si="7"/>
        <v>20</v>
      </c>
      <c r="K42" s="36">
        <f t="shared" si="10"/>
        <v>305991</v>
      </c>
      <c r="L42" s="36">
        <f t="shared" si="8"/>
        <v>203994</v>
      </c>
      <c r="M42" s="31"/>
    </row>
    <row r="43" spans="1:13" ht="18.75" x14ac:dyDescent="0.3">
      <c r="A43" s="18"/>
      <c r="B43" s="34">
        <v>38</v>
      </c>
      <c r="C43" s="31" t="s">
        <v>99</v>
      </c>
      <c r="D43" s="33">
        <v>450000</v>
      </c>
      <c r="E43" s="33">
        <v>59985</v>
      </c>
      <c r="F43" s="32">
        <f t="shared" si="9"/>
        <v>509985</v>
      </c>
      <c r="G43" s="34">
        <v>50</v>
      </c>
      <c r="H43" s="36">
        <v>10199.700000000001</v>
      </c>
      <c r="I43" s="31">
        <v>30</v>
      </c>
      <c r="J43" s="35">
        <f t="shared" si="7"/>
        <v>20</v>
      </c>
      <c r="K43" s="36">
        <f t="shared" si="10"/>
        <v>305991</v>
      </c>
      <c r="L43" s="36">
        <f t="shared" si="8"/>
        <v>203994</v>
      </c>
      <c r="M43" s="31"/>
    </row>
    <row r="44" spans="1:13" ht="18.75" x14ac:dyDescent="0.3">
      <c r="A44" s="18"/>
      <c r="B44" s="34">
        <v>39</v>
      </c>
      <c r="C44" s="31" t="s">
        <v>196</v>
      </c>
      <c r="D44" s="33">
        <v>450000</v>
      </c>
      <c r="E44" s="33">
        <v>59985</v>
      </c>
      <c r="F44" s="32">
        <f t="shared" si="9"/>
        <v>509985</v>
      </c>
      <c r="G44" s="34">
        <v>50</v>
      </c>
      <c r="H44" s="32">
        <v>10199.700000000001</v>
      </c>
      <c r="I44" s="31">
        <v>45</v>
      </c>
      <c r="J44" s="35">
        <f t="shared" si="7"/>
        <v>5</v>
      </c>
      <c r="K44" s="36">
        <f t="shared" si="10"/>
        <v>458986.50000000006</v>
      </c>
      <c r="L44" s="32">
        <f t="shared" si="8"/>
        <v>50998.499999999942</v>
      </c>
      <c r="M44" s="31"/>
    </row>
    <row r="45" spans="1:13" ht="18.75" x14ac:dyDescent="0.3">
      <c r="A45" s="18"/>
      <c r="B45" s="34">
        <v>40</v>
      </c>
      <c r="C45" s="31" t="s">
        <v>122</v>
      </c>
      <c r="D45" s="33">
        <v>450000</v>
      </c>
      <c r="E45" s="33">
        <v>59985</v>
      </c>
      <c r="F45" s="32">
        <f t="shared" si="9"/>
        <v>509985</v>
      </c>
      <c r="G45" s="34">
        <v>50</v>
      </c>
      <c r="H45" s="36">
        <v>10199.700000000001</v>
      </c>
      <c r="I45" s="31">
        <v>30</v>
      </c>
      <c r="J45" s="35">
        <f t="shared" si="7"/>
        <v>20</v>
      </c>
      <c r="K45" s="36">
        <f t="shared" si="10"/>
        <v>305991</v>
      </c>
      <c r="L45" s="36">
        <f t="shared" si="8"/>
        <v>203994</v>
      </c>
      <c r="M45" s="31"/>
    </row>
    <row r="46" spans="1:13" ht="18.75" x14ac:dyDescent="0.3">
      <c r="A46" s="18"/>
      <c r="B46" s="34">
        <v>41</v>
      </c>
      <c r="C46" s="31" t="s">
        <v>204</v>
      </c>
      <c r="D46" s="33">
        <v>450000</v>
      </c>
      <c r="E46" s="33">
        <v>59985</v>
      </c>
      <c r="F46" s="32">
        <f t="shared" si="9"/>
        <v>509985</v>
      </c>
      <c r="G46" s="34">
        <v>50</v>
      </c>
      <c r="H46" s="32">
        <v>10199.700000000001</v>
      </c>
      <c r="I46" s="31">
        <v>35</v>
      </c>
      <c r="J46" s="35">
        <f t="shared" si="7"/>
        <v>15</v>
      </c>
      <c r="K46" s="36">
        <f t="shared" si="10"/>
        <v>356989.5</v>
      </c>
      <c r="L46" s="32">
        <f t="shared" si="8"/>
        <v>152995.5</v>
      </c>
      <c r="M46" s="31"/>
    </row>
    <row r="47" spans="1:13" ht="18.75" x14ac:dyDescent="0.3">
      <c r="A47" s="18"/>
      <c r="B47" s="34">
        <v>42</v>
      </c>
      <c r="C47" s="50" t="s">
        <v>146</v>
      </c>
      <c r="D47" s="33">
        <v>450000</v>
      </c>
      <c r="E47" s="33">
        <v>59985</v>
      </c>
      <c r="F47" s="32">
        <f t="shared" si="9"/>
        <v>509985</v>
      </c>
      <c r="G47" s="34">
        <v>50</v>
      </c>
      <c r="H47" s="32">
        <v>10199.700000000001</v>
      </c>
      <c r="I47" s="50">
        <v>19</v>
      </c>
      <c r="J47" s="35">
        <f t="shared" si="7"/>
        <v>31</v>
      </c>
      <c r="K47" s="36">
        <f t="shared" ref="K47:K57" si="11">I47*H47</f>
        <v>193794.30000000002</v>
      </c>
      <c r="L47" s="36">
        <f t="shared" si="8"/>
        <v>316190.69999999995</v>
      </c>
      <c r="M47" s="31"/>
    </row>
    <row r="48" spans="1:13" ht="18.75" x14ac:dyDescent="0.3">
      <c r="A48" s="18"/>
      <c r="B48" s="34">
        <v>43</v>
      </c>
      <c r="C48" s="50" t="s">
        <v>231</v>
      </c>
      <c r="D48" s="33">
        <v>450000</v>
      </c>
      <c r="E48" s="33">
        <v>59985</v>
      </c>
      <c r="F48" s="32">
        <f t="shared" si="9"/>
        <v>509985</v>
      </c>
      <c r="G48" s="34">
        <v>50</v>
      </c>
      <c r="H48" s="32">
        <v>10199.700000000001</v>
      </c>
      <c r="I48" s="50">
        <v>19</v>
      </c>
      <c r="J48" s="35">
        <f t="shared" si="7"/>
        <v>31</v>
      </c>
      <c r="K48" s="36">
        <f t="shared" si="11"/>
        <v>193794.30000000002</v>
      </c>
      <c r="L48" s="36">
        <f t="shared" si="8"/>
        <v>316190.69999999995</v>
      </c>
      <c r="M48" s="31"/>
    </row>
    <row r="49" spans="1:13" ht="18.75" x14ac:dyDescent="0.3">
      <c r="A49" s="18"/>
      <c r="B49" s="34">
        <v>44</v>
      </c>
      <c r="C49" s="50" t="s">
        <v>17</v>
      </c>
      <c r="D49" s="33">
        <v>450000</v>
      </c>
      <c r="E49" s="33">
        <v>59985</v>
      </c>
      <c r="F49" s="32">
        <f t="shared" si="9"/>
        <v>509985</v>
      </c>
      <c r="G49" s="34">
        <v>50</v>
      </c>
      <c r="H49" s="32">
        <v>10199.700000000001</v>
      </c>
      <c r="I49" s="50">
        <v>14</v>
      </c>
      <c r="J49" s="35">
        <f t="shared" si="7"/>
        <v>36</v>
      </c>
      <c r="K49" s="36">
        <f t="shared" si="11"/>
        <v>142795.80000000002</v>
      </c>
      <c r="L49" s="36">
        <f t="shared" si="8"/>
        <v>367189.19999999995</v>
      </c>
      <c r="M49" s="31"/>
    </row>
    <row r="50" spans="1:13" ht="18.75" x14ac:dyDescent="0.3">
      <c r="A50" s="18"/>
      <c r="B50" s="34">
        <v>45</v>
      </c>
      <c r="C50" s="50" t="s">
        <v>22</v>
      </c>
      <c r="D50" s="33">
        <v>450000</v>
      </c>
      <c r="E50" s="33">
        <v>59985</v>
      </c>
      <c r="F50" s="32">
        <f t="shared" si="9"/>
        <v>509985</v>
      </c>
      <c r="G50" s="34">
        <v>50</v>
      </c>
      <c r="H50" s="32">
        <v>10199.700000000001</v>
      </c>
      <c r="I50" s="50">
        <v>11</v>
      </c>
      <c r="J50" s="35">
        <f t="shared" si="7"/>
        <v>39</v>
      </c>
      <c r="K50" s="36">
        <f t="shared" si="11"/>
        <v>112196.70000000001</v>
      </c>
      <c r="L50" s="36">
        <f t="shared" si="8"/>
        <v>397788.3</v>
      </c>
      <c r="M50" s="31"/>
    </row>
    <row r="51" spans="1:13" ht="18.75" x14ac:dyDescent="0.3">
      <c r="A51" s="18"/>
      <c r="B51" s="34">
        <v>46</v>
      </c>
      <c r="C51" s="50" t="s">
        <v>29</v>
      </c>
      <c r="D51" s="33">
        <v>450000</v>
      </c>
      <c r="E51" s="33">
        <v>59985</v>
      </c>
      <c r="F51" s="32">
        <f t="shared" si="9"/>
        <v>509985</v>
      </c>
      <c r="G51" s="34">
        <v>50</v>
      </c>
      <c r="H51" s="32">
        <v>10199.700000000001</v>
      </c>
      <c r="I51" s="50">
        <v>8</v>
      </c>
      <c r="J51" s="35">
        <f t="shared" si="7"/>
        <v>42</v>
      </c>
      <c r="K51" s="36">
        <f t="shared" si="11"/>
        <v>81597.600000000006</v>
      </c>
      <c r="L51" s="36">
        <f t="shared" si="8"/>
        <v>428387.4</v>
      </c>
      <c r="M51" s="31"/>
    </row>
    <row r="52" spans="1:13" ht="18.75" x14ac:dyDescent="0.3">
      <c r="A52" s="18"/>
      <c r="B52" s="34">
        <v>47</v>
      </c>
      <c r="C52" s="29" t="s">
        <v>35</v>
      </c>
      <c r="D52" s="33">
        <v>450000</v>
      </c>
      <c r="E52" s="33">
        <v>59985</v>
      </c>
      <c r="F52" s="32">
        <f t="shared" si="9"/>
        <v>509985</v>
      </c>
      <c r="G52" s="34">
        <v>50</v>
      </c>
      <c r="H52" s="32">
        <v>10199.700000000001</v>
      </c>
      <c r="I52" s="50">
        <v>9</v>
      </c>
      <c r="J52" s="35">
        <f t="shared" si="7"/>
        <v>41</v>
      </c>
      <c r="K52" s="36">
        <f t="shared" si="11"/>
        <v>91797.3</v>
      </c>
      <c r="L52" s="36">
        <f t="shared" si="8"/>
        <v>418187.7</v>
      </c>
      <c r="M52" s="31"/>
    </row>
    <row r="53" spans="1:13" ht="18.75" x14ac:dyDescent="0.3">
      <c r="A53" s="18"/>
      <c r="B53" s="34">
        <v>48</v>
      </c>
      <c r="C53" s="29" t="s">
        <v>48</v>
      </c>
      <c r="D53" s="33">
        <v>450000</v>
      </c>
      <c r="E53" s="33">
        <v>59985</v>
      </c>
      <c r="F53" s="32">
        <f t="shared" si="9"/>
        <v>509985</v>
      </c>
      <c r="G53" s="34">
        <v>50</v>
      </c>
      <c r="H53" s="32">
        <v>10199.700000000001</v>
      </c>
      <c r="I53" s="50">
        <v>6</v>
      </c>
      <c r="J53" s="35">
        <f t="shared" si="7"/>
        <v>44</v>
      </c>
      <c r="K53" s="36">
        <f t="shared" si="11"/>
        <v>61198.200000000004</v>
      </c>
      <c r="L53" s="36">
        <f t="shared" si="8"/>
        <v>448786.8</v>
      </c>
      <c r="M53" s="31"/>
    </row>
    <row r="54" spans="1:13" ht="18.75" x14ac:dyDescent="0.3">
      <c r="A54" s="18"/>
      <c r="B54" s="34">
        <v>49</v>
      </c>
      <c r="C54" s="29" t="s">
        <v>63</v>
      </c>
      <c r="D54" s="33">
        <v>450000</v>
      </c>
      <c r="E54" s="33">
        <v>59985</v>
      </c>
      <c r="F54" s="32">
        <f t="shared" si="9"/>
        <v>509985</v>
      </c>
      <c r="G54" s="34">
        <v>50</v>
      </c>
      <c r="H54" s="32">
        <v>10199.700000000001</v>
      </c>
      <c r="I54" s="50">
        <v>4</v>
      </c>
      <c r="J54" s="35">
        <f t="shared" si="7"/>
        <v>46</v>
      </c>
      <c r="K54" s="36">
        <f t="shared" si="11"/>
        <v>40798.800000000003</v>
      </c>
      <c r="L54" s="36">
        <f t="shared" si="8"/>
        <v>469186.2</v>
      </c>
      <c r="M54" s="31"/>
    </row>
    <row r="55" spans="1:13" ht="18.75" x14ac:dyDescent="0.3">
      <c r="A55" s="18"/>
      <c r="B55" s="34">
        <v>50</v>
      </c>
      <c r="C55" s="29" t="s">
        <v>65</v>
      </c>
      <c r="D55" s="33">
        <v>450000</v>
      </c>
      <c r="E55" s="33">
        <v>59985</v>
      </c>
      <c r="F55" s="32">
        <f t="shared" si="9"/>
        <v>509985</v>
      </c>
      <c r="G55" s="34">
        <v>50</v>
      </c>
      <c r="H55" s="32">
        <v>10199.700000000001</v>
      </c>
      <c r="I55" s="50">
        <v>4</v>
      </c>
      <c r="J55" s="35">
        <f t="shared" si="7"/>
        <v>46</v>
      </c>
      <c r="K55" s="36">
        <f t="shared" si="11"/>
        <v>40798.800000000003</v>
      </c>
      <c r="L55" s="36">
        <f t="shared" si="8"/>
        <v>469186.2</v>
      </c>
      <c r="M55" s="31"/>
    </row>
    <row r="56" spans="1:13" ht="18.75" x14ac:dyDescent="0.3">
      <c r="A56" s="18"/>
      <c r="B56" s="34">
        <v>51</v>
      </c>
      <c r="C56" s="29" t="s">
        <v>59</v>
      </c>
      <c r="D56" s="33">
        <v>450000</v>
      </c>
      <c r="E56" s="33">
        <v>59985</v>
      </c>
      <c r="F56" s="32">
        <f t="shared" si="9"/>
        <v>509985</v>
      </c>
      <c r="G56" s="34">
        <v>50</v>
      </c>
      <c r="H56" s="32">
        <v>10199.700000000001</v>
      </c>
      <c r="I56" s="50">
        <v>4</v>
      </c>
      <c r="J56" s="35">
        <f t="shared" si="7"/>
        <v>46</v>
      </c>
      <c r="K56" s="36">
        <f t="shared" si="11"/>
        <v>40798.800000000003</v>
      </c>
      <c r="L56" s="36">
        <f t="shared" si="8"/>
        <v>469186.2</v>
      </c>
      <c r="M56" s="31"/>
    </row>
    <row r="57" spans="1:13" ht="18.75" x14ac:dyDescent="0.3">
      <c r="A57" s="18"/>
      <c r="B57" s="34">
        <v>52</v>
      </c>
      <c r="C57" s="29" t="s">
        <v>206</v>
      </c>
      <c r="D57" s="33">
        <v>450000</v>
      </c>
      <c r="E57" s="33">
        <v>59985</v>
      </c>
      <c r="F57" s="32">
        <f t="shared" si="9"/>
        <v>509985</v>
      </c>
      <c r="G57" s="34">
        <v>50</v>
      </c>
      <c r="H57" s="32">
        <v>10199.700000000001</v>
      </c>
      <c r="I57" s="50">
        <v>1</v>
      </c>
      <c r="J57" s="35">
        <f t="shared" si="7"/>
        <v>49</v>
      </c>
      <c r="K57" s="36">
        <f t="shared" si="11"/>
        <v>10199.700000000001</v>
      </c>
      <c r="L57" s="36">
        <f t="shared" si="8"/>
        <v>499785.3</v>
      </c>
      <c r="M57" s="31" t="s">
        <v>255</v>
      </c>
    </row>
    <row r="58" spans="1:13" ht="18.75" x14ac:dyDescent="0.3">
      <c r="A58" s="18"/>
      <c r="B58" s="34">
        <v>53</v>
      </c>
      <c r="C58" s="31" t="s">
        <v>189</v>
      </c>
      <c r="D58" s="32">
        <v>330000</v>
      </c>
      <c r="E58" s="33">
        <v>43989</v>
      </c>
      <c r="F58" s="32">
        <f t="shared" si="9"/>
        <v>373989</v>
      </c>
      <c r="G58" s="34">
        <v>50</v>
      </c>
      <c r="H58" s="32">
        <v>7479.78</v>
      </c>
      <c r="I58" s="31">
        <v>45</v>
      </c>
      <c r="J58" s="35">
        <f t="shared" si="7"/>
        <v>5</v>
      </c>
      <c r="K58" s="33">
        <f>H58*I58</f>
        <v>336590.1</v>
      </c>
      <c r="L58" s="32">
        <f t="shared" si="8"/>
        <v>37398.900000000023</v>
      </c>
      <c r="M58" s="53"/>
    </row>
    <row r="59" spans="1:13" ht="18.75" x14ac:dyDescent="0.3">
      <c r="A59" s="18"/>
      <c r="B59" s="34">
        <v>54</v>
      </c>
      <c r="C59" s="31" t="s">
        <v>79</v>
      </c>
      <c r="D59" s="32">
        <v>330000</v>
      </c>
      <c r="E59" s="33">
        <v>43989</v>
      </c>
      <c r="F59" s="32">
        <f t="shared" si="9"/>
        <v>373989</v>
      </c>
      <c r="G59" s="34">
        <v>50</v>
      </c>
      <c r="H59" s="32">
        <v>7479.78</v>
      </c>
      <c r="I59" s="31">
        <v>26</v>
      </c>
      <c r="J59" s="35">
        <f t="shared" si="7"/>
        <v>24</v>
      </c>
      <c r="K59" s="32">
        <f>H59*I59</f>
        <v>194474.28</v>
      </c>
      <c r="L59" s="36">
        <f t="shared" si="8"/>
        <v>179514.72</v>
      </c>
      <c r="M59" s="31"/>
    </row>
    <row r="60" spans="1:13" ht="18.75" x14ac:dyDescent="0.3">
      <c r="A60" s="18"/>
      <c r="B60" s="34">
        <v>55</v>
      </c>
      <c r="C60" s="31" t="s">
        <v>83</v>
      </c>
      <c r="D60" s="32">
        <v>330000</v>
      </c>
      <c r="E60" s="33">
        <v>43989</v>
      </c>
      <c r="F60" s="32">
        <f t="shared" si="9"/>
        <v>373989</v>
      </c>
      <c r="G60" s="34">
        <v>50</v>
      </c>
      <c r="H60" s="32">
        <v>7479.78</v>
      </c>
      <c r="I60" s="31">
        <v>30</v>
      </c>
      <c r="J60" s="35">
        <f t="shared" si="7"/>
        <v>20</v>
      </c>
      <c r="K60" s="36">
        <f>H60*I60</f>
        <v>224393.4</v>
      </c>
      <c r="L60" s="36">
        <f t="shared" si="8"/>
        <v>149595.6</v>
      </c>
      <c r="M60" s="31"/>
    </row>
    <row r="61" spans="1:13" ht="18.75" x14ac:dyDescent="0.3">
      <c r="A61" s="18"/>
      <c r="B61" s="34">
        <v>56</v>
      </c>
      <c r="C61" s="31" t="s">
        <v>95</v>
      </c>
      <c r="D61" s="32">
        <v>330000</v>
      </c>
      <c r="E61" s="33">
        <v>43989</v>
      </c>
      <c r="F61" s="32">
        <f t="shared" si="9"/>
        <v>373989</v>
      </c>
      <c r="G61" s="34">
        <v>50</v>
      </c>
      <c r="H61" s="32">
        <v>7479.78</v>
      </c>
      <c r="I61" s="31">
        <v>26</v>
      </c>
      <c r="J61" s="35">
        <f t="shared" si="7"/>
        <v>24</v>
      </c>
      <c r="K61" s="36">
        <f>H61*I61</f>
        <v>194474.28</v>
      </c>
      <c r="L61" s="32">
        <f t="shared" si="8"/>
        <v>179514.72</v>
      </c>
      <c r="M61" s="31"/>
    </row>
    <row r="62" spans="1:13" ht="18.75" x14ac:dyDescent="0.3">
      <c r="A62" s="18"/>
      <c r="B62" s="34">
        <v>57</v>
      </c>
      <c r="C62" s="31" t="s">
        <v>96</v>
      </c>
      <c r="D62" s="32">
        <v>330000</v>
      </c>
      <c r="E62" s="33">
        <v>43989</v>
      </c>
      <c r="F62" s="32">
        <f t="shared" si="9"/>
        <v>373989</v>
      </c>
      <c r="G62" s="34">
        <v>50</v>
      </c>
      <c r="H62" s="36">
        <v>7479.78</v>
      </c>
      <c r="I62" s="31">
        <v>30</v>
      </c>
      <c r="J62" s="35">
        <f t="shared" si="7"/>
        <v>20</v>
      </c>
      <c r="K62" s="36">
        <f>H62*I62</f>
        <v>224393.4</v>
      </c>
      <c r="L62" s="36">
        <f t="shared" si="8"/>
        <v>149595.6</v>
      </c>
      <c r="M62" s="31"/>
    </row>
    <row r="63" spans="1:13" ht="18.75" x14ac:dyDescent="0.3">
      <c r="A63" s="18"/>
      <c r="B63" s="34">
        <v>58</v>
      </c>
      <c r="C63" s="50" t="s">
        <v>18</v>
      </c>
      <c r="D63" s="32">
        <v>330000</v>
      </c>
      <c r="E63" s="33">
        <v>43989</v>
      </c>
      <c r="F63" s="32">
        <f t="shared" si="9"/>
        <v>373989</v>
      </c>
      <c r="G63" s="34">
        <v>50</v>
      </c>
      <c r="H63" s="36">
        <v>7479.74</v>
      </c>
      <c r="I63" s="50">
        <v>14</v>
      </c>
      <c r="J63" s="35">
        <f t="shared" si="7"/>
        <v>36</v>
      </c>
      <c r="K63" s="36">
        <f>I63*H63</f>
        <v>104716.36</v>
      </c>
      <c r="L63" s="36">
        <f t="shared" si="8"/>
        <v>269272.64</v>
      </c>
      <c r="M63" s="31"/>
    </row>
    <row r="64" spans="1:13" ht="18.75" x14ac:dyDescent="0.3">
      <c r="A64" s="18"/>
      <c r="B64" s="34">
        <v>59</v>
      </c>
      <c r="C64" s="31" t="s">
        <v>233</v>
      </c>
      <c r="D64" s="32">
        <v>330000</v>
      </c>
      <c r="E64" s="33">
        <v>43989</v>
      </c>
      <c r="F64" s="32">
        <f t="shared" si="9"/>
        <v>373989</v>
      </c>
      <c r="G64" s="34">
        <v>50</v>
      </c>
      <c r="H64" s="36">
        <v>7479.78</v>
      </c>
      <c r="I64" s="31">
        <v>30</v>
      </c>
      <c r="J64" s="35">
        <f t="shared" si="7"/>
        <v>20</v>
      </c>
      <c r="K64" s="36">
        <f>H64*I64</f>
        <v>224393.4</v>
      </c>
      <c r="L64" s="36">
        <f t="shared" si="8"/>
        <v>149595.6</v>
      </c>
      <c r="M64" s="31"/>
    </row>
    <row r="65" spans="1:13" ht="18.75" x14ac:dyDescent="0.3">
      <c r="A65" s="18"/>
      <c r="B65" s="34">
        <v>60</v>
      </c>
      <c r="C65" s="31" t="s">
        <v>220</v>
      </c>
      <c r="D65" s="32">
        <v>330000</v>
      </c>
      <c r="E65" s="33">
        <v>43989</v>
      </c>
      <c r="F65" s="32">
        <f t="shared" si="9"/>
        <v>373989</v>
      </c>
      <c r="G65" s="34">
        <v>50</v>
      </c>
      <c r="H65" s="32">
        <v>7479.78</v>
      </c>
      <c r="I65" s="31">
        <v>30</v>
      </c>
      <c r="J65" s="35">
        <f t="shared" si="7"/>
        <v>20</v>
      </c>
      <c r="K65" s="36">
        <f>H65*I65</f>
        <v>224393.4</v>
      </c>
      <c r="L65" s="32">
        <f t="shared" si="8"/>
        <v>149595.6</v>
      </c>
      <c r="M65" s="31"/>
    </row>
    <row r="66" spans="1:13" ht="18.75" x14ac:dyDescent="0.3">
      <c r="A66" s="18"/>
      <c r="B66" s="34">
        <v>61</v>
      </c>
      <c r="C66" s="31" t="s">
        <v>135</v>
      </c>
      <c r="D66" s="32">
        <v>330000</v>
      </c>
      <c r="E66" s="33">
        <v>43989</v>
      </c>
      <c r="F66" s="32">
        <f t="shared" si="9"/>
        <v>373989</v>
      </c>
      <c r="G66" s="34">
        <v>50</v>
      </c>
      <c r="H66" s="32">
        <v>7479.78</v>
      </c>
      <c r="I66" s="31">
        <v>51</v>
      </c>
      <c r="J66" s="35">
        <f t="shared" si="7"/>
        <v>-1</v>
      </c>
      <c r="K66" s="36">
        <f>H66*I66</f>
        <v>381468.77999999997</v>
      </c>
      <c r="L66" s="32">
        <f t="shared" si="8"/>
        <v>-7479.7799999999697</v>
      </c>
      <c r="M66" s="31"/>
    </row>
    <row r="67" spans="1:13" ht="18.75" x14ac:dyDescent="0.3">
      <c r="A67" s="18"/>
      <c r="B67" s="34">
        <v>62</v>
      </c>
      <c r="C67" s="31" t="s">
        <v>140</v>
      </c>
      <c r="D67" s="32">
        <v>330000</v>
      </c>
      <c r="E67" s="33">
        <v>43989</v>
      </c>
      <c r="F67" s="32">
        <f t="shared" si="9"/>
        <v>373989</v>
      </c>
      <c r="G67" s="34">
        <v>50</v>
      </c>
      <c r="H67" s="36">
        <v>7479.78</v>
      </c>
      <c r="I67" s="31">
        <v>30</v>
      </c>
      <c r="J67" s="35">
        <f t="shared" si="7"/>
        <v>20</v>
      </c>
      <c r="K67" s="36">
        <f>H67*I67</f>
        <v>224393.4</v>
      </c>
      <c r="L67" s="36">
        <f t="shared" si="8"/>
        <v>149595.6</v>
      </c>
      <c r="M67" s="31"/>
    </row>
    <row r="68" spans="1:13" ht="18.75" x14ac:dyDescent="0.3">
      <c r="A68" s="18"/>
      <c r="B68" s="34">
        <v>63</v>
      </c>
      <c r="C68" s="31" t="s">
        <v>175</v>
      </c>
      <c r="D68" s="32">
        <v>330000</v>
      </c>
      <c r="E68" s="33">
        <v>43989</v>
      </c>
      <c r="F68" s="32">
        <f t="shared" si="9"/>
        <v>373989</v>
      </c>
      <c r="G68" s="34">
        <v>50</v>
      </c>
      <c r="H68" s="36">
        <v>7479.78</v>
      </c>
      <c r="I68" s="31">
        <v>25</v>
      </c>
      <c r="J68" s="35">
        <f t="shared" si="7"/>
        <v>25</v>
      </c>
      <c r="K68" s="36">
        <f>H68*I68</f>
        <v>186994.5</v>
      </c>
      <c r="L68" s="36">
        <f t="shared" si="8"/>
        <v>186994.5</v>
      </c>
      <c r="M68" s="31"/>
    </row>
    <row r="69" spans="1:13" ht="18.75" x14ac:dyDescent="0.3">
      <c r="A69" s="18"/>
      <c r="B69" s="34">
        <v>64</v>
      </c>
      <c r="C69" s="50" t="s">
        <v>149</v>
      </c>
      <c r="D69" s="33">
        <v>330000</v>
      </c>
      <c r="E69" s="33">
        <v>43989</v>
      </c>
      <c r="F69" s="32">
        <v>373989</v>
      </c>
      <c r="G69" s="34">
        <v>50</v>
      </c>
      <c r="H69" s="32">
        <v>7478.78</v>
      </c>
      <c r="I69" s="50">
        <v>19</v>
      </c>
      <c r="J69" s="35">
        <f t="shared" si="7"/>
        <v>31</v>
      </c>
      <c r="K69" s="36">
        <f t="shared" ref="K69:K93" si="12">I69*H69</f>
        <v>142096.82</v>
      </c>
      <c r="L69" s="36">
        <f t="shared" si="8"/>
        <v>231892.18</v>
      </c>
      <c r="M69" s="31"/>
    </row>
    <row r="70" spans="1:13" ht="18.75" x14ac:dyDescent="0.3">
      <c r="A70" s="18"/>
      <c r="B70" s="34">
        <v>65</v>
      </c>
      <c r="C70" s="50" t="s">
        <v>150</v>
      </c>
      <c r="D70" s="33">
        <v>330000</v>
      </c>
      <c r="E70" s="33">
        <v>43989</v>
      </c>
      <c r="F70" s="32">
        <f t="shared" ref="F70:F90" si="13">D70+E70</f>
        <v>373989</v>
      </c>
      <c r="G70" s="34">
        <v>50</v>
      </c>
      <c r="H70" s="32">
        <v>7479.78</v>
      </c>
      <c r="I70" s="50">
        <v>19</v>
      </c>
      <c r="J70" s="35">
        <f t="shared" ref="J70:J101" si="14">G70-I70</f>
        <v>31</v>
      </c>
      <c r="K70" s="36">
        <f t="shared" si="12"/>
        <v>142115.82</v>
      </c>
      <c r="L70" s="36">
        <f t="shared" ref="L70:L101" si="15">F70-K70</f>
        <v>231873.18</v>
      </c>
      <c r="M70" s="31"/>
    </row>
    <row r="71" spans="1:13" ht="18.75" x14ac:dyDescent="0.3">
      <c r="A71" s="18"/>
      <c r="B71" s="34">
        <v>66</v>
      </c>
      <c r="C71" s="50" t="s">
        <v>209</v>
      </c>
      <c r="D71" s="33">
        <v>330000</v>
      </c>
      <c r="E71" s="33">
        <v>43989</v>
      </c>
      <c r="F71" s="32">
        <f t="shared" si="13"/>
        <v>373989</v>
      </c>
      <c r="G71" s="34">
        <v>50</v>
      </c>
      <c r="H71" s="32">
        <v>7479.78</v>
      </c>
      <c r="I71" s="50">
        <v>16</v>
      </c>
      <c r="J71" s="35">
        <f t="shared" si="14"/>
        <v>34</v>
      </c>
      <c r="K71" s="36">
        <f t="shared" si="12"/>
        <v>119676.48</v>
      </c>
      <c r="L71" s="36">
        <f t="shared" si="15"/>
        <v>254312.52000000002</v>
      </c>
      <c r="M71" s="31"/>
    </row>
    <row r="72" spans="1:13" ht="18.75" x14ac:dyDescent="0.3">
      <c r="A72" s="18"/>
      <c r="B72" s="34">
        <v>67</v>
      </c>
      <c r="C72" s="50" t="s">
        <v>210</v>
      </c>
      <c r="D72" s="33">
        <v>330000</v>
      </c>
      <c r="E72" s="33">
        <v>43989</v>
      </c>
      <c r="F72" s="32">
        <f t="shared" si="13"/>
        <v>373989</v>
      </c>
      <c r="G72" s="34">
        <v>50</v>
      </c>
      <c r="H72" s="32">
        <v>7479.78</v>
      </c>
      <c r="I72" s="50">
        <v>16</v>
      </c>
      <c r="J72" s="35">
        <f t="shared" si="14"/>
        <v>34</v>
      </c>
      <c r="K72" s="36">
        <f t="shared" si="12"/>
        <v>119676.48</v>
      </c>
      <c r="L72" s="36">
        <f t="shared" si="15"/>
        <v>254312.52000000002</v>
      </c>
      <c r="M72" s="31"/>
    </row>
    <row r="73" spans="1:13" ht="18.75" x14ac:dyDescent="0.3">
      <c r="A73" s="18"/>
      <c r="B73" s="34">
        <v>68</v>
      </c>
      <c r="C73" s="50" t="s">
        <v>211</v>
      </c>
      <c r="D73" s="33">
        <v>330000</v>
      </c>
      <c r="E73" s="33">
        <v>43989</v>
      </c>
      <c r="F73" s="32">
        <f t="shared" si="13"/>
        <v>373989</v>
      </c>
      <c r="G73" s="34">
        <v>50</v>
      </c>
      <c r="H73" s="32">
        <v>7479.78</v>
      </c>
      <c r="I73" s="50">
        <v>16</v>
      </c>
      <c r="J73" s="35">
        <f t="shared" si="14"/>
        <v>34</v>
      </c>
      <c r="K73" s="36">
        <f t="shared" si="12"/>
        <v>119676.48</v>
      </c>
      <c r="L73" s="36">
        <f t="shared" si="15"/>
        <v>254312.52000000002</v>
      </c>
      <c r="M73" s="31"/>
    </row>
    <row r="74" spans="1:13" ht="18.75" x14ac:dyDescent="0.3">
      <c r="A74" s="18"/>
      <c r="B74" s="34">
        <v>69</v>
      </c>
      <c r="C74" s="50" t="s">
        <v>212</v>
      </c>
      <c r="D74" s="33">
        <v>330000</v>
      </c>
      <c r="E74" s="33">
        <v>43989</v>
      </c>
      <c r="F74" s="32">
        <f t="shared" si="13"/>
        <v>373989</v>
      </c>
      <c r="G74" s="34">
        <v>50</v>
      </c>
      <c r="H74" s="32">
        <v>7479.78</v>
      </c>
      <c r="I74" s="50">
        <v>15</v>
      </c>
      <c r="J74" s="35">
        <f t="shared" si="14"/>
        <v>35</v>
      </c>
      <c r="K74" s="36">
        <f t="shared" si="12"/>
        <v>112196.7</v>
      </c>
      <c r="L74" s="36">
        <f t="shared" si="15"/>
        <v>261792.3</v>
      </c>
      <c r="M74" s="31"/>
    </row>
    <row r="75" spans="1:13" ht="18.75" x14ac:dyDescent="0.3">
      <c r="A75" s="18"/>
      <c r="B75" s="34">
        <v>70</v>
      </c>
      <c r="C75" s="50" t="s">
        <v>13</v>
      </c>
      <c r="D75" s="33">
        <v>330000</v>
      </c>
      <c r="E75" s="33">
        <v>43989</v>
      </c>
      <c r="F75" s="32">
        <f t="shared" si="13"/>
        <v>373989</v>
      </c>
      <c r="G75" s="34">
        <v>50</v>
      </c>
      <c r="H75" s="32">
        <v>7479.78</v>
      </c>
      <c r="I75" s="50">
        <v>16</v>
      </c>
      <c r="J75" s="35">
        <f t="shared" si="14"/>
        <v>34</v>
      </c>
      <c r="K75" s="36">
        <f t="shared" si="12"/>
        <v>119676.48</v>
      </c>
      <c r="L75" s="36">
        <f t="shared" si="15"/>
        <v>254312.52000000002</v>
      </c>
      <c r="M75" s="31"/>
    </row>
    <row r="76" spans="1:13" ht="18.75" x14ac:dyDescent="0.3">
      <c r="A76" s="18"/>
      <c r="B76" s="34">
        <v>71</v>
      </c>
      <c r="C76" s="50" t="s">
        <v>19</v>
      </c>
      <c r="D76" s="32">
        <v>330000</v>
      </c>
      <c r="E76" s="33">
        <v>43989</v>
      </c>
      <c r="F76" s="32">
        <f t="shared" si="13"/>
        <v>373989</v>
      </c>
      <c r="G76" s="34">
        <v>50</v>
      </c>
      <c r="H76" s="36">
        <v>7479.74</v>
      </c>
      <c r="I76" s="50">
        <v>14</v>
      </c>
      <c r="J76" s="35">
        <f t="shared" si="14"/>
        <v>36</v>
      </c>
      <c r="K76" s="36">
        <f t="shared" si="12"/>
        <v>104716.36</v>
      </c>
      <c r="L76" s="36">
        <f t="shared" si="15"/>
        <v>269272.64</v>
      </c>
      <c r="M76" s="31"/>
    </row>
    <row r="77" spans="1:13" ht="18.75" x14ac:dyDescent="0.3">
      <c r="A77" s="18"/>
      <c r="B77" s="34">
        <v>72</v>
      </c>
      <c r="C77" s="50" t="s">
        <v>215</v>
      </c>
      <c r="D77" s="32">
        <v>330000</v>
      </c>
      <c r="E77" s="33">
        <v>43989</v>
      </c>
      <c r="F77" s="32">
        <f t="shared" si="13"/>
        <v>373989</v>
      </c>
      <c r="G77" s="34">
        <v>50</v>
      </c>
      <c r="H77" s="36">
        <v>7479.78</v>
      </c>
      <c r="I77" s="50">
        <v>11</v>
      </c>
      <c r="J77" s="35">
        <f t="shared" si="14"/>
        <v>39</v>
      </c>
      <c r="K77" s="36">
        <f t="shared" si="12"/>
        <v>82277.58</v>
      </c>
      <c r="L77" s="36">
        <f t="shared" si="15"/>
        <v>291711.42</v>
      </c>
      <c r="M77" s="31"/>
    </row>
    <row r="78" spans="1:13" ht="18.75" x14ac:dyDescent="0.3">
      <c r="A78" s="18"/>
      <c r="B78" s="34">
        <v>73</v>
      </c>
      <c r="C78" s="50" t="s">
        <v>25</v>
      </c>
      <c r="D78" s="32">
        <v>330000</v>
      </c>
      <c r="E78" s="33">
        <v>43989</v>
      </c>
      <c r="F78" s="32">
        <f t="shared" si="13"/>
        <v>373989</v>
      </c>
      <c r="G78" s="34">
        <v>50</v>
      </c>
      <c r="H78" s="36">
        <v>7479.78</v>
      </c>
      <c r="I78" s="50">
        <v>9</v>
      </c>
      <c r="J78" s="35">
        <f t="shared" si="14"/>
        <v>41</v>
      </c>
      <c r="K78" s="36">
        <f t="shared" si="12"/>
        <v>67318.02</v>
      </c>
      <c r="L78" s="36">
        <f t="shared" si="15"/>
        <v>306670.98</v>
      </c>
      <c r="M78" s="31"/>
    </row>
    <row r="79" spans="1:13" ht="18.75" x14ac:dyDescent="0.3">
      <c r="A79" s="18"/>
      <c r="B79" s="34">
        <v>74</v>
      </c>
      <c r="C79" s="50" t="s">
        <v>26</v>
      </c>
      <c r="D79" s="32">
        <v>330000</v>
      </c>
      <c r="E79" s="33">
        <v>43989</v>
      </c>
      <c r="F79" s="32">
        <f t="shared" si="13"/>
        <v>373989</v>
      </c>
      <c r="G79" s="34">
        <v>50</v>
      </c>
      <c r="H79" s="36">
        <v>7479.78</v>
      </c>
      <c r="I79" s="50">
        <v>9</v>
      </c>
      <c r="J79" s="35">
        <f t="shared" si="14"/>
        <v>41</v>
      </c>
      <c r="K79" s="36">
        <f t="shared" si="12"/>
        <v>67318.02</v>
      </c>
      <c r="L79" s="36">
        <f t="shared" si="15"/>
        <v>306670.98</v>
      </c>
      <c r="M79" s="31"/>
    </row>
    <row r="80" spans="1:13" ht="18.75" x14ac:dyDescent="0.3">
      <c r="A80" s="18"/>
      <c r="B80" s="34">
        <v>75</v>
      </c>
      <c r="C80" s="50" t="s">
        <v>30</v>
      </c>
      <c r="D80" s="32">
        <v>330000</v>
      </c>
      <c r="E80" s="33">
        <v>43989</v>
      </c>
      <c r="F80" s="32">
        <f t="shared" si="13"/>
        <v>373989</v>
      </c>
      <c r="G80" s="34">
        <v>50</v>
      </c>
      <c r="H80" s="36">
        <v>7479.78</v>
      </c>
      <c r="I80" s="50">
        <v>8</v>
      </c>
      <c r="J80" s="35">
        <f t="shared" si="14"/>
        <v>42</v>
      </c>
      <c r="K80" s="36">
        <f t="shared" si="12"/>
        <v>59838.239999999998</v>
      </c>
      <c r="L80" s="36">
        <f t="shared" si="15"/>
        <v>314150.76</v>
      </c>
      <c r="M80" s="31"/>
    </row>
    <row r="81" spans="1:13" ht="18.75" x14ac:dyDescent="0.3">
      <c r="A81" s="18"/>
      <c r="B81" s="34">
        <v>76</v>
      </c>
      <c r="C81" s="29" t="s">
        <v>36</v>
      </c>
      <c r="D81" s="32">
        <v>330000</v>
      </c>
      <c r="E81" s="33">
        <v>43989</v>
      </c>
      <c r="F81" s="32">
        <f t="shared" si="13"/>
        <v>373989</v>
      </c>
      <c r="G81" s="34">
        <v>50</v>
      </c>
      <c r="H81" s="36">
        <v>7479.78</v>
      </c>
      <c r="I81" s="50">
        <v>8</v>
      </c>
      <c r="J81" s="35">
        <f t="shared" si="14"/>
        <v>42</v>
      </c>
      <c r="K81" s="36">
        <f t="shared" si="12"/>
        <v>59838.239999999998</v>
      </c>
      <c r="L81" s="36">
        <f t="shared" si="15"/>
        <v>314150.76</v>
      </c>
      <c r="M81" s="31"/>
    </row>
    <row r="82" spans="1:13" ht="18.75" x14ac:dyDescent="0.3">
      <c r="A82" s="18"/>
      <c r="B82" s="34">
        <v>77</v>
      </c>
      <c r="C82" s="29" t="s">
        <v>37</v>
      </c>
      <c r="D82" s="32">
        <v>330000</v>
      </c>
      <c r="E82" s="33">
        <v>43989</v>
      </c>
      <c r="F82" s="32">
        <f t="shared" si="13"/>
        <v>373989</v>
      </c>
      <c r="G82" s="34">
        <v>50</v>
      </c>
      <c r="H82" s="36">
        <v>7479.78</v>
      </c>
      <c r="I82" s="50">
        <v>9</v>
      </c>
      <c r="J82" s="35">
        <f t="shared" si="14"/>
        <v>41</v>
      </c>
      <c r="K82" s="36">
        <f t="shared" si="12"/>
        <v>67318.02</v>
      </c>
      <c r="L82" s="36">
        <f t="shared" si="15"/>
        <v>306670.98</v>
      </c>
      <c r="M82" s="31"/>
    </row>
    <row r="83" spans="1:13" ht="18.75" x14ac:dyDescent="0.3">
      <c r="A83" s="18"/>
      <c r="B83" s="34">
        <v>78</v>
      </c>
      <c r="C83" s="29" t="s">
        <v>40</v>
      </c>
      <c r="D83" s="32">
        <v>330000</v>
      </c>
      <c r="E83" s="33">
        <v>43989</v>
      </c>
      <c r="F83" s="32">
        <f t="shared" si="13"/>
        <v>373989</v>
      </c>
      <c r="G83" s="34">
        <v>50</v>
      </c>
      <c r="H83" s="36">
        <v>7479.78</v>
      </c>
      <c r="I83" s="50">
        <v>31</v>
      </c>
      <c r="J83" s="35">
        <f t="shared" si="14"/>
        <v>19</v>
      </c>
      <c r="K83" s="36">
        <f t="shared" si="12"/>
        <v>231873.18</v>
      </c>
      <c r="L83" s="36">
        <f t="shared" si="15"/>
        <v>142115.82</v>
      </c>
      <c r="M83" s="31"/>
    </row>
    <row r="84" spans="1:13" ht="18.75" x14ac:dyDescent="0.3">
      <c r="A84" s="18"/>
      <c r="B84" s="34">
        <v>79</v>
      </c>
      <c r="C84" s="29" t="s">
        <v>173</v>
      </c>
      <c r="D84" s="32">
        <v>330000</v>
      </c>
      <c r="E84" s="33">
        <v>43989</v>
      </c>
      <c r="F84" s="32">
        <f t="shared" si="13"/>
        <v>373989</v>
      </c>
      <c r="G84" s="34">
        <v>50</v>
      </c>
      <c r="H84" s="32">
        <v>7479.78</v>
      </c>
      <c r="I84" s="50">
        <v>20</v>
      </c>
      <c r="J84" s="35">
        <f t="shared" si="14"/>
        <v>30</v>
      </c>
      <c r="K84" s="36">
        <f t="shared" si="12"/>
        <v>149595.6</v>
      </c>
      <c r="L84" s="36">
        <f t="shared" si="15"/>
        <v>224393.4</v>
      </c>
      <c r="M84" s="31"/>
    </row>
    <row r="85" spans="1:13" ht="18.75" x14ac:dyDescent="0.3">
      <c r="A85" s="18"/>
      <c r="B85" s="34">
        <v>80</v>
      </c>
      <c r="C85" s="29" t="s">
        <v>49</v>
      </c>
      <c r="D85" s="32">
        <v>330000</v>
      </c>
      <c r="E85" s="33">
        <v>43989</v>
      </c>
      <c r="F85" s="32">
        <f t="shared" si="13"/>
        <v>373989</v>
      </c>
      <c r="G85" s="34">
        <v>50</v>
      </c>
      <c r="H85" s="32">
        <v>7479.78</v>
      </c>
      <c r="I85" s="50">
        <v>6</v>
      </c>
      <c r="J85" s="35">
        <f t="shared" si="14"/>
        <v>44</v>
      </c>
      <c r="K85" s="36">
        <f t="shared" si="12"/>
        <v>44878.68</v>
      </c>
      <c r="L85" s="36">
        <f t="shared" si="15"/>
        <v>329110.32</v>
      </c>
      <c r="M85" s="31"/>
    </row>
    <row r="86" spans="1:13" ht="18.75" x14ac:dyDescent="0.3">
      <c r="A86" s="18"/>
      <c r="B86" s="34">
        <v>81</v>
      </c>
      <c r="C86" s="29" t="s">
        <v>50</v>
      </c>
      <c r="D86" s="32">
        <v>330000</v>
      </c>
      <c r="E86" s="33">
        <v>43989</v>
      </c>
      <c r="F86" s="32">
        <f t="shared" si="13"/>
        <v>373989</v>
      </c>
      <c r="G86" s="34">
        <v>50</v>
      </c>
      <c r="H86" s="32">
        <v>7479.78</v>
      </c>
      <c r="I86" s="50">
        <v>6</v>
      </c>
      <c r="J86" s="35">
        <f t="shared" si="14"/>
        <v>44</v>
      </c>
      <c r="K86" s="36">
        <f t="shared" si="12"/>
        <v>44878.68</v>
      </c>
      <c r="L86" s="36">
        <f t="shared" si="15"/>
        <v>329110.32</v>
      </c>
      <c r="M86" s="31"/>
    </row>
    <row r="87" spans="1:13" ht="18.75" x14ac:dyDescent="0.3">
      <c r="A87" s="18"/>
      <c r="B87" s="34">
        <v>82</v>
      </c>
      <c r="C87" s="29" t="s">
        <v>70</v>
      </c>
      <c r="D87" s="32">
        <v>330000</v>
      </c>
      <c r="E87" s="33">
        <v>43989</v>
      </c>
      <c r="F87" s="32">
        <f t="shared" si="13"/>
        <v>373989</v>
      </c>
      <c r="G87" s="34">
        <v>50</v>
      </c>
      <c r="H87" s="32">
        <v>7479.78</v>
      </c>
      <c r="I87" s="50">
        <v>4</v>
      </c>
      <c r="J87" s="35">
        <f t="shared" si="14"/>
        <v>46</v>
      </c>
      <c r="K87" s="36">
        <f t="shared" si="12"/>
        <v>29919.119999999999</v>
      </c>
      <c r="L87" s="36">
        <f t="shared" si="15"/>
        <v>344069.88</v>
      </c>
      <c r="M87" s="31"/>
    </row>
    <row r="88" spans="1:13" ht="18.75" x14ac:dyDescent="0.3">
      <c r="A88" s="18"/>
      <c r="B88" s="34">
        <v>83</v>
      </c>
      <c r="C88" s="29" t="s">
        <v>69</v>
      </c>
      <c r="D88" s="32">
        <v>330000</v>
      </c>
      <c r="E88" s="33">
        <v>43989</v>
      </c>
      <c r="F88" s="32">
        <f t="shared" si="13"/>
        <v>373989</v>
      </c>
      <c r="G88" s="34">
        <v>50</v>
      </c>
      <c r="H88" s="32">
        <v>7479.78</v>
      </c>
      <c r="I88" s="50">
        <v>4</v>
      </c>
      <c r="J88" s="35">
        <f t="shared" si="14"/>
        <v>46</v>
      </c>
      <c r="K88" s="36">
        <f t="shared" si="12"/>
        <v>29919.119999999999</v>
      </c>
      <c r="L88" s="36">
        <f t="shared" si="15"/>
        <v>344069.88</v>
      </c>
      <c r="M88" s="31"/>
    </row>
    <row r="89" spans="1:13" ht="18.75" x14ac:dyDescent="0.3">
      <c r="A89" s="18"/>
      <c r="B89" s="34">
        <v>84</v>
      </c>
      <c r="C89" s="29" t="s">
        <v>62</v>
      </c>
      <c r="D89" s="32">
        <v>330000</v>
      </c>
      <c r="E89" s="33">
        <v>43989</v>
      </c>
      <c r="F89" s="32">
        <f t="shared" si="13"/>
        <v>373989</v>
      </c>
      <c r="G89" s="34">
        <v>50</v>
      </c>
      <c r="H89" s="32">
        <v>7479.78</v>
      </c>
      <c r="I89" s="50">
        <v>4</v>
      </c>
      <c r="J89" s="35">
        <f t="shared" si="14"/>
        <v>46</v>
      </c>
      <c r="K89" s="36">
        <f t="shared" si="12"/>
        <v>29919.119999999999</v>
      </c>
      <c r="L89" s="36">
        <f t="shared" si="15"/>
        <v>344069.88</v>
      </c>
      <c r="M89" s="31"/>
    </row>
    <row r="90" spans="1:13" ht="18.75" x14ac:dyDescent="0.3">
      <c r="A90" s="18"/>
      <c r="B90" s="34">
        <v>85</v>
      </c>
      <c r="C90" s="29" t="s">
        <v>64</v>
      </c>
      <c r="D90" s="32">
        <v>330000</v>
      </c>
      <c r="E90" s="33">
        <v>43989</v>
      </c>
      <c r="F90" s="32">
        <f t="shared" si="13"/>
        <v>373989</v>
      </c>
      <c r="G90" s="34">
        <v>50</v>
      </c>
      <c r="H90" s="32">
        <v>7479.78</v>
      </c>
      <c r="I90" s="50">
        <v>4</v>
      </c>
      <c r="J90" s="35">
        <f t="shared" si="14"/>
        <v>46</v>
      </c>
      <c r="K90" s="36">
        <f t="shared" si="12"/>
        <v>29919.119999999999</v>
      </c>
      <c r="L90" s="36">
        <f t="shared" si="15"/>
        <v>344069.88</v>
      </c>
      <c r="M90" s="31"/>
    </row>
    <row r="91" spans="1:13" ht="18.75" x14ac:dyDescent="0.3">
      <c r="A91" s="18"/>
      <c r="B91" s="34">
        <v>86</v>
      </c>
      <c r="C91" s="29" t="s">
        <v>257</v>
      </c>
      <c r="D91" s="32">
        <v>330000</v>
      </c>
      <c r="E91" s="33">
        <v>43989</v>
      </c>
      <c r="F91" s="32">
        <f t="shared" ref="F91:F92" si="16">D91+E91</f>
        <v>373989</v>
      </c>
      <c r="G91" s="34">
        <v>50</v>
      </c>
      <c r="H91" s="32">
        <v>7479.78</v>
      </c>
      <c r="I91" s="50">
        <v>1</v>
      </c>
      <c r="J91" s="35">
        <f t="shared" si="14"/>
        <v>49</v>
      </c>
      <c r="K91" s="36">
        <f t="shared" si="12"/>
        <v>7479.78</v>
      </c>
      <c r="L91" s="36">
        <f t="shared" si="15"/>
        <v>366509.22</v>
      </c>
      <c r="M91" s="31" t="s">
        <v>255</v>
      </c>
    </row>
    <row r="92" spans="1:13" ht="18.75" x14ac:dyDescent="0.3">
      <c r="A92" s="18"/>
      <c r="B92" s="34">
        <v>87</v>
      </c>
      <c r="C92" s="29" t="s">
        <v>256</v>
      </c>
      <c r="D92" s="32">
        <v>330000</v>
      </c>
      <c r="E92" s="33">
        <v>43989</v>
      </c>
      <c r="F92" s="32">
        <f t="shared" si="16"/>
        <v>373989</v>
      </c>
      <c r="G92" s="34">
        <v>50</v>
      </c>
      <c r="H92" s="32">
        <v>7479.78</v>
      </c>
      <c r="I92" s="50">
        <v>1</v>
      </c>
      <c r="J92" s="35">
        <f t="shared" si="14"/>
        <v>49</v>
      </c>
      <c r="K92" s="36">
        <f t="shared" si="12"/>
        <v>7479.78</v>
      </c>
      <c r="L92" s="36">
        <f t="shared" si="15"/>
        <v>366509.22</v>
      </c>
      <c r="M92" s="31" t="s">
        <v>255</v>
      </c>
    </row>
    <row r="93" spans="1:13" ht="18.75" x14ac:dyDescent="0.3">
      <c r="A93" s="18"/>
      <c r="B93" s="34">
        <v>88</v>
      </c>
      <c r="C93" s="29" t="s">
        <v>174</v>
      </c>
      <c r="D93" s="33">
        <v>200000</v>
      </c>
      <c r="E93" s="33">
        <v>26660</v>
      </c>
      <c r="F93" s="32">
        <f t="shared" ref="F93:F124" si="17">D93+E93</f>
        <v>226660</v>
      </c>
      <c r="G93" s="34">
        <v>40</v>
      </c>
      <c r="H93" s="32">
        <v>5666.5</v>
      </c>
      <c r="I93" s="50">
        <v>40</v>
      </c>
      <c r="J93" s="35">
        <f t="shared" si="14"/>
        <v>0</v>
      </c>
      <c r="K93" s="36">
        <f t="shared" si="12"/>
        <v>226660</v>
      </c>
      <c r="L93" s="36">
        <f t="shared" si="15"/>
        <v>0</v>
      </c>
      <c r="M93" s="31"/>
    </row>
    <row r="94" spans="1:13" ht="18.75" x14ac:dyDescent="0.3">
      <c r="A94" s="18"/>
      <c r="B94" s="34">
        <v>89</v>
      </c>
      <c r="C94" s="31" t="s">
        <v>73</v>
      </c>
      <c r="D94" s="33">
        <v>150000</v>
      </c>
      <c r="E94" s="33">
        <v>19995</v>
      </c>
      <c r="F94" s="32">
        <f t="shared" si="17"/>
        <v>169995</v>
      </c>
      <c r="G94" s="34">
        <v>50</v>
      </c>
      <c r="H94" s="32">
        <v>3399.9</v>
      </c>
      <c r="I94" s="52">
        <v>30</v>
      </c>
      <c r="J94" s="35">
        <f t="shared" si="14"/>
        <v>20</v>
      </c>
      <c r="K94" s="32">
        <f t="shared" ref="K94:K118" si="18">H94*I94</f>
        <v>101997</v>
      </c>
      <c r="L94" s="33">
        <f t="shared" si="15"/>
        <v>67998</v>
      </c>
      <c r="M94" s="31"/>
    </row>
    <row r="95" spans="1:13" ht="18.75" x14ac:dyDescent="0.3">
      <c r="A95" s="18"/>
      <c r="B95" s="34">
        <v>90</v>
      </c>
      <c r="C95" s="31" t="s">
        <v>76</v>
      </c>
      <c r="D95" s="33">
        <v>150000</v>
      </c>
      <c r="E95" s="33">
        <v>19995</v>
      </c>
      <c r="F95" s="32">
        <f t="shared" si="17"/>
        <v>169995</v>
      </c>
      <c r="G95" s="34">
        <v>50</v>
      </c>
      <c r="H95" s="32">
        <v>3399.9</v>
      </c>
      <c r="I95" s="52">
        <v>30</v>
      </c>
      <c r="J95" s="35">
        <f t="shared" si="14"/>
        <v>20</v>
      </c>
      <c r="K95" s="32">
        <f t="shared" si="18"/>
        <v>101997</v>
      </c>
      <c r="L95" s="32">
        <f t="shared" si="15"/>
        <v>67998</v>
      </c>
      <c r="M95" s="31"/>
    </row>
    <row r="96" spans="1:13" ht="18.75" x14ac:dyDescent="0.3">
      <c r="A96" s="18"/>
      <c r="B96" s="34">
        <v>91</v>
      </c>
      <c r="C96" s="31" t="s">
        <v>190</v>
      </c>
      <c r="D96" s="33">
        <v>150000</v>
      </c>
      <c r="E96" s="33">
        <v>19995</v>
      </c>
      <c r="F96" s="32">
        <f t="shared" si="17"/>
        <v>169995</v>
      </c>
      <c r="G96" s="34">
        <v>50</v>
      </c>
      <c r="H96" s="32">
        <v>3399.9</v>
      </c>
      <c r="I96" s="52">
        <v>45</v>
      </c>
      <c r="J96" s="35">
        <f t="shared" si="14"/>
        <v>5</v>
      </c>
      <c r="K96" s="32">
        <f t="shared" si="18"/>
        <v>152995.5</v>
      </c>
      <c r="L96" s="33">
        <f t="shared" si="15"/>
        <v>16999.5</v>
      </c>
      <c r="M96" s="31"/>
    </row>
    <row r="97" spans="1:13" ht="18.75" x14ac:dyDescent="0.3">
      <c r="A97" s="18"/>
      <c r="B97" s="34">
        <v>92</v>
      </c>
      <c r="C97" s="31" t="s">
        <v>81</v>
      </c>
      <c r="D97" s="33">
        <v>150000</v>
      </c>
      <c r="E97" s="33">
        <v>19995</v>
      </c>
      <c r="F97" s="32">
        <f t="shared" si="17"/>
        <v>169995</v>
      </c>
      <c r="G97" s="34">
        <v>50</v>
      </c>
      <c r="H97" s="32">
        <v>3399.9</v>
      </c>
      <c r="I97" s="31">
        <v>30</v>
      </c>
      <c r="J97" s="35">
        <f t="shared" si="14"/>
        <v>20</v>
      </c>
      <c r="K97" s="36">
        <f t="shared" si="18"/>
        <v>101997</v>
      </c>
      <c r="L97" s="32">
        <f t="shared" si="15"/>
        <v>67998</v>
      </c>
      <c r="M97" s="31"/>
    </row>
    <row r="98" spans="1:13" ht="18.75" x14ac:dyDescent="0.3">
      <c r="A98" s="18"/>
      <c r="B98" s="34">
        <v>93</v>
      </c>
      <c r="C98" s="31" t="s">
        <v>84</v>
      </c>
      <c r="D98" s="33">
        <v>150000</v>
      </c>
      <c r="E98" s="33">
        <v>19995</v>
      </c>
      <c r="F98" s="32">
        <f t="shared" si="17"/>
        <v>169995</v>
      </c>
      <c r="G98" s="34">
        <v>50</v>
      </c>
      <c r="H98" s="32">
        <v>3399.9</v>
      </c>
      <c r="I98" s="31">
        <v>30</v>
      </c>
      <c r="J98" s="35">
        <f t="shared" si="14"/>
        <v>20</v>
      </c>
      <c r="K98" s="36">
        <f t="shared" si="18"/>
        <v>101997</v>
      </c>
      <c r="L98" s="32">
        <f t="shared" si="15"/>
        <v>67998</v>
      </c>
      <c r="M98" s="31"/>
    </row>
    <row r="99" spans="1:13" ht="18.75" x14ac:dyDescent="0.3">
      <c r="A99" s="18"/>
      <c r="B99" s="34">
        <v>94</v>
      </c>
      <c r="C99" s="31" t="s">
        <v>86</v>
      </c>
      <c r="D99" s="33">
        <v>150000</v>
      </c>
      <c r="E99" s="33">
        <v>19995</v>
      </c>
      <c r="F99" s="32">
        <f t="shared" si="17"/>
        <v>169995</v>
      </c>
      <c r="G99" s="34">
        <v>50</v>
      </c>
      <c r="H99" s="32">
        <v>3399.9</v>
      </c>
      <c r="I99" s="31">
        <v>45</v>
      </c>
      <c r="J99" s="35">
        <f t="shared" si="14"/>
        <v>5</v>
      </c>
      <c r="K99" s="36">
        <f t="shared" si="18"/>
        <v>152995.5</v>
      </c>
      <c r="L99" s="32">
        <f t="shared" si="15"/>
        <v>16999.5</v>
      </c>
      <c r="M99" s="31"/>
    </row>
    <row r="100" spans="1:13" ht="18.75" x14ac:dyDescent="0.3">
      <c r="A100" s="18"/>
      <c r="B100" s="34">
        <v>95</v>
      </c>
      <c r="C100" s="31" t="s">
        <v>87</v>
      </c>
      <c r="D100" s="33">
        <v>150000</v>
      </c>
      <c r="E100" s="33">
        <v>19995</v>
      </c>
      <c r="F100" s="32">
        <f t="shared" si="17"/>
        <v>169995</v>
      </c>
      <c r="G100" s="34">
        <v>50</v>
      </c>
      <c r="H100" s="32">
        <v>3399.9</v>
      </c>
      <c r="I100" s="31">
        <v>45</v>
      </c>
      <c r="J100" s="35">
        <f t="shared" si="14"/>
        <v>5</v>
      </c>
      <c r="K100" s="36">
        <f t="shared" si="18"/>
        <v>152995.5</v>
      </c>
      <c r="L100" s="32">
        <f t="shared" si="15"/>
        <v>16999.5</v>
      </c>
      <c r="M100" s="31"/>
    </row>
    <row r="101" spans="1:13" ht="18.75" x14ac:dyDescent="0.3">
      <c r="A101" s="18"/>
      <c r="B101" s="34">
        <v>96</v>
      </c>
      <c r="C101" s="31" t="s">
        <v>89</v>
      </c>
      <c r="D101" s="33">
        <v>150000</v>
      </c>
      <c r="E101" s="33">
        <v>19995</v>
      </c>
      <c r="F101" s="32">
        <f t="shared" si="17"/>
        <v>169995</v>
      </c>
      <c r="G101" s="34">
        <v>50</v>
      </c>
      <c r="H101" s="32">
        <v>3399.9</v>
      </c>
      <c r="I101" s="31">
        <v>30</v>
      </c>
      <c r="J101" s="35">
        <f t="shared" si="14"/>
        <v>20</v>
      </c>
      <c r="K101" s="36">
        <f t="shared" si="18"/>
        <v>101997</v>
      </c>
      <c r="L101" s="32">
        <f t="shared" si="15"/>
        <v>67998</v>
      </c>
      <c r="M101" s="31"/>
    </row>
    <row r="102" spans="1:13" ht="18.75" x14ac:dyDescent="0.3">
      <c r="A102" s="18"/>
      <c r="B102" s="34">
        <v>97</v>
      </c>
      <c r="C102" s="31" t="s">
        <v>91</v>
      </c>
      <c r="D102" s="33">
        <v>150000</v>
      </c>
      <c r="E102" s="33">
        <v>19995</v>
      </c>
      <c r="F102" s="32">
        <f t="shared" si="17"/>
        <v>169995</v>
      </c>
      <c r="G102" s="34">
        <v>50</v>
      </c>
      <c r="H102" s="32">
        <v>3399.9</v>
      </c>
      <c r="I102" s="31">
        <v>45</v>
      </c>
      <c r="J102" s="35">
        <f t="shared" ref="J102:J133" si="19">G102-I102</f>
        <v>5</v>
      </c>
      <c r="K102" s="36">
        <f t="shared" si="18"/>
        <v>152995.5</v>
      </c>
      <c r="L102" s="32">
        <f t="shared" ref="L102:L133" si="20">F102-K102</f>
        <v>16999.5</v>
      </c>
      <c r="M102" s="31"/>
    </row>
    <row r="103" spans="1:13" ht="18.75" x14ac:dyDescent="0.3">
      <c r="A103" s="18"/>
      <c r="B103" s="34">
        <v>98</v>
      </c>
      <c r="C103" s="31" t="s">
        <v>94</v>
      </c>
      <c r="D103" s="33">
        <v>150000</v>
      </c>
      <c r="E103" s="33">
        <v>19995</v>
      </c>
      <c r="F103" s="32">
        <f t="shared" si="17"/>
        <v>169995</v>
      </c>
      <c r="G103" s="34">
        <v>50</v>
      </c>
      <c r="H103" s="32">
        <v>3399.9</v>
      </c>
      <c r="I103" s="31">
        <v>30</v>
      </c>
      <c r="J103" s="35">
        <f t="shared" si="19"/>
        <v>20</v>
      </c>
      <c r="K103" s="36">
        <f t="shared" si="18"/>
        <v>101997</v>
      </c>
      <c r="L103" s="32">
        <f t="shared" si="20"/>
        <v>67998</v>
      </c>
      <c r="M103" s="31"/>
    </row>
    <row r="104" spans="1:13" ht="18.75" x14ac:dyDescent="0.3">
      <c r="A104" s="18"/>
      <c r="B104" s="34">
        <v>99</v>
      </c>
      <c r="C104" s="31" t="s">
        <v>224</v>
      </c>
      <c r="D104" s="33">
        <v>150000</v>
      </c>
      <c r="E104" s="33">
        <v>19995</v>
      </c>
      <c r="F104" s="32">
        <f t="shared" si="17"/>
        <v>169995</v>
      </c>
      <c r="G104" s="34">
        <v>50</v>
      </c>
      <c r="H104" s="32">
        <v>3399.9</v>
      </c>
      <c r="I104" s="31">
        <v>45</v>
      </c>
      <c r="J104" s="35">
        <f t="shared" si="19"/>
        <v>5</v>
      </c>
      <c r="K104" s="36">
        <f t="shared" si="18"/>
        <v>152995.5</v>
      </c>
      <c r="L104" s="32">
        <f t="shared" si="20"/>
        <v>16999.5</v>
      </c>
      <c r="M104" s="31"/>
    </row>
    <row r="105" spans="1:13" ht="18.75" x14ac:dyDescent="0.3">
      <c r="A105" s="18"/>
      <c r="B105" s="34">
        <v>100</v>
      </c>
      <c r="C105" s="31" t="s">
        <v>193</v>
      </c>
      <c r="D105" s="33">
        <v>150000</v>
      </c>
      <c r="E105" s="33">
        <v>19995</v>
      </c>
      <c r="F105" s="32">
        <f t="shared" si="17"/>
        <v>169995</v>
      </c>
      <c r="G105" s="34">
        <v>50</v>
      </c>
      <c r="H105" s="32">
        <v>3399.9</v>
      </c>
      <c r="I105" s="31">
        <v>30</v>
      </c>
      <c r="J105" s="35">
        <f t="shared" si="19"/>
        <v>20</v>
      </c>
      <c r="K105" s="36">
        <f t="shared" si="18"/>
        <v>101997</v>
      </c>
      <c r="L105" s="32">
        <f t="shared" si="20"/>
        <v>67998</v>
      </c>
      <c r="M105" s="31"/>
    </row>
    <row r="106" spans="1:13" ht="18.75" x14ac:dyDescent="0.3">
      <c r="A106" s="18"/>
      <c r="B106" s="34">
        <v>101</v>
      </c>
      <c r="C106" s="31" t="s">
        <v>101</v>
      </c>
      <c r="D106" s="33">
        <v>150000</v>
      </c>
      <c r="E106" s="33">
        <v>19995</v>
      </c>
      <c r="F106" s="32">
        <f t="shared" si="17"/>
        <v>169995</v>
      </c>
      <c r="G106" s="34">
        <v>50</v>
      </c>
      <c r="H106" s="32">
        <v>3399.9</v>
      </c>
      <c r="I106" s="31">
        <v>28</v>
      </c>
      <c r="J106" s="35">
        <f t="shared" si="19"/>
        <v>22</v>
      </c>
      <c r="K106" s="36">
        <f t="shared" si="18"/>
        <v>95197.2</v>
      </c>
      <c r="L106" s="32">
        <f t="shared" si="20"/>
        <v>74797.8</v>
      </c>
      <c r="M106" s="31"/>
    </row>
    <row r="107" spans="1:13" ht="18.75" x14ac:dyDescent="0.3">
      <c r="A107" s="18"/>
      <c r="B107" s="34">
        <v>102</v>
      </c>
      <c r="C107" s="31" t="s">
        <v>102</v>
      </c>
      <c r="D107" s="33">
        <v>150000</v>
      </c>
      <c r="E107" s="33">
        <v>19995</v>
      </c>
      <c r="F107" s="32">
        <f t="shared" si="17"/>
        <v>169995</v>
      </c>
      <c r="G107" s="34">
        <v>50</v>
      </c>
      <c r="H107" s="32">
        <v>3399.9</v>
      </c>
      <c r="I107" s="31">
        <v>30</v>
      </c>
      <c r="J107" s="35">
        <f t="shared" si="19"/>
        <v>20</v>
      </c>
      <c r="K107" s="36">
        <f t="shared" si="18"/>
        <v>101997</v>
      </c>
      <c r="L107" s="32">
        <f t="shared" si="20"/>
        <v>67998</v>
      </c>
      <c r="M107" s="31"/>
    </row>
    <row r="108" spans="1:13" ht="18.75" x14ac:dyDescent="0.3">
      <c r="A108" s="18"/>
      <c r="B108" s="34">
        <v>103</v>
      </c>
      <c r="C108" s="31" t="s">
        <v>104</v>
      </c>
      <c r="D108" s="33">
        <v>150000</v>
      </c>
      <c r="E108" s="33">
        <v>19995</v>
      </c>
      <c r="F108" s="32">
        <f t="shared" si="17"/>
        <v>169995</v>
      </c>
      <c r="G108" s="34">
        <v>50</v>
      </c>
      <c r="H108" s="32">
        <v>3399.9</v>
      </c>
      <c r="I108" s="31">
        <v>45</v>
      </c>
      <c r="J108" s="35">
        <f t="shared" si="19"/>
        <v>5</v>
      </c>
      <c r="K108" s="36">
        <f t="shared" si="18"/>
        <v>152995.5</v>
      </c>
      <c r="L108" s="32">
        <f t="shared" si="20"/>
        <v>16999.5</v>
      </c>
      <c r="M108" s="31"/>
    </row>
    <row r="109" spans="1:13" ht="18.75" x14ac:dyDescent="0.3">
      <c r="A109" s="18"/>
      <c r="B109" s="34">
        <v>104</v>
      </c>
      <c r="C109" s="31" t="s">
        <v>110</v>
      </c>
      <c r="D109" s="33">
        <v>150000</v>
      </c>
      <c r="E109" s="33">
        <v>19995</v>
      </c>
      <c r="F109" s="32">
        <f t="shared" si="17"/>
        <v>169995</v>
      </c>
      <c r="G109" s="34">
        <v>50</v>
      </c>
      <c r="H109" s="32">
        <v>3399.9</v>
      </c>
      <c r="I109" s="31">
        <v>30</v>
      </c>
      <c r="J109" s="35">
        <f t="shared" si="19"/>
        <v>20</v>
      </c>
      <c r="K109" s="36">
        <f t="shared" si="18"/>
        <v>101997</v>
      </c>
      <c r="L109" s="32">
        <f t="shared" si="20"/>
        <v>67998</v>
      </c>
      <c r="M109" s="31"/>
    </row>
    <row r="110" spans="1:13" ht="18.75" x14ac:dyDescent="0.3">
      <c r="A110" s="18"/>
      <c r="B110" s="34">
        <v>105</v>
      </c>
      <c r="C110" s="31" t="s">
        <v>225</v>
      </c>
      <c r="D110" s="33">
        <v>150000</v>
      </c>
      <c r="E110" s="33">
        <v>19995</v>
      </c>
      <c r="F110" s="32">
        <f t="shared" si="17"/>
        <v>169995</v>
      </c>
      <c r="G110" s="34">
        <v>50</v>
      </c>
      <c r="H110" s="32">
        <v>3399.9</v>
      </c>
      <c r="I110" s="31">
        <v>45</v>
      </c>
      <c r="J110" s="35">
        <f t="shared" si="19"/>
        <v>5</v>
      </c>
      <c r="K110" s="36">
        <f t="shared" si="18"/>
        <v>152995.5</v>
      </c>
      <c r="L110" s="32">
        <f t="shared" si="20"/>
        <v>16999.5</v>
      </c>
      <c r="M110" s="31"/>
    </row>
    <row r="111" spans="1:13" ht="18.75" x14ac:dyDescent="0.3">
      <c r="A111" s="18"/>
      <c r="B111" s="34">
        <v>106</v>
      </c>
      <c r="C111" s="31" t="s">
        <v>113</v>
      </c>
      <c r="D111" s="33">
        <v>150000</v>
      </c>
      <c r="E111" s="33">
        <v>19995</v>
      </c>
      <c r="F111" s="32">
        <f t="shared" si="17"/>
        <v>169995</v>
      </c>
      <c r="G111" s="34">
        <v>50</v>
      </c>
      <c r="H111" s="32">
        <v>3399.9</v>
      </c>
      <c r="I111" s="31">
        <v>45</v>
      </c>
      <c r="J111" s="35">
        <f t="shared" si="19"/>
        <v>5</v>
      </c>
      <c r="K111" s="36">
        <f t="shared" si="18"/>
        <v>152995.5</v>
      </c>
      <c r="L111" s="32">
        <f t="shared" si="20"/>
        <v>16999.5</v>
      </c>
      <c r="M111" s="31"/>
    </row>
    <row r="112" spans="1:13" ht="18.75" x14ac:dyDescent="0.3">
      <c r="A112" s="18"/>
      <c r="B112" s="34">
        <v>107</v>
      </c>
      <c r="C112" s="31" t="s">
        <v>114</v>
      </c>
      <c r="D112" s="33">
        <v>150000</v>
      </c>
      <c r="E112" s="33">
        <v>19995</v>
      </c>
      <c r="F112" s="32">
        <f t="shared" si="17"/>
        <v>169995</v>
      </c>
      <c r="G112" s="34">
        <v>50</v>
      </c>
      <c r="H112" s="32">
        <v>3399.9</v>
      </c>
      <c r="I112" s="31">
        <v>30</v>
      </c>
      <c r="J112" s="35">
        <f t="shared" si="19"/>
        <v>20</v>
      </c>
      <c r="K112" s="36">
        <f t="shared" si="18"/>
        <v>101997</v>
      </c>
      <c r="L112" s="32">
        <f t="shared" si="20"/>
        <v>67998</v>
      </c>
      <c r="M112" s="31"/>
    </row>
    <row r="113" spans="1:13" ht="18.75" x14ac:dyDescent="0.3">
      <c r="A113" s="18"/>
      <c r="B113" s="34">
        <v>108</v>
      </c>
      <c r="C113" s="31" t="s">
        <v>236</v>
      </c>
      <c r="D113" s="33">
        <v>150000</v>
      </c>
      <c r="E113" s="33">
        <v>19995</v>
      </c>
      <c r="F113" s="32">
        <f t="shared" si="17"/>
        <v>169995</v>
      </c>
      <c r="G113" s="34">
        <v>50</v>
      </c>
      <c r="H113" s="32">
        <v>3399.9</v>
      </c>
      <c r="I113" s="31">
        <v>30</v>
      </c>
      <c r="J113" s="35">
        <f t="shared" si="19"/>
        <v>20</v>
      </c>
      <c r="K113" s="36">
        <f t="shared" si="18"/>
        <v>101997</v>
      </c>
      <c r="L113" s="32">
        <f t="shared" si="20"/>
        <v>67998</v>
      </c>
      <c r="M113" s="31"/>
    </row>
    <row r="114" spans="1:13" ht="18.75" x14ac:dyDescent="0.3">
      <c r="A114" s="18"/>
      <c r="B114" s="34">
        <v>109</v>
      </c>
      <c r="C114" s="31" t="s">
        <v>117</v>
      </c>
      <c r="D114" s="33">
        <v>150000</v>
      </c>
      <c r="E114" s="33">
        <v>19995</v>
      </c>
      <c r="F114" s="32">
        <f t="shared" si="17"/>
        <v>169995</v>
      </c>
      <c r="G114" s="34">
        <v>50</v>
      </c>
      <c r="H114" s="32">
        <v>3399.9</v>
      </c>
      <c r="I114" s="31">
        <v>45</v>
      </c>
      <c r="J114" s="35">
        <f t="shared" si="19"/>
        <v>5</v>
      </c>
      <c r="K114" s="36">
        <f t="shared" si="18"/>
        <v>152995.5</v>
      </c>
      <c r="L114" s="32">
        <f t="shared" si="20"/>
        <v>16999.5</v>
      </c>
      <c r="M114" s="31"/>
    </row>
    <row r="115" spans="1:13" ht="18.75" x14ac:dyDescent="0.3">
      <c r="A115" s="18"/>
      <c r="B115" s="34">
        <v>110</v>
      </c>
      <c r="C115" s="31" t="s">
        <v>155</v>
      </c>
      <c r="D115" s="33">
        <v>150000</v>
      </c>
      <c r="E115" s="33">
        <v>19995</v>
      </c>
      <c r="F115" s="32">
        <f t="shared" si="17"/>
        <v>169995</v>
      </c>
      <c r="G115" s="34">
        <v>50</v>
      </c>
      <c r="H115" s="32">
        <v>3399.9</v>
      </c>
      <c r="I115" s="31">
        <v>30</v>
      </c>
      <c r="J115" s="35">
        <f t="shared" si="19"/>
        <v>20</v>
      </c>
      <c r="K115" s="36">
        <f t="shared" si="18"/>
        <v>101997</v>
      </c>
      <c r="L115" s="32">
        <f t="shared" si="20"/>
        <v>67998</v>
      </c>
      <c r="M115" s="31"/>
    </row>
    <row r="116" spans="1:13" ht="18.75" x14ac:dyDescent="0.3">
      <c r="A116" s="18"/>
      <c r="B116" s="34">
        <v>111</v>
      </c>
      <c r="C116" s="31" t="s">
        <v>176</v>
      </c>
      <c r="D116" s="33">
        <v>150000</v>
      </c>
      <c r="E116" s="33">
        <v>19995</v>
      </c>
      <c r="F116" s="32">
        <f t="shared" si="17"/>
        <v>169995</v>
      </c>
      <c r="G116" s="34">
        <v>50</v>
      </c>
      <c r="H116" s="32">
        <v>3399.9</v>
      </c>
      <c r="I116" s="31">
        <v>45</v>
      </c>
      <c r="J116" s="35">
        <f t="shared" si="19"/>
        <v>5</v>
      </c>
      <c r="K116" s="36">
        <f t="shared" si="18"/>
        <v>152995.5</v>
      </c>
      <c r="L116" s="32">
        <f t="shared" si="20"/>
        <v>16999.5</v>
      </c>
      <c r="M116" s="31"/>
    </row>
    <row r="117" spans="1:13" ht="18.75" x14ac:dyDescent="0.3">
      <c r="A117" s="18"/>
      <c r="B117" s="34">
        <v>112</v>
      </c>
      <c r="C117" s="31" t="s">
        <v>120</v>
      </c>
      <c r="D117" s="33">
        <v>150000</v>
      </c>
      <c r="E117" s="33">
        <v>19995</v>
      </c>
      <c r="F117" s="32">
        <f t="shared" si="17"/>
        <v>169995</v>
      </c>
      <c r="G117" s="34">
        <v>50</v>
      </c>
      <c r="H117" s="32">
        <v>3399.9</v>
      </c>
      <c r="I117" s="31">
        <v>30</v>
      </c>
      <c r="J117" s="35">
        <f t="shared" si="19"/>
        <v>20</v>
      </c>
      <c r="K117" s="36">
        <f t="shared" si="18"/>
        <v>101997</v>
      </c>
      <c r="L117" s="32">
        <f t="shared" si="20"/>
        <v>67998</v>
      </c>
      <c r="M117" s="31"/>
    </row>
    <row r="118" spans="1:13" ht="18.75" x14ac:dyDescent="0.3">
      <c r="A118" s="18"/>
      <c r="B118" s="34">
        <v>113</v>
      </c>
      <c r="C118" s="31" t="s">
        <v>197</v>
      </c>
      <c r="D118" s="33">
        <v>150000</v>
      </c>
      <c r="E118" s="33">
        <v>19995</v>
      </c>
      <c r="F118" s="32">
        <f t="shared" si="17"/>
        <v>169995</v>
      </c>
      <c r="G118" s="34">
        <v>50</v>
      </c>
      <c r="H118" s="32">
        <v>3399.9</v>
      </c>
      <c r="I118" s="31">
        <v>30</v>
      </c>
      <c r="J118" s="35">
        <f t="shared" si="19"/>
        <v>20</v>
      </c>
      <c r="K118" s="36">
        <f t="shared" si="18"/>
        <v>101997</v>
      </c>
      <c r="L118" s="32">
        <f t="shared" si="20"/>
        <v>67998</v>
      </c>
      <c r="M118" s="31"/>
    </row>
    <row r="119" spans="1:13" ht="18.75" x14ac:dyDescent="0.3">
      <c r="A119" s="18"/>
      <c r="B119" s="34">
        <v>114</v>
      </c>
      <c r="C119" s="31" t="s">
        <v>124</v>
      </c>
      <c r="D119" s="33">
        <v>150000</v>
      </c>
      <c r="E119" s="33">
        <v>19995</v>
      </c>
      <c r="F119" s="32">
        <f t="shared" si="17"/>
        <v>169995</v>
      </c>
      <c r="G119" s="34">
        <v>50</v>
      </c>
      <c r="H119" s="32">
        <v>3399.9</v>
      </c>
      <c r="I119" s="31">
        <v>30</v>
      </c>
      <c r="J119" s="35">
        <f t="shared" si="19"/>
        <v>20</v>
      </c>
      <c r="K119" s="36">
        <f>I119*H119</f>
        <v>101997</v>
      </c>
      <c r="L119" s="32">
        <f t="shared" si="20"/>
        <v>67998</v>
      </c>
      <c r="M119" s="31"/>
    </row>
    <row r="120" spans="1:13" ht="18.75" x14ac:dyDescent="0.3">
      <c r="A120" s="18"/>
      <c r="B120" s="34">
        <v>115</v>
      </c>
      <c r="C120" s="31" t="s">
        <v>127</v>
      </c>
      <c r="D120" s="33">
        <v>150000</v>
      </c>
      <c r="E120" s="33">
        <v>19995</v>
      </c>
      <c r="F120" s="32">
        <f t="shared" si="17"/>
        <v>169995</v>
      </c>
      <c r="G120" s="34">
        <v>50</v>
      </c>
      <c r="H120" s="32">
        <v>3399.9</v>
      </c>
      <c r="I120" s="31">
        <v>45</v>
      </c>
      <c r="J120" s="35">
        <f t="shared" si="19"/>
        <v>5</v>
      </c>
      <c r="K120" s="36">
        <f t="shared" ref="K120:K134" si="21">H120*I120</f>
        <v>152995.5</v>
      </c>
      <c r="L120" s="32">
        <f t="shared" si="20"/>
        <v>16999.5</v>
      </c>
      <c r="M120" s="31"/>
    </row>
    <row r="121" spans="1:13" ht="18.75" x14ac:dyDescent="0.3">
      <c r="A121" s="18"/>
      <c r="B121" s="34">
        <v>116</v>
      </c>
      <c r="C121" s="31" t="s">
        <v>200</v>
      </c>
      <c r="D121" s="33">
        <v>150000</v>
      </c>
      <c r="E121" s="33">
        <v>19995</v>
      </c>
      <c r="F121" s="32">
        <f t="shared" si="17"/>
        <v>169995</v>
      </c>
      <c r="G121" s="34">
        <v>50</v>
      </c>
      <c r="H121" s="32">
        <v>3399.9</v>
      </c>
      <c r="I121" s="31">
        <v>45</v>
      </c>
      <c r="J121" s="35">
        <f t="shared" si="19"/>
        <v>5</v>
      </c>
      <c r="K121" s="36">
        <f t="shared" si="21"/>
        <v>152995.5</v>
      </c>
      <c r="L121" s="32">
        <f t="shared" si="20"/>
        <v>16999.5</v>
      </c>
      <c r="M121" s="31"/>
    </row>
    <row r="122" spans="1:13" ht="18.75" x14ac:dyDescent="0.3">
      <c r="A122" s="18"/>
      <c r="B122" s="34">
        <v>117</v>
      </c>
      <c r="C122" s="31" t="s">
        <v>199</v>
      </c>
      <c r="D122" s="33">
        <v>150000</v>
      </c>
      <c r="E122" s="33">
        <v>19995</v>
      </c>
      <c r="F122" s="32">
        <f t="shared" si="17"/>
        <v>169995</v>
      </c>
      <c r="G122" s="34">
        <v>50</v>
      </c>
      <c r="H122" s="32">
        <v>3399.9</v>
      </c>
      <c r="I122" s="31">
        <v>45</v>
      </c>
      <c r="J122" s="35">
        <f t="shared" si="19"/>
        <v>5</v>
      </c>
      <c r="K122" s="36">
        <f t="shared" si="21"/>
        <v>152995.5</v>
      </c>
      <c r="L122" s="32">
        <f t="shared" si="20"/>
        <v>16999.5</v>
      </c>
      <c r="M122" s="31"/>
    </row>
    <row r="123" spans="1:13" ht="18.75" x14ac:dyDescent="0.3">
      <c r="A123" s="18"/>
      <c r="B123" s="34">
        <v>118</v>
      </c>
      <c r="C123" s="31" t="s">
        <v>129</v>
      </c>
      <c r="D123" s="33">
        <v>150000</v>
      </c>
      <c r="E123" s="33">
        <v>19995</v>
      </c>
      <c r="F123" s="32">
        <f t="shared" si="17"/>
        <v>169995</v>
      </c>
      <c r="G123" s="34">
        <v>50</v>
      </c>
      <c r="H123" s="32">
        <v>3399.9</v>
      </c>
      <c r="I123" s="31">
        <v>28</v>
      </c>
      <c r="J123" s="35">
        <f t="shared" si="19"/>
        <v>22</v>
      </c>
      <c r="K123" s="36">
        <f t="shared" si="21"/>
        <v>95197.2</v>
      </c>
      <c r="L123" s="32">
        <f t="shared" si="20"/>
        <v>74797.8</v>
      </c>
      <c r="M123" s="31"/>
    </row>
    <row r="124" spans="1:13" ht="18.75" x14ac:dyDescent="0.3">
      <c r="A124" s="18"/>
      <c r="B124" s="34">
        <v>119</v>
      </c>
      <c r="C124" s="31" t="s">
        <v>130</v>
      </c>
      <c r="D124" s="33">
        <v>150000</v>
      </c>
      <c r="E124" s="33">
        <v>19995</v>
      </c>
      <c r="F124" s="32">
        <f t="shared" si="17"/>
        <v>169995</v>
      </c>
      <c r="G124" s="34">
        <v>50</v>
      </c>
      <c r="H124" s="32">
        <v>3399.9</v>
      </c>
      <c r="I124" s="31">
        <v>30</v>
      </c>
      <c r="J124" s="35">
        <f t="shared" si="19"/>
        <v>20</v>
      </c>
      <c r="K124" s="36">
        <f t="shared" si="21"/>
        <v>101997</v>
      </c>
      <c r="L124" s="32">
        <f t="shared" si="20"/>
        <v>67998</v>
      </c>
      <c r="M124" s="31"/>
    </row>
    <row r="125" spans="1:13" ht="18.75" x14ac:dyDescent="0.3">
      <c r="A125" s="18"/>
      <c r="B125" s="34">
        <v>120</v>
      </c>
      <c r="C125" s="31" t="s">
        <v>131</v>
      </c>
      <c r="D125" s="33">
        <v>150000</v>
      </c>
      <c r="E125" s="33">
        <v>19995</v>
      </c>
      <c r="F125" s="32">
        <f t="shared" ref="F125:F156" si="22">D125+E125</f>
        <v>169995</v>
      </c>
      <c r="G125" s="34">
        <v>50</v>
      </c>
      <c r="H125" s="32">
        <v>3399.9</v>
      </c>
      <c r="I125" s="31">
        <v>30</v>
      </c>
      <c r="J125" s="35">
        <f t="shared" si="19"/>
        <v>20</v>
      </c>
      <c r="K125" s="36">
        <f t="shared" si="21"/>
        <v>101997</v>
      </c>
      <c r="L125" s="32">
        <f t="shared" si="20"/>
        <v>67998</v>
      </c>
      <c r="M125" s="31"/>
    </row>
    <row r="126" spans="1:13" ht="18.75" x14ac:dyDescent="0.3">
      <c r="A126" s="18"/>
      <c r="B126" s="34">
        <v>121</v>
      </c>
      <c r="C126" s="31" t="s">
        <v>201</v>
      </c>
      <c r="D126" s="33">
        <v>150000</v>
      </c>
      <c r="E126" s="33">
        <v>19995</v>
      </c>
      <c r="F126" s="32">
        <f t="shared" si="22"/>
        <v>169995</v>
      </c>
      <c r="G126" s="34">
        <v>50</v>
      </c>
      <c r="H126" s="32">
        <v>3399.9</v>
      </c>
      <c r="I126" s="31">
        <v>30</v>
      </c>
      <c r="J126" s="35">
        <f t="shared" si="19"/>
        <v>20</v>
      </c>
      <c r="K126" s="36">
        <f t="shared" si="21"/>
        <v>101997</v>
      </c>
      <c r="L126" s="32">
        <f t="shared" si="20"/>
        <v>67998</v>
      </c>
      <c r="M126" s="31"/>
    </row>
    <row r="127" spans="1:13" ht="18.75" x14ac:dyDescent="0.3">
      <c r="A127" s="18"/>
      <c r="B127" s="34">
        <v>122</v>
      </c>
      <c r="C127" s="31" t="s">
        <v>133</v>
      </c>
      <c r="D127" s="33">
        <v>150000</v>
      </c>
      <c r="E127" s="33">
        <v>19995</v>
      </c>
      <c r="F127" s="32">
        <f t="shared" si="22"/>
        <v>169995</v>
      </c>
      <c r="G127" s="34">
        <v>50</v>
      </c>
      <c r="H127" s="32">
        <v>3399.9</v>
      </c>
      <c r="I127" s="31">
        <v>30</v>
      </c>
      <c r="J127" s="35">
        <f t="shared" si="19"/>
        <v>20</v>
      </c>
      <c r="K127" s="36">
        <f t="shared" si="21"/>
        <v>101997</v>
      </c>
      <c r="L127" s="32">
        <f t="shared" si="20"/>
        <v>67998</v>
      </c>
      <c r="M127" s="31"/>
    </row>
    <row r="128" spans="1:13" ht="18.75" x14ac:dyDescent="0.3">
      <c r="A128" s="18"/>
      <c r="B128" s="34">
        <v>123</v>
      </c>
      <c r="C128" s="31" t="s">
        <v>134</v>
      </c>
      <c r="D128" s="33">
        <v>150000</v>
      </c>
      <c r="E128" s="33">
        <v>19995</v>
      </c>
      <c r="F128" s="32">
        <f t="shared" si="22"/>
        <v>169995</v>
      </c>
      <c r="G128" s="34">
        <v>50</v>
      </c>
      <c r="H128" s="32">
        <v>3399.9</v>
      </c>
      <c r="I128" s="31">
        <v>45</v>
      </c>
      <c r="J128" s="35">
        <f t="shared" si="19"/>
        <v>5</v>
      </c>
      <c r="K128" s="36">
        <f t="shared" si="21"/>
        <v>152995.5</v>
      </c>
      <c r="L128" s="32">
        <f t="shared" si="20"/>
        <v>16999.5</v>
      </c>
      <c r="M128" s="31"/>
    </row>
    <row r="129" spans="1:13" ht="18.75" x14ac:dyDescent="0.3">
      <c r="A129" s="18"/>
      <c r="B129" s="34">
        <v>124</v>
      </c>
      <c r="C129" s="31" t="s">
        <v>203</v>
      </c>
      <c r="D129" s="33">
        <v>150000</v>
      </c>
      <c r="E129" s="33">
        <v>19995</v>
      </c>
      <c r="F129" s="32">
        <f t="shared" si="22"/>
        <v>169995</v>
      </c>
      <c r="G129" s="34">
        <v>50</v>
      </c>
      <c r="H129" s="32">
        <v>3399.9</v>
      </c>
      <c r="I129" s="31">
        <v>45</v>
      </c>
      <c r="J129" s="35">
        <f t="shared" si="19"/>
        <v>5</v>
      </c>
      <c r="K129" s="36">
        <f t="shared" si="21"/>
        <v>152995.5</v>
      </c>
      <c r="L129" s="32">
        <f t="shared" si="20"/>
        <v>16999.5</v>
      </c>
      <c r="M129" s="31"/>
    </row>
    <row r="130" spans="1:13" ht="18.75" x14ac:dyDescent="0.3">
      <c r="A130" s="18"/>
      <c r="B130" s="34">
        <v>125</v>
      </c>
      <c r="C130" s="31" t="s">
        <v>136</v>
      </c>
      <c r="D130" s="33">
        <v>150000</v>
      </c>
      <c r="E130" s="33">
        <v>19995</v>
      </c>
      <c r="F130" s="32">
        <f t="shared" si="22"/>
        <v>169995</v>
      </c>
      <c r="G130" s="34">
        <v>50</v>
      </c>
      <c r="H130" s="32">
        <v>3399.9</v>
      </c>
      <c r="I130" s="31">
        <v>45</v>
      </c>
      <c r="J130" s="35">
        <f t="shared" si="19"/>
        <v>5</v>
      </c>
      <c r="K130" s="36">
        <f t="shared" si="21"/>
        <v>152995.5</v>
      </c>
      <c r="L130" s="32">
        <f t="shared" si="20"/>
        <v>16999.5</v>
      </c>
      <c r="M130" s="31"/>
    </row>
    <row r="131" spans="1:13" ht="18.75" x14ac:dyDescent="0.3">
      <c r="A131" s="18"/>
      <c r="B131" s="34">
        <v>126</v>
      </c>
      <c r="C131" s="31" t="s">
        <v>137</v>
      </c>
      <c r="D131" s="33">
        <v>150000</v>
      </c>
      <c r="E131" s="33">
        <v>19995</v>
      </c>
      <c r="F131" s="32">
        <f t="shared" si="22"/>
        <v>169995</v>
      </c>
      <c r="G131" s="34">
        <v>50</v>
      </c>
      <c r="H131" s="32">
        <v>3399.9</v>
      </c>
      <c r="I131" s="31">
        <v>30</v>
      </c>
      <c r="J131" s="35">
        <f t="shared" si="19"/>
        <v>20</v>
      </c>
      <c r="K131" s="36">
        <f t="shared" si="21"/>
        <v>101997</v>
      </c>
      <c r="L131" s="32">
        <f t="shared" si="20"/>
        <v>67998</v>
      </c>
      <c r="M131" s="31"/>
    </row>
    <row r="132" spans="1:13" ht="18.75" x14ac:dyDescent="0.3">
      <c r="A132" s="18"/>
      <c r="B132" s="34">
        <v>127</v>
      </c>
      <c r="C132" s="31" t="s">
        <v>230</v>
      </c>
      <c r="D132" s="33">
        <v>150000</v>
      </c>
      <c r="E132" s="33">
        <v>19995</v>
      </c>
      <c r="F132" s="32">
        <f t="shared" si="22"/>
        <v>169995</v>
      </c>
      <c r="G132" s="34">
        <v>50</v>
      </c>
      <c r="H132" s="32">
        <v>3399.9</v>
      </c>
      <c r="I132" s="31">
        <v>35</v>
      </c>
      <c r="J132" s="35">
        <f t="shared" si="19"/>
        <v>15</v>
      </c>
      <c r="K132" s="36">
        <f t="shared" si="21"/>
        <v>118996.5</v>
      </c>
      <c r="L132" s="32">
        <f t="shared" si="20"/>
        <v>50998.5</v>
      </c>
      <c r="M132" s="31"/>
    </row>
    <row r="133" spans="1:13" ht="18.75" x14ac:dyDescent="0.3">
      <c r="A133" s="18"/>
      <c r="B133" s="34">
        <v>128</v>
      </c>
      <c r="C133" s="31" t="s">
        <v>139</v>
      </c>
      <c r="D133" s="33">
        <v>150000</v>
      </c>
      <c r="E133" s="33">
        <v>19995</v>
      </c>
      <c r="F133" s="32">
        <f t="shared" si="22"/>
        <v>169995</v>
      </c>
      <c r="G133" s="34">
        <v>50</v>
      </c>
      <c r="H133" s="32">
        <v>3399.9</v>
      </c>
      <c r="I133" s="31">
        <v>30</v>
      </c>
      <c r="J133" s="35">
        <f t="shared" si="19"/>
        <v>20</v>
      </c>
      <c r="K133" s="36">
        <f t="shared" si="21"/>
        <v>101997</v>
      </c>
      <c r="L133" s="32">
        <f t="shared" si="20"/>
        <v>67998</v>
      </c>
      <c r="M133" s="31"/>
    </row>
    <row r="134" spans="1:13" ht="18.75" x14ac:dyDescent="0.3">
      <c r="A134" s="18"/>
      <c r="B134" s="34">
        <v>129</v>
      </c>
      <c r="C134" s="31" t="s">
        <v>229</v>
      </c>
      <c r="D134" s="33">
        <v>150000</v>
      </c>
      <c r="E134" s="33">
        <v>19995</v>
      </c>
      <c r="F134" s="32">
        <f t="shared" si="22"/>
        <v>169995</v>
      </c>
      <c r="G134" s="34">
        <v>50</v>
      </c>
      <c r="H134" s="32">
        <v>3399.9</v>
      </c>
      <c r="I134" s="31">
        <v>25</v>
      </c>
      <c r="J134" s="35">
        <f t="shared" ref="J134:J161" si="23">G134-I134</f>
        <v>25</v>
      </c>
      <c r="K134" s="36">
        <f t="shared" si="21"/>
        <v>84997.5</v>
      </c>
      <c r="L134" s="36">
        <f t="shared" ref="L134" si="24">F134-K134</f>
        <v>84997.5</v>
      </c>
      <c r="M134" s="31"/>
    </row>
    <row r="135" spans="1:13" ht="18.75" x14ac:dyDescent="0.3">
      <c r="A135" s="18"/>
      <c r="B135" s="34">
        <v>130</v>
      </c>
      <c r="C135" s="31" t="s">
        <v>207</v>
      </c>
      <c r="D135" s="33">
        <v>150000</v>
      </c>
      <c r="E135" s="33">
        <v>19995</v>
      </c>
      <c r="F135" s="32">
        <f t="shared" si="22"/>
        <v>169995</v>
      </c>
      <c r="G135" s="34">
        <v>50</v>
      </c>
      <c r="H135" s="32">
        <v>3399.9</v>
      </c>
      <c r="I135" s="31">
        <v>25</v>
      </c>
      <c r="J135" s="35">
        <f t="shared" si="23"/>
        <v>25</v>
      </c>
      <c r="K135" s="36">
        <f t="shared" ref="K135:K161" si="25">I135*H135</f>
        <v>84997.5</v>
      </c>
      <c r="L135" s="36">
        <f>F135-H135</f>
        <v>166595.1</v>
      </c>
      <c r="M135" s="31"/>
    </row>
    <row r="136" spans="1:13" ht="18.75" x14ac:dyDescent="0.3">
      <c r="A136" s="18"/>
      <c r="B136" s="34">
        <v>131</v>
      </c>
      <c r="C136" s="50" t="s">
        <v>147</v>
      </c>
      <c r="D136" s="33">
        <v>150000</v>
      </c>
      <c r="E136" s="33">
        <v>19995</v>
      </c>
      <c r="F136" s="32">
        <f t="shared" si="22"/>
        <v>169995</v>
      </c>
      <c r="G136" s="34">
        <v>50</v>
      </c>
      <c r="H136" s="32">
        <v>3399.9</v>
      </c>
      <c r="I136" s="50">
        <v>19</v>
      </c>
      <c r="J136" s="35">
        <f t="shared" si="23"/>
        <v>31</v>
      </c>
      <c r="K136" s="36">
        <f t="shared" si="25"/>
        <v>64598.1</v>
      </c>
      <c r="L136" s="36">
        <f t="shared" ref="L136:L161" si="26">F136-K136</f>
        <v>105396.9</v>
      </c>
      <c r="M136" s="31"/>
    </row>
    <row r="137" spans="1:13" ht="18.75" x14ac:dyDescent="0.3">
      <c r="A137" s="18"/>
      <c r="B137" s="34">
        <v>132</v>
      </c>
      <c r="C137" s="50" t="s">
        <v>151</v>
      </c>
      <c r="D137" s="33">
        <v>150000</v>
      </c>
      <c r="E137" s="33">
        <v>19995</v>
      </c>
      <c r="F137" s="32">
        <f t="shared" si="22"/>
        <v>169995</v>
      </c>
      <c r="G137" s="34">
        <v>50</v>
      </c>
      <c r="H137" s="32">
        <v>3399.9</v>
      </c>
      <c r="I137" s="50">
        <v>19</v>
      </c>
      <c r="J137" s="35">
        <f t="shared" si="23"/>
        <v>31</v>
      </c>
      <c r="K137" s="36">
        <f t="shared" si="25"/>
        <v>64598.1</v>
      </c>
      <c r="L137" s="36">
        <f t="shared" si="26"/>
        <v>105396.9</v>
      </c>
      <c r="M137" s="31"/>
    </row>
    <row r="138" spans="1:13" ht="18.75" x14ac:dyDescent="0.3">
      <c r="A138" s="18"/>
      <c r="B138" s="34">
        <v>133</v>
      </c>
      <c r="C138" s="50" t="s">
        <v>152</v>
      </c>
      <c r="D138" s="33">
        <v>150000</v>
      </c>
      <c r="E138" s="33">
        <v>19995</v>
      </c>
      <c r="F138" s="32">
        <f t="shared" si="22"/>
        <v>169995</v>
      </c>
      <c r="G138" s="34">
        <v>50</v>
      </c>
      <c r="H138" s="32">
        <v>3399.9</v>
      </c>
      <c r="I138" s="50">
        <v>19</v>
      </c>
      <c r="J138" s="35">
        <f t="shared" si="23"/>
        <v>31</v>
      </c>
      <c r="K138" s="36">
        <f t="shared" si="25"/>
        <v>64598.1</v>
      </c>
      <c r="L138" s="36">
        <f t="shared" si="26"/>
        <v>105396.9</v>
      </c>
      <c r="M138" s="31"/>
    </row>
    <row r="139" spans="1:13" ht="18.75" x14ac:dyDescent="0.3">
      <c r="A139" s="18"/>
      <c r="B139" s="34">
        <v>134</v>
      </c>
      <c r="C139" s="50" t="s">
        <v>153</v>
      </c>
      <c r="D139" s="33">
        <v>150000</v>
      </c>
      <c r="E139" s="33">
        <v>19995</v>
      </c>
      <c r="F139" s="32">
        <f t="shared" si="22"/>
        <v>169995</v>
      </c>
      <c r="G139" s="34">
        <v>50</v>
      </c>
      <c r="H139" s="32">
        <v>3399.9</v>
      </c>
      <c r="I139" s="50">
        <v>19</v>
      </c>
      <c r="J139" s="35">
        <f t="shared" si="23"/>
        <v>31</v>
      </c>
      <c r="K139" s="36">
        <f t="shared" si="25"/>
        <v>64598.1</v>
      </c>
      <c r="L139" s="36">
        <f t="shared" si="26"/>
        <v>105396.9</v>
      </c>
      <c r="M139" s="31"/>
    </row>
    <row r="140" spans="1:13" ht="18.75" x14ac:dyDescent="0.3">
      <c r="A140" s="18"/>
      <c r="B140" s="34">
        <v>135</v>
      </c>
      <c r="C140" s="50" t="s">
        <v>216</v>
      </c>
      <c r="D140" s="33">
        <v>150000</v>
      </c>
      <c r="E140" s="33">
        <v>19995</v>
      </c>
      <c r="F140" s="32">
        <f t="shared" si="22"/>
        <v>169995</v>
      </c>
      <c r="G140" s="34">
        <v>50</v>
      </c>
      <c r="H140" s="32">
        <v>3399.9</v>
      </c>
      <c r="I140" s="50">
        <v>11</v>
      </c>
      <c r="J140" s="35">
        <f t="shared" si="23"/>
        <v>39</v>
      </c>
      <c r="K140" s="36">
        <f t="shared" si="25"/>
        <v>37398.9</v>
      </c>
      <c r="L140" s="36">
        <f t="shared" si="26"/>
        <v>132596.1</v>
      </c>
      <c r="M140" s="31"/>
    </row>
    <row r="141" spans="1:13" ht="18.75" x14ac:dyDescent="0.3">
      <c r="B141" s="34">
        <v>136</v>
      </c>
      <c r="C141" s="50" t="s">
        <v>213</v>
      </c>
      <c r="D141" s="33">
        <v>150000</v>
      </c>
      <c r="E141" s="33">
        <v>19995</v>
      </c>
      <c r="F141" s="32">
        <f t="shared" si="22"/>
        <v>169995</v>
      </c>
      <c r="G141" s="34">
        <v>50</v>
      </c>
      <c r="H141" s="32">
        <v>3399.9</v>
      </c>
      <c r="I141" s="50">
        <v>11</v>
      </c>
      <c r="J141" s="35">
        <f t="shared" si="23"/>
        <v>39</v>
      </c>
      <c r="K141" s="36">
        <f t="shared" si="25"/>
        <v>37398.9</v>
      </c>
      <c r="L141" s="36">
        <f t="shared" si="26"/>
        <v>132596.1</v>
      </c>
      <c r="M141" s="31"/>
    </row>
    <row r="142" spans="1:13" ht="18.75" x14ac:dyDescent="0.3">
      <c r="B142" s="34">
        <v>137</v>
      </c>
      <c r="C142" s="50" t="s">
        <v>23</v>
      </c>
      <c r="D142" s="33">
        <v>150000</v>
      </c>
      <c r="E142" s="33">
        <v>19995</v>
      </c>
      <c r="F142" s="32">
        <f t="shared" si="22"/>
        <v>169995</v>
      </c>
      <c r="G142" s="34">
        <v>50</v>
      </c>
      <c r="H142" s="32">
        <v>3399.9</v>
      </c>
      <c r="I142" s="50">
        <v>11</v>
      </c>
      <c r="J142" s="35">
        <f t="shared" si="23"/>
        <v>39</v>
      </c>
      <c r="K142" s="36">
        <f t="shared" si="25"/>
        <v>37398.9</v>
      </c>
      <c r="L142" s="36">
        <f t="shared" si="26"/>
        <v>132596.1</v>
      </c>
      <c r="M142" s="31"/>
    </row>
    <row r="143" spans="1:13" ht="18.75" x14ac:dyDescent="0.3">
      <c r="B143" s="34">
        <v>138</v>
      </c>
      <c r="C143" s="50" t="s">
        <v>24</v>
      </c>
      <c r="D143" s="33">
        <v>150000</v>
      </c>
      <c r="E143" s="33">
        <v>19995</v>
      </c>
      <c r="F143" s="32">
        <f t="shared" si="22"/>
        <v>169995</v>
      </c>
      <c r="G143" s="34">
        <v>50</v>
      </c>
      <c r="H143" s="32">
        <v>3399.9</v>
      </c>
      <c r="I143" s="50">
        <v>11</v>
      </c>
      <c r="J143" s="35">
        <f t="shared" si="23"/>
        <v>39</v>
      </c>
      <c r="K143" s="36">
        <f t="shared" si="25"/>
        <v>37398.9</v>
      </c>
      <c r="L143" s="36">
        <f t="shared" si="26"/>
        <v>132596.1</v>
      </c>
      <c r="M143" s="31"/>
    </row>
    <row r="144" spans="1:13" ht="18.75" x14ac:dyDescent="0.3">
      <c r="B144" s="34">
        <v>139</v>
      </c>
      <c r="C144" s="50" t="s">
        <v>27</v>
      </c>
      <c r="D144" s="33">
        <v>150000</v>
      </c>
      <c r="E144" s="33">
        <v>19995</v>
      </c>
      <c r="F144" s="32">
        <f t="shared" si="22"/>
        <v>169995</v>
      </c>
      <c r="G144" s="34">
        <v>50</v>
      </c>
      <c r="H144" s="32">
        <v>3399.9</v>
      </c>
      <c r="I144" s="50">
        <v>9</v>
      </c>
      <c r="J144" s="35">
        <f t="shared" si="23"/>
        <v>41</v>
      </c>
      <c r="K144" s="36">
        <f t="shared" si="25"/>
        <v>30599.100000000002</v>
      </c>
      <c r="L144" s="36">
        <f t="shared" si="26"/>
        <v>139395.9</v>
      </c>
      <c r="M144" s="31"/>
    </row>
    <row r="145" spans="2:13" ht="18.75" x14ac:dyDescent="0.3">
      <c r="B145" s="34">
        <v>140</v>
      </c>
      <c r="C145" s="29" t="s">
        <v>32</v>
      </c>
      <c r="D145" s="33">
        <v>150000</v>
      </c>
      <c r="E145" s="33">
        <v>19995</v>
      </c>
      <c r="F145" s="32">
        <f t="shared" si="22"/>
        <v>169995</v>
      </c>
      <c r="G145" s="34">
        <v>50</v>
      </c>
      <c r="H145" s="32">
        <v>3399.9</v>
      </c>
      <c r="I145" s="50">
        <v>9</v>
      </c>
      <c r="J145" s="35">
        <f t="shared" si="23"/>
        <v>41</v>
      </c>
      <c r="K145" s="36">
        <f t="shared" si="25"/>
        <v>30599.100000000002</v>
      </c>
      <c r="L145" s="36">
        <f t="shared" si="26"/>
        <v>139395.9</v>
      </c>
      <c r="M145" s="31"/>
    </row>
    <row r="146" spans="2:13" ht="18.75" x14ac:dyDescent="0.3">
      <c r="B146" s="34">
        <v>141</v>
      </c>
      <c r="C146" s="29" t="s">
        <v>33</v>
      </c>
      <c r="D146" s="33">
        <v>150000</v>
      </c>
      <c r="E146" s="33">
        <v>19995</v>
      </c>
      <c r="F146" s="32">
        <f t="shared" si="22"/>
        <v>169995</v>
      </c>
      <c r="G146" s="34">
        <v>50</v>
      </c>
      <c r="H146" s="32">
        <v>3399.9</v>
      </c>
      <c r="I146" s="50">
        <v>9</v>
      </c>
      <c r="J146" s="35">
        <f t="shared" si="23"/>
        <v>41</v>
      </c>
      <c r="K146" s="36">
        <f t="shared" si="25"/>
        <v>30599.100000000002</v>
      </c>
      <c r="L146" s="36">
        <f t="shared" si="26"/>
        <v>139395.9</v>
      </c>
      <c r="M146" s="31"/>
    </row>
    <row r="147" spans="2:13" ht="18.75" x14ac:dyDescent="0.3">
      <c r="B147" s="34">
        <v>142</v>
      </c>
      <c r="C147" s="29" t="s">
        <v>34</v>
      </c>
      <c r="D147" s="33">
        <v>150000</v>
      </c>
      <c r="E147" s="33">
        <v>19995</v>
      </c>
      <c r="F147" s="32">
        <f t="shared" si="22"/>
        <v>169995</v>
      </c>
      <c r="G147" s="34">
        <v>50</v>
      </c>
      <c r="H147" s="32">
        <v>3399.9</v>
      </c>
      <c r="I147" s="50">
        <v>9</v>
      </c>
      <c r="J147" s="35">
        <f t="shared" si="23"/>
        <v>41</v>
      </c>
      <c r="K147" s="36">
        <f t="shared" si="25"/>
        <v>30599.100000000002</v>
      </c>
      <c r="L147" s="36">
        <f t="shared" si="26"/>
        <v>139395.9</v>
      </c>
      <c r="M147" s="31"/>
    </row>
    <row r="148" spans="2:13" ht="18.75" x14ac:dyDescent="0.3">
      <c r="B148" s="34">
        <v>143</v>
      </c>
      <c r="C148" s="29" t="s">
        <v>41</v>
      </c>
      <c r="D148" s="33">
        <v>150000</v>
      </c>
      <c r="E148" s="33">
        <v>19995</v>
      </c>
      <c r="F148" s="32">
        <f t="shared" si="22"/>
        <v>169995</v>
      </c>
      <c r="G148" s="34">
        <v>50</v>
      </c>
      <c r="H148" s="32">
        <v>3399.9</v>
      </c>
      <c r="I148" s="50">
        <v>5</v>
      </c>
      <c r="J148" s="35">
        <f t="shared" si="23"/>
        <v>45</v>
      </c>
      <c r="K148" s="36">
        <f t="shared" si="25"/>
        <v>16999.5</v>
      </c>
      <c r="L148" s="36">
        <f t="shared" si="26"/>
        <v>152995.5</v>
      </c>
      <c r="M148" s="31"/>
    </row>
    <row r="149" spans="2:13" ht="18.75" x14ac:dyDescent="0.3">
      <c r="B149" s="34">
        <v>144</v>
      </c>
      <c r="C149" s="29" t="s">
        <v>157</v>
      </c>
      <c r="D149" s="33">
        <v>150000</v>
      </c>
      <c r="E149" s="33">
        <v>19995</v>
      </c>
      <c r="F149" s="32">
        <f t="shared" si="22"/>
        <v>169995</v>
      </c>
      <c r="G149" s="34">
        <v>50</v>
      </c>
      <c r="H149" s="32">
        <v>3399</v>
      </c>
      <c r="I149" s="50">
        <v>21</v>
      </c>
      <c r="J149" s="35">
        <f t="shared" si="23"/>
        <v>29</v>
      </c>
      <c r="K149" s="36">
        <f t="shared" si="25"/>
        <v>71379</v>
      </c>
      <c r="L149" s="36">
        <f t="shared" si="26"/>
        <v>98616</v>
      </c>
      <c r="M149" s="31"/>
    </row>
    <row r="150" spans="2:13" ht="18.75" x14ac:dyDescent="0.3">
      <c r="B150" s="34">
        <v>145</v>
      </c>
      <c r="C150" s="29" t="s">
        <v>158</v>
      </c>
      <c r="D150" s="33">
        <v>150000</v>
      </c>
      <c r="E150" s="33">
        <v>19995</v>
      </c>
      <c r="F150" s="32">
        <f t="shared" si="22"/>
        <v>169995</v>
      </c>
      <c r="G150" s="34">
        <v>50</v>
      </c>
      <c r="H150" s="32">
        <v>3399.9</v>
      </c>
      <c r="I150" s="31">
        <v>45</v>
      </c>
      <c r="J150" s="35">
        <f t="shared" si="23"/>
        <v>5</v>
      </c>
      <c r="K150" s="36">
        <f t="shared" si="25"/>
        <v>152995.5</v>
      </c>
      <c r="L150" s="36">
        <f t="shared" si="26"/>
        <v>16999.5</v>
      </c>
      <c r="M150" s="31"/>
    </row>
    <row r="151" spans="2:13" ht="18.75" x14ac:dyDescent="0.3">
      <c r="B151" s="34">
        <v>146</v>
      </c>
      <c r="C151" s="29" t="s">
        <v>165</v>
      </c>
      <c r="D151" s="33">
        <v>150000</v>
      </c>
      <c r="E151" s="33">
        <v>19995</v>
      </c>
      <c r="F151" s="32">
        <f t="shared" si="22"/>
        <v>169995</v>
      </c>
      <c r="G151" s="34">
        <v>50</v>
      </c>
      <c r="H151" s="32">
        <v>3399</v>
      </c>
      <c r="I151" s="50">
        <v>21</v>
      </c>
      <c r="J151" s="35">
        <f t="shared" si="23"/>
        <v>29</v>
      </c>
      <c r="K151" s="36">
        <f t="shared" si="25"/>
        <v>71379</v>
      </c>
      <c r="L151" s="36">
        <f t="shared" si="26"/>
        <v>98616</v>
      </c>
      <c r="M151" s="31"/>
    </row>
    <row r="152" spans="2:13" ht="18.75" x14ac:dyDescent="0.3">
      <c r="B152" s="34">
        <v>147</v>
      </c>
      <c r="C152" s="29" t="s">
        <v>168</v>
      </c>
      <c r="D152" s="33">
        <v>150000</v>
      </c>
      <c r="E152" s="33">
        <v>19995</v>
      </c>
      <c r="F152" s="32">
        <f t="shared" si="22"/>
        <v>169995</v>
      </c>
      <c r="G152" s="34">
        <v>50</v>
      </c>
      <c r="H152" s="32">
        <v>3399</v>
      </c>
      <c r="I152" s="50">
        <v>21</v>
      </c>
      <c r="J152" s="35">
        <f t="shared" si="23"/>
        <v>29</v>
      </c>
      <c r="K152" s="36">
        <f t="shared" si="25"/>
        <v>71379</v>
      </c>
      <c r="L152" s="36">
        <f t="shared" si="26"/>
        <v>98616</v>
      </c>
      <c r="M152" s="31"/>
    </row>
    <row r="153" spans="2:13" ht="18.75" x14ac:dyDescent="0.3">
      <c r="B153" s="34">
        <v>148</v>
      </c>
      <c r="C153" s="29" t="s">
        <v>181</v>
      </c>
      <c r="D153" s="33">
        <v>150000</v>
      </c>
      <c r="E153" s="33">
        <v>19995</v>
      </c>
      <c r="F153" s="32">
        <f t="shared" si="22"/>
        <v>169995</v>
      </c>
      <c r="G153" s="34">
        <v>50</v>
      </c>
      <c r="H153" s="32">
        <v>3399</v>
      </c>
      <c r="I153" s="50">
        <v>19</v>
      </c>
      <c r="J153" s="35">
        <f t="shared" si="23"/>
        <v>31</v>
      </c>
      <c r="K153" s="36">
        <f t="shared" si="25"/>
        <v>64581</v>
      </c>
      <c r="L153" s="36">
        <f t="shared" si="26"/>
        <v>105414</v>
      </c>
      <c r="M153" s="31"/>
    </row>
    <row r="154" spans="2:13" ht="18.75" x14ac:dyDescent="0.3">
      <c r="B154" s="34">
        <v>149</v>
      </c>
      <c r="C154" s="29" t="s">
        <v>52</v>
      </c>
      <c r="D154" s="33">
        <v>150000</v>
      </c>
      <c r="E154" s="33">
        <v>19995</v>
      </c>
      <c r="F154" s="32">
        <f t="shared" si="22"/>
        <v>169995</v>
      </c>
      <c r="G154" s="34">
        <v>50</v>
      </c>
      <c r="H154" s="32">
        <v>3399.9</v>
      </c>
      <c r="I154" s="50">
        <v>6</v>
      </c>
      <c r="J154" s="35">
        <f t="shared" si="23"/>
        <v>44</v>
      </c>
      <c r="K154" s="36">
        <f t="shared" si="25"/>
        <v>20399.400000000001</v>
      </c>
      <c r="L154" s="36">
        <f t="shared" si="26"/>
        <v>149595.6</v>
      </c>
      <c r="M154" s="31"/>
    </row>
    <row r="155" spans="2:13" ht="18.75" x14ac:dyDescent="0.3">
      <c r="B155" s="34">
        <v>150</v>
      </c>
      <c r="C155" s="29" t="s">
        <v>53</v>
      </c>
      <c r="D155" s="33">
        <v>150000</v>
      </c>
      <c r="E155" s="33">
        <v>19995</v>
      </c>
      <c r="F155" s="32">
        <f t="shared" si="22"/>
        <v>169995</v>
      </c>
      <c r="G155" s="34">
        <v>50</v>
      </c>
      <c r="H155" s="32">
        <v>3399.9</v>
      </c>
      <c r="I155" s="50">
        <v>6</v>
      </c>
      <c r="J155" s="35">
        <f t="shared" si="23"/>
        <v>44</v>
      </c>
      <c r="K155" s="36">
        <f t="shared" si="25"/>
        <v>20399.400000000001</v>
      </c>
      <c r="L155" s="36">
        <f t="shared" si="26"/>
        <v>149595.6</v>
      </c>
      <c r="M155" s="31"/>
    </row>
    <row r="156" spans="2:13" ht="18.75" x14ac:dyDescent="0.3">
      <c r="B156" s="34">
        <v>151</v>
      </c>
      <c r="C156" s="29" t="s">
        <v>250</v>
      </c>
      <c r="D156" s="33">
        <v>150000</v>
      </c>
      <c r="E156" s="33">
        <v>19995</v>
      </c>
      <c r="F156" s="32">
        <f t="shared" si="22"/>
        <v>169995</v>
      </c>
      <c r="G156" s="34">
        <v>50</v>
      </c>
      <c r="H156" s="32">
        <v>3399.9</v>
      </c>
      <c r="I156" s="50">
        <v>6</v>
      </c>
      <c r="J156" s="35">
        <f t="shared" si="23"/>
        <v>44</v>
      </c>
      <c r="K156" s="36">
        <f t="shared" si="25"/>
        <v>20399.400000000001</v>
      </c>
      <c r="L156" s="36">
        <f t="shared" si="26"/>
        <v>149595.6</v>
      </c>
      <c r="M156" s="31"/>
    </row>
    <row r="157" spans="2:13" ht="18.75" x14ac:dyDescent="0.3">
      <c r="B157" s="34">
        <v>152</v>
      </c>
      <c r="C157" s="29" t="s">
        <v>51</v>
      </c>
      <c r="D157" s="33">
        <v>150000</v>
      </c>
      <c r="E157" s="33">
        <v>19995</v>
      </c>
      <c r="F157" s="32">
        <f t="shared" ref="F157:F161" si="27">D157+E157</f>
        <v>169995</v>
      </c>
      <c r="G157" s="34">
        <v>50</v>
      </c>
      <c r="H157" s="32">
        <v>3339.9</v>
      </c>
      <c r="I157" s="50">
        <v>6</v>
      </c>
      <c r="J157" s="35">
        <f t="shared" si="23"/>
        <v>44</v>
      </c>
      <c r="K157" s="36">
        <f t="shared" si="25"/>
        <v>20039.400000000001</v>
      </c>
      <c r="L157" s="36">
        <f t="shared" si="26"/>
        <v>149955.6</v>
      </c>
      <c r="M157" s="31"/>
    </row>
    <row r="158" spans="2:13" ht="18.75" x14ac:dyDescent="0.3">
      <c r="B158" s="34">
        <v>153</v>
      </c>
      <c r="C158" s="29" t="s">
        <v>58</v>
      </c>
      <c r="D158" s="33">
        <v>150000</v>
      </c>
      <c r="E158" s="33">
        <v>19995</v>
      </c>
      <c r="F158" s="32">
        <f t="shared" si="27"/>
        <v>169995</v>
      </c>
      <c r="G158" s="34">
        <v>50</v>
      </c>
      <c r="H158" s="32">
        <v>3399.9</v>
      </c>
      <c r="I158" s="50">
        <v>4</v>
      </c>
      <c r="J158" s="35">
        <f t="shared" si="23"/>
        <v>46</v>
      </c>
      <c r="K158" s="36">
        <f t="shared" si="25"/>
        <v>13599.6</v>
      </c>
      <c r="L158" s="36">
        <f t="shared" si="26"/>
        <v>156395.4</v>
      </c>
      <c r="M158" s="31"/>
    </row>
    <row r="159" spans="2:13" ht="18.75" x14ac:dyDescent="0.3">
      <c r="B159" s="34">
        <v>154</v>
      </c>
      <c r="C159" s="29" t="s">
        <v>61</v>
      </c>
      <c r="D159" s="33">
        <v>150000</v>
      </c>
      <c r="E159" s="33">
        <v>19995</v>
      </c>
      <c r="F159" s="32">
        <f t="shared" si="27"/>
        <v>169995</v>
      </c>
      <c r="G159" s="34">
        <v>50</v>
      </c>
      <c r="H159" s="32">
        <v>3399.9</v>
      </c>
      <c r="I159" s="50">
        <v>4</v>
      </c>
      <c r="J159" s="35">
        <f t="shared" si="23"/>
        <v>46</v>
      </c>
      <c r="K159" s="36">
        <f t="shared" si="25"/>
        <v>13599.6</v>
      </c>
      <c r="L159" s="36">
        <f t="shared" si="26"/>
        <v>156395.4</v>
      </c>
      <c r="M159" s="31"/>
    </row>
    <row r="160" spans="2:13" ht="18.75" x14ac:dyDescent="0.3">
      <c r="B160" s="34">
        <v>155</v>
      </c>
      <c r="C160" s="29" t="s">
        <v>60</v>
      </c>
      <c r="D160" s="33">
        <v>150000</v>
      </c>
      <c r="E160" s="33">
        <v>19995</v>
      </c>
      <c r="F160" s="32">
        <f t="shared" si="27"/>
        <v>169995</v>
      </c>
      <c r="G160" s="34">
        <v>50</v>
      </c>
      <c r="H160" s="32">
        <v>3399.9</v>
      </c>
      <c r="I160" s="50">
        <v>4</v>
      </c>
      <c r="J160" s="35">
        <f t="shared" si="23"/>
        <v>46</v>
      </c>
      <c r="K160" s="36">
        <f t="shared" si="25"/>
        <v>13599.6</v>
      </c>
      <c r="L160" s="36">
        <f t="shared" si="26"/>
        <v>156395.4</v>
      </c>
      <c r="M160" s="31"/>
    </row>
    <row r="161" spans="2:13" ht="18.75" x14ac:dyDescent="0.3">
      <c r="B161" s="34">
        <v>156</v>
      </c>
      <c r="C161" s="29" t="s">
        <v>258</v>
      </c>
      <c r="D161" s="33">
        <v>150000</v>
      </c>
      <c r="E161" s="33">
        <v>19995</v>
      </c>
      <c r="F161" s="32">
        <f t="shared" si="27"/>
        <v>169995</v>
      </c>
      <c r="G161" s="34">
        <v>50</v>
      </c>
      <c r="H161" s="32">
        <v>3399.9</v>
      </c>
      <c r="I161" s="50">
        <v>1</v>
      </c>
      <c r="J161" s="35">
        <f t="shared" si="23"/>
        <v>49</v>
      </c>
      <c r="K161" s="36">
        <f t="shared" si="25"/>
        <v>3399.9</v>
      </c>
      <c r="L161" s="36">
        <f t="shared" si="26"/>
        <v>166595.1</v>
      </c>
      <c r="M161" s="31" t="s">
        <v>255</v>
      </c>
    </row>
    <row r="162" spans="2:13" s="57" customFormat="1" ht="18.75" x14ac:dyDescent="0.3">
      <c r="B162" s="71"/>
      <c r="C162" s="30" t="s">
        <v>296</v>
      </c>
      <c r="D162" s="72">
        <f>SUM(D6:D161)</f>
        <v>47000000</v>
      </c>
      <c r="E162" s="72">
        <f t="shared" ref="E162:F162" si="28">SUM(E6:E161)</f>
        <v>6230441.9199999999</v>
      </c>
      <c r="F162" s="72">
        <f t="shared" si="28"/>
        <v>53230441.920000002</v>
      </c>
      <c r="G162" s="71"/>
      <c r="H162" s="72">
        <f>SUM(H6:H161)</f>
        <v>1077203.9500000014</v>
      </c>
      <c r="I162" s="73"/>
      <c r="J162" s="74"/>
      <c r="K162" s="72">
        <f t="shared" ref="K162:L162" si="29">SUM(K6:K161)</f>
        <v>22485830.689999998</v>
      </c>
      <c r="L162" s="72">
        <f t="shared" si="29"/>
        <v>30826208.829999998</v>
      </c>
      <c r="M162" s="53"/>
    </row>
    <row r="163" spans="2:13" ht="18.75" x14ac:dyDescent="0.3">
      <c r="B163" s="34"/>
      <c r="C163" s="48"/>
      <c r="D163" s="43"/>
      <c r="E163" s="44"/>
      <c r="F163" s="43"/>
      <c r="G163" s="41"/>
      <c r="H163" s="43"/>
      <c r="I163" s="46"/>
      <c r="J163" s="47"/>
      <c r="K163" s="45"/>
      <c r="L163" s="45"/>
      <c r="M163" s="49"/>
    </row>
    <row r="164" spans="2:13" ht="18.75" x14ac:dyDescent="0.3">
      <c r="B164" s="9"/>
      <c r="C164" s="8" t="s">
        <v>217</v>
      </c>
      <c r="D164" s="9"/>
      <c r="E164" s="9"/>
      <c r="F164" s="9"/>
      <c r="G164" s="9"/>
      <c r="H164" s="9"/>
      <c r="I164" s="9"/>
      <c r="J164" s="9"/>
      <c r="K164" s="9"/>
      <c r="L164" s="9"/>
      <c r="M164" s="49"/>
    </row>
    <row r="165" spans="2:13" ht="18.75" x14ac:dyDescent="0.3">
      <c r="B165" s="9">
        <v>1</v>
      </c>
      <c r="C165" s="9" t="s">
        <v>160</v>
      </c>
      <c r="D165" s="12">
        <v>500000</v>
      </c>
      <c r="E165" s="12">
        <v>66650</v>
      </c>
      <c r="F165" s="12">
        <v>566650</v>
      </c>
      <c r="G165" s="14">
        <v>50</v>
      </c>
      <c r="H165" s="12">
        <v>11333</v>
      </c>
      <c r="I165" s="14">
        <v>25</v>
      </c>
      <c r="J165" s="35">
        <f t="shared" ref="J165:J175" si="30">G165-I165</f>
        <v>25</v>
      </c>
      <c r="K165" s="36">
        <f t="shared" ref="K165:K175" si="31">H165*I165</f>
        <v>283325</v>
      </c>
      <c r="L165" s="32">
        <f t="shared" ref="L165:L175" si="32">F165-K165</f>
        <v>283325</v>
      </c>
      <c r="M165" s="49"/>
    </row>
    <row r="166" spans="2:13" ht="18.75" x14ac:dyDescent="0.3">
      <c r="B166" s="9">
        <v>2</v>
      </c>
      <c r="C166" s="9" t="s">
        <v>164</v>
      </c>
      <c r="D166" s="12">
        <v>450000</v>
      </c>
      <c r="E166" s="12">
        <v>59985</v>
      </c>
      <c r="F166" s="12">
        <v>509985</v>
      </c>
      <c r="G166" s="14">
        <v>50</v>
      </c>
      <c r="H166" s="12">
        <v>10199.700000000001</v>
      </c>
      <c r="I166" s="14">
        <v>31</v>
      </c>
      <c r="J166" s="35">
        <f t="shared" si="30"/>
        <v>19</v>
      </c>
      <c r="K166" s="36">
        <f t="shared" si="31"/>
        <v>316190.7</v>
      </c>
      <c r="L166" s="32">
        <f t="shared" si="32"/>
        <v>193794.3</v>
      </c>
      <c r="M166" s="49"/>
    </row>
    <row r="167" spans="2:13" ht="18.75" x14ac:dyDescent="0.3">
      <c r="B167" s="9">
        <v>3</v>
      </c>
      <c r="C167" s="9" t="s">
        <v>184</v>
      </c>
      <c r="D167" s="12">
        <v>330000</v>
      </c>
      <c r="E167" s="12">
        <v>43989</v>
      </c>
      <c r="F167" s="12">
        <v>373989</v>
      </c>
      <c r="G167" s="14">
        <v>50</v>
      </c>
      <c r="H167" s="12">
        <v>7479.78</v>
      </c>
      <c r="I167" s="14">
        <v>43</v>
      </c>
      <c r="J167" s="35">
        <f t="shared" si="30"/>
        <v>7</v>
      </c>
      <c r="K167" s="36">
        <f t="shared" si="31"/>
        <v>321630.53999999998</v>
      </c>
      <c r="L167" s="32">
        <f t="shared" si="32"/>
        <v>52358.460000000021</v>
      </c>
      <c r="M167" s="49"/>
    </row>
    <row r="168" spans="2:13" ht="18.75" x14ac:dyDescent="0.3">
      <c r="B168" s="9">
        <v>4</v>
      </c>
      <c r="C168" s="9" t="s">
        <v>180</v>
      </c>
      <c r="D168" s="12">
        <v>330000</v>
      </c>
      <c r="E168" s="12">
        <v>43989</v>
      </c>
      <c r="F168" s="12">
        <v>373989</v>
      </c>
      <c r="G168" s="14">
        <v>50</v>
      </c>
      <c r="H168" s="12">
        <v>7479.78</v>
      </c>
      <c r="I168" s="14">
        <v>25</v>
      </c>
      <c r="J168" s="35">
        <f t="shared" si="30"/>
        <v>25</v>
      </c>
      <c r="K168" s="36">
        <f t="shared" si="31"/>
        <v>186994.5</v>
      </c>
      <c r="L168" s="32">
        <f t="shared" si="32"/>
        <v>186994.5</v>
      </c>
      <c r="M168" s="49"/>
    </row>
    <row r="169" spans="2:13" ht="18.75" x14ac:dyDescent="0.3">
      <c r="B169" s="9">
        <v>5</v>
      </c>
      <c r="C169" s="9" t="s">
        <v>162</v>
      </c>
      <c r="D169" s="12">
        <v>150000</v>
      </c>
      <c r="E169" s="12">
        <v>19995</v>
      </c>
      <c r="F169" s="12">
        <v>169995</v>
      </c>
      <c r="G169" s="14">
        <v>50</v>
      </c>
      <c r="H169" s="12">
        <v>3399.9</v>
      </c>
      <c r="I169" s="14">
        <v>25</v>
      </c>
      <c r="J169" s="35">
        <f t="shared" si="30"/>
        <v>25</v>
      </c>
      <c r="K169" s="36">
        <f t="shared" si="31"/>
        <v>84997.5</v>
      </c>
      <c r="L169" s="32">
        <f t="shared" si="32"/>
        <v>84997.5</v>
      </c>
      <c r="M169" s="49"/>
    </row>
    <row r="170" spans="2:13" ht="18.75" x14ac:dyDescent="0.3">
      <c r="B170" s="9">
        <v>6</v>
      </c>
      <c r="C170" s="9" t="s">
        <v>163</v>
      </c>
      <c r="D170" s="12">
        <v>150000</v>
      </c>
      <c r="E170" s="12">
        <v>19995</v>
      </c>
      <c r="F170" s="12">
        <v>169995</v>
      </c>
      <c r="G170" s="14">
        <v>50</v>
      </c>
      <c r="H170" s="12">
        <v>3399.9</v>
      </c>
      <c r="I170" s="14">
        <v>25</v>
      </c>
      <c r="J170" s="35">
        <f t="shared" si="30"/>
        <v>25</v>
      </c>
      <c r="K170" s="36">
        <f t="shared" si="31"/>
        <v>84997.5</v>
      </c>
      <c r="L170" s="32">
        <f t="shared" si="32"/>
        <v>84997.5</v>
      </c>
      <c r="M170" s="49"/>
    </row>
    <row r="171" spans="2:13" ht="18.75" x14ac:dyDescent="0.3">
      <c r="B171" s="9">
        <v>7</v>
      </c>
      <c r="C171" s="9" t="s">
        <v>167</v>
      </c>
      <c r="D171" s="12">
        <v>150000</v>
      </c>
      <c r="E171" s="12">
        <v>19995</v>
      </c>
      <c r="F171" s="12">
        <v>169995</v>
      </c>
      <c r="G171" s="14">
        <v>50</v>
      </c>
      <c r="H171" s="12">
        <v>3399.9</v>
      </c>
      <c r="I171" s="14">
        <v>25</v>
      </c>
      <c r="J171" s="35">
        <f t="shared" si="30"/>
        <v>25</v>
      </c>
      <c r="K171" s="36">
        <f t="shared" si="31"/>
        <v>84997.5</v>
      </c>
      <c r="L171" s="32">
        <f t="shared" si="32"/>
        <v>84997.5</v>
      </c>
      <c r="M171" s="49"/>
    </row>
    <row r="172" spans="2:13" ht="18.75" x14ac:dyDescent="0.3">
      <c r="B172" s="9">
        <v>8</v>
      </c>
      <c r="C172" s="9" t="s">
        <v>186</v>
      </c>
      <c r="D172" s="12">
        <v>150000</v>
      </c>
      <c r="E172" s="12">
        <v>19995</v>
      </c>
      <c r="F172" s="12">
        <v>169995</v>
      </c>
      <c r="G172" s="14">
        <v>50</v>
      </c>
      <c r="H172" s="12">
        <v>3399.9</v>
      </c>
      <c r="I172" s="14">
        <v>25</v>
      </c>
      <c r="J172" s="35">
        <f t="shared" si="30"/>
        <v>25</v>
      </c>
      <c r="K172" s="36">
        <f t="shared" si="31"/>
        <v>84997.5</v>
      </c>
      <c r="L172" s="32">
        <f t="shared" si="32"/>
        <v>84997.5</v>
      </c>
      <c r="M172" s="49"/>
    </row>
    <row r="173" spans="2:13" ht="18.75" x14ac:dyDescent="0.3">
      <c r="B173" s="9">
        <v>9</v>
      </c>
      <c r="C173" s="9" t="s">
        <v>188</v>
      </c>
      <c r="D173" s="12">
        <v>150000</v>
      </c>
      <c r="E173" s="12">
        <v>19995</v>
      </c>
      <c r="F173" s="12">
        <v>169995</v>
      </c>
      <c r="G173" s="14">
        <v>50</v>
      </c>
      <c r="H173" s="12">
        <v>3399.9</v>
      </c>
      <c r="I173" s="14">
        <v>25</v>
      </c>
      <c r="J173" s="35">
        <f t="shared" si="30"/>
        <v>25</v>
      </c>
      <c r="K173" s="36">
        <f t="shared" si="31"/>
        <v>84997.5</v>
      </c>
      <c r="L173" s="32">
        <f t="shared" si="32"/>
        <v>84997.5</v>
      </c>
      <c r="M173" s="42"/>
    </row>
    <row r="174" spans="2:13" ht="18.75" x14ac:dyDescent="0.3">
      <c r="B174" s="9">
        <v>10</v>
      </c>
      <c r="C174" s="9" t="s">
        <v>166</v>
      </c>
      <c r="D174" s="12">
        <v>150000</v>
      </c>
      <c r="E174" s="12">
        <v>19995</v>
      </c>
      <c r="F174" s="12">
        <v>169995</v>
      </c>
      <c r="G174" s="14">
        <v>50</v>
      </c>
      <c r="H174" s="12">
        <v>3399.9</v>
      </c>
      <c r="I174" s="14">
        <v>25</v>
      </c>
      <c r="J174" s="35">
        <f t="shared" si="30"/>
        <v>25</v>
      </c>
      <c r="K174" s="36">
        <f t="shared" si="31"/>
        <v>84997.5</v>
      </c>
      <c r="L174" s="32">
        <f t="shared" si="32"/>
        <v>84997.5</v>
      </c>
      <c r="M174" s="42"/>
    </row>
    <row r="175" spans="2:13" ht="18.75" x14ac:dyDescent="0.3">
      <c r="B175" s="9">
        <v>11</v>
      </c>
      <c r="C175" s="9" t="s">
        <v>57</v>
      </c>
      <c r="D175" s="12">
        <v>450000</v>
      </c>
      <c r="E175" s="12">
        <v>59985</v>
      </c>
      <c r="F175" s="12">
        <v>509985</v>
      </c>
      <c r="G175" s="14">
        <v>50</v>
      </c>
      <c r="H175" s="12">
        <v>10199.700000000001</v>
      </c>
      <c r="I175" s="14">
        <v>4</v>
      </c>
      <c r="J175" s="35">
        <f t="shared" si="30"/>
        <v>46</v>
      </c>
      <c r="K175" s="36">
        <f t="shared" si="31"/>
        <v>40798.800000000003</v>
      </c>
      <c r="L175" s="32">
        <f t="shared" si="32"/>
        <v>469186.2</v>
      </c>
      <c r="M175" s="42"/>
    </row>
    <row r="176" spans="2:13" s="75" customFormat="1" ht="18.75" x14ac:dyDescent="0.3">
      <c r="B176" s="71"/>
      <c r="C176" s="30" t="s">
        <v>296</v>
      </c>
      <c r="D176" s="72">
        <f>SUM(D165:D175)</f>
        <v>2960000</v>
      </c>
      <c r="E176" s="72">
        <f t="shared" ref="E176:F176" si="33">SUM(E165:E175)</f>
        <v>394568</v>
      </c>
      <c r="F176" s="72">
        <f t="shared" si="33"/>
        <v>3354568</v>
      </c>
      <c r="G176" s="71"/>
      <c r="H176" s="72">
        <f>SUM(H165:H175)</f>
        <v>67091.360000000015</v>
      </c>
      <c r="I176" s="73"/>
      <c r="J176" s="74"/>
      <c r="K176" s="72">
        <f t="shared" ref="K176:L176" si="34">SUM(K165:K175)</f>
        <v>1658924.54</v>
      </c>
      <c r="L176" s="72">
        <f t="shared" si="34"/>
        <v>1695643.46</v>
      </c>
      <c r="M176" s="53"/>
    </row>
    <row r="177" spans="2:13" ht="18.75" x14ac:dyDescent="0.3">
      <c r="B177" s="41"/>
      <c r="C177" s="56"/>
      <c r="D177" s="44"/>
      <c r="E177" s="44"/>
      <c r="F177" s="43"/>
      <c r="G177" s="41"/>
      <c r="H177" s="43"/>
      <c r="I177" s="46"/>
      <c r="J177" s="47"/>
      <c r="K177" s="45"/>
      <c r="L177" s="45"/>
      <c r="M177" s="42"/>
    </row>
    <row r="178" spans="2:13" ht="18.75" x14ac:dyDescent="0.3">
      <c r="B178" s="7">
        <f>B175+B161</f>
        <v>167</v>
      </c>
      <c r="C178" s="30" t="s">
        <v>38</v>
      </c>
      <c r="D178" s="17">
        <f>D176+D162</f>
        <v>49960000</v>
      </c>
      <c r="E178" s="17">
        <f t="shared" ref="E178:F178" si="35">E176+E162</f>
        <v>6625009.9199999999</v>
      </c>
      <c r="F178" s="17">
        <f t="shared" si="35"/>
        <v>56585009.920000002</v>
      </c>
      <c r="G178" s="17"/>
      <c r="H178" s="17">
        <f>H176+H162</f>
        <v>1144295.3100000015</v>
      </c>
      <c r="I178" s="17"/>
      <c r="J178" s="17"/>
      <c r="K178" s="17">
        <f t="shared" ref="K178:L178" si="36">K176+K162</f>
        <v>24144755.229999997</v>
      </c>
      <c r="L178" s="17">
        <f t="shared" si="36"/>
        <v>32521852.289999999</v>
      </c>
      <c r="M178" s="9"/>
    </row>
    <row r="179" spans="2:13" x14ac:dyDescent="0.25"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</row>
    <row r="180" spans="2:13" x14ac:dyDescent="0.25"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</row>
    <row r="181" spans="2:13" x14ac:dyDescent="0.25"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</row>
    <row r="182" spans="2:13" ht="18.75" x14ac:dyDescent="0.3">
      <c r="B182" s="1"/>
      <c r="C182" s="8" t="s">
        <v>280</v>
      </c>
      <c r="D182" s="12"/>
      <c r="E182" s="12"/>
      <c r="F182" s="12"/>
      <c r="G182" s="12"/>
      <c r="H182" s="12"/>
      <c r="I182" s="12"/>
      <c r="J182" s="12"/>
      <c r="K182" s="12"/>
      <c r="L182" s="12"/>
      <c r="M182" s="1"/>
    </row>
    <row r="183" spans="2:13" ht="37.5" x14ac:dyDescent="0.3">
      <c r="B183" s="7" t="s">
        <v>2</v>
      </c>
      <c r="C183" s="7" t="s">
        <v>0</v>
      </c>
      <c r="D183" s="8" t="s">
        <v>3</v>
      </c>
      <c r="E183" s="8" t="s">
        <v>4</v>
      </c>
      <c r="F183" s="8" t="s">
        <v>1</v>
      </c>
      <c r="G183" s="10" t="s">
        <v>11</v>
      </c>
      <c r="H183" s="10" t="s">
        <v>10</v>
      </c>
      <c r="I183" s="11" t="s">
        <v>5</v>
      </c>
      <c r="J183" s="11" t="s">
        <v>6</v>
      </c>
      <c r="K183" s="10" t="s">
        <v>7</v>
      </c>
      <c r="L183" s="10" t="s">
        <v>8</v>
      </c>
      <c r="M183" s="10" t="s">
        <v>9</v>
      </c>
    </row>
    <row r="184" spans="2:13" ht="35.25" customHeight="1" x14ac:dyDescent="0.3">
      <c r="B184" s="88">
        <v>1</v>
      </c>
      <c r="C184" s="66" t="s">
        <v>281</v>
      </c>
      <c r="D184" s="33">
        <v>450000</v>
      </c>
      <c r="E184" s="33">
        <v>59985</v>
      </c>
      <c r="F184" s="32">
        <f>D184+E184</f>
        <v>509985</v>
      </c>
      <c r="G184" s="34">
        <v>50</v>
      </c>
      <c r="H184" s="87">
        <v>10199.700000000001</v>
      </c>
      <c r="I184" s="9">
        <v>46</v>
      </c>
      <c r="J184" s="9">
        <f>G184-I184</f>
        <v>4</v>
      </c>
      <c r="K184" s="92">
        <f>H184*I184</f>
        <v>469186.2</v>
      </c>
      <c r="L184" s="32">
        <f t="shared" ref="L184" si="37">F184-K184</f>
        <v>40798.799999999988</v>
      </c>
      <c r="M184" s="9"/>
    </row>
    <row r="185" spans="2:13" ht="68.25" customHeight="1" x14ac:dyDescent="0.3">
      <c r="B185" s="88">
        <v>2</v>
      </c>
      <c r="C185" s="66" t="s">
        <v>295</v>
      </c>
      <c r="D185" s="12">
        <v>150000</v>
      </c>
      <c r="E185" s="12">
        <v>19995</v>
      </c>
      <c r="F185" s="12">
        <v>169995</v>
      </c>
      <c r="G185" s="14">
        <v>50</v>
      </c>
      <c r="H185" s="12">
        <v>3399.9</v>
      </c>
      <c r="I185" s="9">
        <v>30</v>
      </c>
      <c r="J185" s="9">
        <f>G185-I185</f>
        <v>20</v>
      </c>
      <c r="K185" s="92">
        <f>H185*I185</f>
        <v>101997</v>
      </c>
      <c r="L185" s="32">
        <f t="shared" ref="L185" si="38">F185-K185</f>
        <v>67998</v>
      </c>
      <c r="M185" s="89" t="s">
        <v>299</v>
      </c>
    </row>
    <row r="186" spans="2:13" s="57" customFormat="1" ht="36.75" customHeight="1" x14ac:dyDescent="0.3">
      <c r="B186" s="2"/>
      <c r="C186" s="8" t="s">
        <v>38</v>
      </c>
      <c r="D186" s="107">
        <f>SUM(D184:D185)</f>
        <v>600000</v>
      </c>
      <c r="E186" s="107">
        <f t="shared" ref="E186:F186" si="39">SUM(E184:E185)</f>
        <v>79980</v>
      </c>
      <c r="F186" s="107">
        <f t="shared" si="39"/>
        <v>679980</v>
      </c>
      <c r="G186" s="2"/>
      <c r="H186" s="107">
        <f>SUM(H184:H185)</f>
        <v>13599.6</v>
      </c>
      <c r="I186" s="2"/>
      <c r="J186" s="2"/>
      <c r="K186" s="107">
        <f t="shared" ref="K186:L186" si="40">SUM(K184:K185)</f>
        <v>571183.19999999995</v>
      </c>
      <c r="L186" s="107">
        <f t="shared" si="40"/>
        <v>108796.79999999999</v>
      </c>
      <c r="M186" s="2"/>
    </row>
    <row r="187" spans="2:13" x14ac:dyDescent="0.25"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2:13" s="57" customFormat="1" ht="18.75" x14ac:dyDescent="0.3">
      <c r="B188" s="2"/>
      <c r="C188" s="8" t="s">
        <v>279</v>
      </c>
      <c r="D188" s="17">
        <f>D186+D178</f>
        <v>50560000</v>
      </c>
      <c r="E188" s="17">
        <f t="shared" ref="E188:F188" si="41">E186+E178</f>
        <v>6704989.9199999999</v>
      </c>
      <c r="F188" s="17">
        <f t="shared" si="41"/>
        <v>57264989.920000002</v>
      </c>
      <c r="G188" s="2"/>
      <c r="H188" s="17">
        <f>H186+H178</f>
        <v>1157894.9100000015</v>
      </c>
      <c r="I188" s="2"/>
      <c r="J188" s="2"/>
      <c r="K188" s="17">
        <f t="shared" ref="K188:L188" si="42">K186+K178</f>
        <v>24715938.429999996</v>
      </c>
      <c r="L188" s="17">
        <f t="shared" si="42"/>
        <v>32630649.09</v>
      </c>
      <c r="M188" s="2"/>
    </row>
  </sheetData>
  <pageMargins left="0.7" right="0.7" top="0.75" bottom="0.75" header="0.3" footer="0.3"/>
  <pageSetup paperSize="5" scale="55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M192"/>
  <sheetViews>
    <sheetView topLeftCell="H1" workbookViewId="0">
      <selection activeCell="B2" sqref="B2:M192"/>
    </sheetView>
  </sheetViews>
  <sheetFormatPr defaultRowHeight="15" x14ac:dyDescent="0.25"/>
  <cols>
    <col min="3" max="3" width="41.140625" customWidth="1"/>
    <col min="4" max="5" width="19.7109375" bestFit="1" customWidth="1"/>
    <col min="6" max="6" width="21.140625" bestFit="1" customWidth="1"/>
    <col min="7" max="7" width="13.85546875" customWidth="1"/>
    <col min="8" max="8" width="18.28515625" bestFit="1" customWidth="1"/>
    <col min="9" max="9" width="20.42578125" customWidth="1"/>
    <col min="10" max="10" width="16.7109375" customWidth="1"/>
    <col min="11" max="12" width="19.7109375" bestFit="1" customWidth="1"/>
    <col min="13" max="13" width="21.7109375" customWidth="1"/>
  </cols>
  <sheetData>
    <row r="2" spans="1:13" ht="21" x14ac:dyDescent="0.35">
      <c r="B2" s="98"/>
      <c r="C2" s="99" t="s">
        <v>12</v>
      </c>
      <c r="D2" s="98"/>
      <c r="E2" s="99"/>
      <c r="F2" s="99"/>
      <c r="G2" s="98"/>
      <c r="H2" s="98"/>
      <c r="I2" s="9"/>
      <c r="J2" s="9"/>
      <c r="K2" s="9"/>
      <c r="L2" s="9"/>
      <c r="M2" s="9"/>
    </row>
    <row r="3" spans="1:13" ht="21" x14ac:dyDescent="0.35">
      <c r="B3" s="98"/>
      <c r="C3" s="99" t="s">
        <v>259</v>
      </c>
      <c r="D3" s="98"/>
      <c r="E3" s="99"/>
      <c r="F3" s="99"/>
      <c r="G3" s="99"/>
      <c r="H3" s="98"/>
      <c r="I3" s="9"/>
      <c r="J3" s="9"/>
      <c r="K3" s="9"/>
      <c r="L3" s="9"/>
      <c r="M3" s="9"/>
    </row>
    <row r="4" spans="1:13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1:13" ht="37.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</row>
    <row r="6" spans="1:13" ht="18.75" x14ac:dyDescent="0.3">
      <c r="A6" s="18"/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5" si="0">D6+E6</f>
        <v>566650</v>
      </c>
      <c r="G6" s="34">
        <v>50</v>
      </c>
      <c r="H6" s="32">
        <v>11333</v>
      </c>
      <c r="I6" s="31">
        <v>31</v>
      </c>
      <c r="J6" s="35">
        <f t="shared" ref="J6:J37" si="1">G6-I6</f>
        <v>19</v>
      </c>
      <c r="K6" s="33">
        <f t="shared" ref="K6:K13" si="2">H6*I6</f>
        <v>351323</v>
      </c>
      <c r="L6" s="36">
        <f t="shared" ref="L6:L37" si="3">F6-K6</f>
        <v>215327</v>
      </c>
      <c r="M6" s="31"/>
    </row>
    <row r="7" spans="1:13" ht="18.75" x14ac:dyDescent="0.3">
      <c r="A7" s="18"/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31</v>
      </c>
      <c r="J7" s="35">
        <f t="shared" si="1"/>
        <v>19</v>
      </c>
      <c r="K7" s="33">
        <f t="shared" si="2"/>
        <v>351323</v>
      </c>
      <c r="L7" s="36">
        <f t="shared" si="3"/>
        <v>215327</v>
      </c>
      <c r="M7" s="31"/>
    </row>
    <row r="8" spans="1:13" ht="18.75" x14ac:dyDescent="0.3">
      <c r="A8" s="18"/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46</v>
      </c>
      <c r="J8" s="35">
        <f t="shared" si="1"/>
        <v>4</v>
      </c>
      <c r="K8" s="36">
        <f t="shared" si="2"/>
        <v>521318</v>
      </c>
      <c r="L8" s="32">
        <f t="shared" si="3"/>
        <v>45332</v>
      </c>
      <c r="M8" s="31"/>
    </row>
    <row r="9" spans="1:13" ht="18.75" x14ac:dyDescent="0.3">
      <c r="A9" s="18"/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46</v>
      </c>
      <c r="J9" s="35">
        <f t="shared" si="1"/>
        <v>4</v>
      </c>
      <c r="K9" s="36">
        <f t="shared" si="2"/>
        <v>521318</v>
      </c>
      <c r="L9" s="32">
        <f t="shared" si="3"/>
        <v>45332</v>
      </c>
      <c r="M9" s="31"/>
    </row>
    <row r="10" spans="1:13" ht="18.75" x14ac:dyDescent="0.3">
      <c r="A10" s="18"/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46</v>
      </c>
      <c r="J10" s="35">
        <f t="shared" si="1"/>
        <v>4</v>
      </c>
      <c r="K10" s="36">
        <f t="shared" si="2"/>
        <v>521318</v>
      </c>
      <c r="L10" s="32">
        <f t="shared" si="3"/>
        <v>45332</v>
      </c>
      <c r="M10" s="31"/>
    </row>
    <row r="11" spans="1:13" ht="18.75" x14ac:dyDescent="0.3">
      <c r="A11" s="18"/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31</v>
      </c>
      <c r="J11" s="35">
        <f t="shared" si="1"/>
        <v>19</v>
      </c>
      <c r="K11" s="36">
        <f t="shared" si="2"/>
        <v>351323</v>
      </c>
      <c r="L11" s="36">
        <f t="shared" si="3"/>
        <v>215327</v>
      </c>
      <c r="M11" s="31"/>
    </row>
    <row r="12" spans="1:13" ht="18.75" x14ac:dyDescent="0.3">
      <c r="A12" s="18"/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30</v>
      </c>
      <c r="J12" s="35">
        <f t="shared" si="1"/>
        <v>20</v>
      </c>
      <c r="K12" s="36">
        <f t="shared" si="2"/>
        <v>339990</v>
      </c>
      <c r="L12" s="36">
        <f t="shared" si="3"/>
        <v>226660</v>
      </c>
      <c r="M12" s="31"/>
    </row>
    <row r="13" spans="1:13" ht="18.75" x14ac:dyDescent="0.3">
      <c r="A13" s="18"/>
      <c r="B13" s="34">
        <v>8</v>
      </c>
      <c r="C13" s="31" t="s">
        <v>123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31</v>
      </c>
      <c r="J13" s="35">
        <f t="shared" si="1"/>
        <v>19</v>
      </c>
      <c r="K13" s="36">
        <f t="shared" si="2"/>
        <v>351323</v>
      </c>
      <c r="L13" s="36">
        <f t="shared" si="3"/>
        <v>215327</v>
      </c>
      <c r="M13" s="31"/>
    </row>
    <row r="14" spans="1:13" ht="18.75" x14ac:dyDescent="0.3">
      <c r="A14" s="18"/>
      <c r="B14" s="34">
        <v>9</v>
      </c>
      <c r="C14" s="31" t="s">
        <v>144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26</v>
      </c>
      <c r="J14" s="35">
        <f t="shared" si="1"/>
        <v>24</v>
      </c>
      <c r="K14" s="36">
        <f t="shared" ref="K14:K23" si="4">I14*H14</f>
        <v>294658</v>
      </c>
      <c r="L14" s="36">
        <f t="shared" si="3"/>
        <v>271992</v>
      </c>
      <c r="M14" s="31"/>
    </row>
    <row r="15" spans="1:13" ht="18.75" x14ac:dyDescent="0.3">
      <c r="A15" s="18"/>
      <c r="B15" s="34">
        <v>10</v>
      </c>
      <c r="C15" s="31" t="s">
        <v>145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26</v>
      </c>
      <c r="J15" s="35">
        <f t="shared" si="1"/>
        <v>24</v>
      </c>
      <c r="K15" s="36">
        <f t="shared" si="4"/>
        <v>294658</v>
      </c>
      <c r="L15" s="36">
        <f t="shared" si="3"/>
        <v>271992</v>
      </c>
      <c r="M15" s="31"/>
    </row>
    <row r="16" spans="1:13" ht="18.75" x14ac:dyDescent="0.3">
      <c r="A16" s="18"/>
      <c r="B16" s="34">
        <v>11</v>
      </c>
      <c r="C16" s="50" t="s">
        <v>154</v>
      </c>
      <c r="D16" s="33">
        <v>500000</v>
      </c>
      <c r="E16" s="33">
        <v>31991.919999999998</v>
      </c>
      <c r="F16" s="32">
        <f t="shared" si="0"/>
        <v>531991.92000000004</v>
      </c>
      <c r="G16" s="34">
        <v>24</v>
      </c>
      <c r="H16" s="32">
        <v>22166.33</v>
      </c>
      <c r="I16" s="50">
        <v>20</v>
      </c>
      <c r="J16" s="35">
        <f t="shared" si="1"/>
        <v>4</v>
      </c>
      <c r="K16" s="36">
        <f t="shared" si="4"/>
        <v>443326.60000000003</v>
      </c>
      <c r="L16" s="36">
        <f t="shared" si="3"/>
        <v>88665.32</v>
      </c>
      <c r="M16" s="31"/>
    </row>
    <row r="17" spans="1:13" ht="18.75" x14ac:dyDescent="0.3">
      <c r="A17" s="18"/>
      <c r="B17" s="34">
        <v>12</v>
      </c>
      <c r="C17" s="50" t="s">
        <v>208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50">
        <v>17</v>
      </c>
      <c r="J17" s="35">
        <f t="shared" si="1"/>
        <v>33</v>
      </c>
      <c r="K17" s="36">
        <f t="shared" si="4"/>
        <v>192661</v>
      </c>
      <c r="L17" s="36">
        <f t="shared" si="3"/>
        <v>373989</v>
      </c>
      <c r="M17" s="31"/>
    </row>
    <row r="18" spans="1:13" ht="18.75" x14ac:dyDescent="0.3">
      <c r="A18" s="18"/>
      <c r="B18" s="34">
        <v>13</v>
      </c>
      <c r="C18" s="50" t="s">
        <v>14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15</v>
      </c>
      <c r="J18" s="35">
        <f t="shared" si="1"/>
        <v>35</v>
      </c>
      <c r="K18" s="36">
        <f t="shared" si="4"/>
        <v>169995</v>
      </c>
      <c r="L18" s="36">
        <f t="shared" si="3"/>
        <v>396655</v>
      </c>
      <c r="M18" s="31"/>
    </row>
    <row r="19" spans="1:13" ht="18.75" x14ac:dyDescent="0.3">
      <c r="A19" s="18"/>
      <c r="B19" s="34">
        <v>14</v>
      </c>
      <c r="C19" s="50" t="s">
        <v>15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15</v>
      </c>
      <c r="J19" s="35">
        <f t="shared" si="1"/>
        <v>35</v>
      </c>
      <c r="K19" s="36">
        <f t="shared" si="4"/>
        <v>169995</v>
      </c>
      <c r="L19" s="36">
        <f t="shared" si="3"/>
        <v>396655</v>
      </c>
      <c r="M19" s="31"/>
    </row>
    <row r="20" spans="1:13" ht="18.75" x14ac:dyDescent="0.3">
      <c r="A20" s="18"/>
      <c r="B20" s="34">
        <v>15</v>
      </c>
      <c r="C20" s="50" t="s">
        <v>16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15</v>
      </c>
      <c r="J20" s="35">
        <f t="shared" si="1"/>
        <v>35</v>
      </c>
      <c r="K20" s="36">
        <f t="shared" si="4"/>
        <v>169995</v>
      </c>
      <c r="L20" s="36">
        <f t="shared" si="3"/>
        <v>396655</v>
      </c>
      <c r="M20" s="31"/>
    </row>
    <row r="21" spans="1:13" ht="18.75" x14ac:dyDescent="0.3">
      <c r="A21" s="18"/>
      <c r="B21" s="34">
        <v>16</v>
      </c>
      <c r="C21" s="50" t="s">
        <v>20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42</v>
      </c>
      <c r="J21" s="35">
        <f t="shared" si="1"/>
        <v>8</v>
      </c>
      <c r="K21" s="36">
        <f t="shared" si="4"/>
        <v>475986</v>
      </c>
      <c r="L21" s="36">
        <f t="shared" si="3"/>
        <v>90664</v>
      </c>
      <c r="M21" s="31"/>
    </row>
    <row r="22" spans="1:13" ht="18.75" x14ac:dyDescent="0.3">
      <c r="A22" s="18"/>
      <c r="B22" s="34">
        <v>17</v>
      </c>
      <c r="C22" s="50" t="s">
        <v>232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12</v>
      </c>
      <c r="J22" s="35">
        <f t="shared" si="1"/>
        <v>38</v>
      </c>
      <c r="K22" s="36">
        <f t="shared" si="4"/>
        <v>135996</v>
      </c>
      <c r="L22" s="36">
        <f t="shared" si="3"/>
        <v>430654</v>
      </c>
      <c r="M22" s="31"/>
    </row>
    <row r="23" spans="1:13" ht="18.75" x14ac:dyDescent="0.3">
      <c r="A23" s="18"/>
      <c r="B23" s="34">
        <v>18</v>
      </c>
      <c r="C23" s="50" t="s">
        <v>214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50">
        <v>12</v>
      </c>
      <c r="J23" s="35">
        <f t="shared" si="1"/>
        <v>38</v>
      </c>
      <c r="K23" s="36">
        <f t="shared" si="4"/>
        <v>135996</v>
      </c>
      <c r="L23" s="36">
        <f t="shared" si="3"/>
        <v>430654</v>
      </c>
      <c r="M23" s="31"/>
    </row>
    <row r="24" spans="1:13" ht="18.75" x14ac:dyDescent="0.3">
      <c r="A24" s="18"/>
      <c r="B24" s="34">
        <v>19</v>
      </c>
      <c r="C24" s="31" t="s">
        <v>219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31">
        <v>44</v>
      </c>
      <c r="J24" s="35">
        <f t="shared" si="1"/>
        <v>6</v>
      </c>
      <c r="K24" s="36">
        <f>H24*I24</f>
        <v>498652</v>
      </c>
      <c r="L24" s="32">
        <f t="shared" si="3"/>
        <v>67998</v>
      </c>
      <c r="M24" s="31"/>
    </row>
    <row r="25" spans="1:13" ht="18.75" x14ac:dyDescent="0.3">
      <c r="A25" s="18"/>
      <c r="B25" s="34">
        <v>20</v>
      </c>
      <c r="C25" s="50" t="s">
        <v>31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9</v>
      </c>
      <c r="J25" s="35">
        <f t="shared" si="1"/>
        <v>41</v>
      </c>
      <c r="K25" s="36">
        <f t="shared" ref="K25:K38" si="5">I25*H25</f>
        <v>101997</v>
      </c>
      <c r="L25" s="36">
        <f t="shared" si="3"/>
        <v>464653</v>
      </c>
      <c r="M25" s="31"/>
    </row>
    <row r="26" spans="1:13" ht="18.75" x14ac:dyDescent="0.3">
      <c r="A26" s="18"/>
      <c r="B26" s="34">
        <v>21</v>
      </c>
      <c r="C26" s="29" t="s">
        <v>161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22</v>
      </c>
      <c r="J26" s="35">
        <f t="shared" si="1"/>
        <v>28</v>
      </c>
      <c r="K26" s="36">
        <f t="shared" si="5"/>
        <v>249326</v>
      </c>
      <c r="L26" s="36">
        <f t="shared" si="3"/>
        <v>317324</v>
      </c>
      <c r="M26" s="31"/>
    </row>
    <row r="27" spans="1:13" ht="18.75" x14ac:dyDescent="0.3">
      <c r="A27" s="18"/>
      <c r="B27" s="34">
        <v>22</v>
      </c>
      <c r="C27" s="29" t="s">
        <v>170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31</v>
      </c>
      <c r="J27" s="35">
        <f t="shared" si="1"/>
        <v>19</v>
      </c>
      <c r="K27" s="36">
        <f t="shared" si="5"/>
        <v>351323</v>
      </c>
      <c r="L27" s="36">
        <f t="shared" si="3"/>
        <v>215327</v>
      </c>
      <c r="M27" s="31"/>
    </row>
    <row r="28" spans="1:13" ht="18.75" x14ac:dyDescent="0.3">
      <c r="A28" s="18"/>
      <c r="B28" s="34">
        <v>23</v>
      </c>
      <c r="C28" s="29" t="s">
        <v>172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27</v>
      </c>
      <c r="J28" s="35">
        <f t="shared" si="1"/>
        <v>23</v>
      </c>
      <c r="K28" s="36">
        <f t="shared" si="5"/>
        <v>305991</v>
      </c>
      <c r="L28" s="36">
        <f t="shared" si="3"/>
        <v>260659</v>
      </c>
      <c r="M28" s="31"/>
    </row>
    <row r="29" spans="1:13" ht="18.75" x14ac:dyDescent="0.3">
      <c r="A29" s="18"/>
      <c r="B29" s="34">
        <v>24</v>
      </c>
      <c r="C29" s="29" t="s">
        <v>46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7</v>
      </c>
      <c r="J29" s="35">
        <f t="shared" si="1"/>
        <v>43</v>
      </c>
      <c r="K29" s="36">
        <f t="shared" si="5"/>
        <v>79331</v>
      </c>
      <c r="L29" s="36">
        <f t="shared" si="3"/>
        <v>487319</v>
      </c>
      <c r="M29" s="31"/>
    </row>
    <row r="30" spans="1:13" ht="18.75" x14ac:dyDescent="0.3">
      <c r="A30" s="18"/>
      <c r="B30" s="34">
        <v>25</v>
      </c>
      <c r="C30" s="29" t="s">
        <v>45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7</v>
      </c>
      <c r="J30" s="35">
        <f t="shared" si="1"/>
        <v>43</v>
      </c>
      <c r="K30" s="36">
        <f t="shared" si="5"/>
        <v>79331</v>
      </c>
      <c r="L30" s="36">
        <f t="shared" si="3"/>
        <v>487319</v>
      </c>
      <c r="M30" s="31"/>
    </row>
    <row r="31" spans="1:13" ht="18.75" x14ac:dyDescent="0.3">
      <c r="A31" s="18"/>
      <c r="B31" s="34">
        <v>26</v>
      </c>
      <c r="C31" s="29" t="s">
        <v>239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7</v>
      </c>
      <c r="J31" s="35">
        <f t="shared" si="1"/>
        <v>43</v>
      </c>
      <c r="K31" s="36">
        <f t="shared" si="5"/>
        <v>79331</v>
      </c>
      <c r="L31" s="36">
        <f t="shared" si="3"/>
        <v>487319</v>
      </c>
      <c r="M31" s="31"/>
    </row>
    <row r="32" spans="1:13" ht="18.75" x14ac:dyDescent="0.3">
      <c r="A32" s="18"/>
      <c r="B32" s="34">
        <v>27</v>
      </c>
      <c r="C32" s="29" t="s">
        <v>44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6</v>
      </c>
      <c r="J32" s="35">
        <f t="shared" si="1"/>
        <v>44</v>
      </c>
      <c r="K32" s="36">
        <f t="shared" si="5"/>
        <v>67998</v>
      </c>
      <c r="L32" s="36">
        <f t="shared" si="3"/>
        <v>498652</v>
      </c>
      <c r="M32" s="31"/>
    </row>
    <row r="33" spans="1:13" ht="18.75" x14ac:dyDescent="0.3">
      <c r="A33" s="18"/>
      <c r="B33" s="34">
        <v>28</v>
      </c>
      <c r="C33" s="29" t="s">
        <v>66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5</v>
      </c>
      <c r="J33" s="35">
        <f t="shared" si="1"/>
        <v>45</v>
      </c>
      <c r="K33" s="36">
        <f t="shared" si="5"/>
        <v>56665</v>
      </c>
      <c r="L33" s="36">
        <f t="shared" si="3"/>
        <v>509985</v>
      </c>
      <c r="M33" s="31"/>
    </row>
    <row r="34" spans="1:13" ht="18.75" x14ac:dyDescent="0.3">
      <c r="A34" s="18"/>
      <c r="B34" s="34">
        <v>29</v>
      </c>
      <c r="C34" s="29" t="s">
        <v>67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5</v>
      </c>
      <c r="J34" s="35">
        <f t="shared" si="1"/>
        <v>45</v>
      </c>
      <c r="K34" s="36">
        <f t="shared" si="5"/>
        <v>56665</v>
      </c>
      <c r="L34" s="36">
        <f t="shared" si="3"/>
        <v>509985</v>
      </c>
      <c r="M34" s="31"/>
    </row>
    <row r="35" spans="1:13" ht="18.75" x14ac:dyDescent="0.3">
      <c r="A35" s="18"/>
      <c r="B35" s="34">
        <v>30</v>
      </c>
      <c r="C35" s="29" t="s">
        <v>68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50">
        <v>5</v>
      </c>
      <c r="J35" s="35">
        <f t="shared" si="1"/>
        <v>45</v>
      </c>
      <c r="K35" s="36">
        <f t="shared" si="5"/>
        <v>56665</v>
      </c>
      <c r="L35" s="36">
        <f t="shared" si="3"/>
        <v>509985</v>
      </c>
      <c r="M35" s="31"/>
    </row>
    <row r="36" spans="1:13" ht="18.75" x14ac:dyDescent="0.3">
      <c r="A36" s="18"/>
      <c r="B36" s="34">
        <v>31</v>
      </c>
      <c r="C36" s="29" t="s">
        <v>253</v>
      </c>
      <c r="D36" s="33">
        <v>500000</v>
      </c>
      <c r="E36" s="33">
        <v>66650</v>
      </c>
      <c r="F36" s="32">
        <f t="shared" ref="F36:F37" si="6">D36+E36</f>
        <v>566650</v>
      </c>
      <c r="G36" s="34">
        <v>50</v>
      </c>
      <c r="H36" s="32">
        <v>11333</v>
      </c>
      <c r="I36" s="50">
        <v>2</v>
      </c>
      <c r="J36" s="35">
        <f t="shared" si="1"/>
        <v>48</v>
      </c>
      <c r="K36" s="36">
        <f t="shared" si="5"/>
        <v>22666</v>
      </c>
      <c r="L36" s="36">
        <f t="shared" si="3"/>
        <v>543984</v>
      </c>
      <c r="M36" s="31"/>
    </row>
    <row r="37" spans="1:13" ht="18.75" x14ac:dyDescent="0.3">
      <c r="A37" s="18"/>
      <c r="B37" s="34">
        <v>32</v>
      </c>
      <c r="C37" s="29" t="s">
        <v>254</v>
      </c>
      <c r="D37" s="33">
        <v>500000</v>
      </c>
      <c r="E37" s="33">
        <v>66650</v>
      </c>
      <c r="F37" s="32">
        <f t="shared" si="6"/>
        <v>566650</v>
      </c>
      <c r="G37" s="34">
        <v>50</v>
      </c>
      <c r="H37" s="32">
        <v>11333</v>
      </c>
      <c r="I37" s="50">
        <v>2</v>
      </c>
      <c r="J37" s="35">
        <f t="shared" si="1"/>
        <v>48</v>
      </c>
      <c r="K37" s="36">
        <f t="shared" si="5"/>
        <v>22666</v>
      </c>
      <c r="L37" s="36">
        <f t="shared" si="3"/>
        <v>543984</v>
      </c>
      <c r="M37" s="31"/>
    </row>
    <row r="38" spans="1:13" ht="18.75" x14ac:dyDescent="0.3">
      <c r="A38" s="18"/>
      <c r="B38" s="34">
        <v>33</v>
      </c>
      <c r="C38" s="31" t="s">
        <v>74</v>
      </c>
      <c r="D38" s="33">
        <v>450000</v>
      </c>
      <c r="E38" s="33">
        <v>59985</v>
      </c>
      <c r="F38" s="32">
        <f t="shared" ref="F38:F64" si="7">D38+E38</f>
        <v>509985</v>
      </c>
      <c r="G38" s="34">
        <v>50</v>
      </c>
      <c r="H38" s="32">
        <v>10199.700000000001</v>
      </c>
      <c r="I38" s="31">
        <v>28</v>
      </c>
      <c r="J38" s="35">
        <f t="shared" ref="J38:J69" si="8">G38-I38</f>
        <v>22</v>
      </c>
      <c r="K38" s="32">
        <f t="shared" si="5"/>
        <v>285591.60000000003</v>
      </c>
      <c r="L38" s="33">
        <f t="shared" ref="L38:L69" si="9">F38-K38</f>
        <v>224393.39999999997</v>
      </c>
      <c r="M38" s="31"/>
    </row>
    <row r="39" spans="1:13" ht="18.75" x14ac:dyDescent="0.3">
      <c r="A39" s="18"/>
      <c r="B39" s="34">
        <v>34</v>
      </c>
      <c r="C39" s="31" t="s">
        <v>77</v>
      </c>
      <c r="D39" s="33">
        <v>450000</v>
      </c>
      <c r="E39" s="33">
        <v>59985</v>
      </c>
      <c r="F39" s="32">
        <f t="shared" si="7"/>
        <v>509985</v>
      </c>
      <c r="G39" s="34">
        <v>50</v>
      </c>
      <c r="H39" s="32">
        <v>10199.700000000001</v>
      </c>
      <c r="I39" s="52">
        <v>27</v>
      </c>
      <c r="J39" s="35">
        <f t="shared" si="8"/>
        <v>23</v>
      </c>
      <c r="K39" s="32">
        <f t="shared" ref="K39:K45" si="10">H39*I39</f>
        <v>275391.90000000002</v>
      </c>
      <c r="L39" s="33">
        <f t="shared" si="9"/>
        <v>234593.09999999998</v>
      </c>
      <c r="M39" s="31"/>
    </row>
    <row r="40" spans="1:13" ht="18.75" x14ac:dyDescent="0.3">
      <c r="A40" s="18"/>
      <c r="B40" s="34">
        <v>35</v>
      </c>
      <c r="C40" s="31" t="s">
        <v>78</v>
      </c>
      <c r="D40" s="33">
        <v>450000</v>
      </c>
      <c r="E40" s="33">
        <v>59985</v>
      </c>
      <c r="F40" s="32">
        <f t="shared" si="7"/>
        <v>509985</v>
      </c>
      <c r="G40" s="34">
        <v>50</v>
      </c>
      <c r="H40" s="32">
        <v>10199.700000000001</v>
      </c>
      <c r="I40" s="52">
        <v>27</v>
      </c>
      <c r="J40" s="35">
        <f t="shared" si="8"/>
        <v>23</v>
      </c>
      <c r="K40" s="32">
        <f t="shared" si="10"/>
        <v>275391.90000000002</v>
      </c>
      <c r="L40" s="32">
        <f t="shared" si="9"/>
        <v>234593.09999999998</v>
      </c>
      <c r="M40" s="31"/>
    </row>
    <row r="41" spans="1:13" ht="18.75" x14ac:dyDescent="0.3">
      <c r="A41" s="18"/>
      <c r="B41" s="34">
        <v>36</v>
      </c>
      <c r="C41" s="31" t="s">
        <v>82</v>
      </c>
      <c r="D41" s="33">
        <v>450000</v>
      </c>
      <c r="E41" s="33">
        <v>59985</v>
      </c>
      <c r="F41" s="32">
        <f t="shared" si="7"/>
        <v>509985</v>
      </c>
      <c r="G41" s="34">
        <v>50</v>
      </c>
      <c r="H41" s="32">
        <v>10199.700000000001</v>
      </c>
      <c r="I41" s="31">
        <v>31</v>
      </c>
      <c r="J41" s="35">
        <f t="shared" si="8"/>
        <v>19</v>
      </c>
      <c r="K41" s="36">
        <f t="shared" si="10"/>
        <v>316190.7</v>
      </c>
      <c r="L41" s="36">
        <f t="shared" si="9"/>
        <v>193794.3</v>
      </c>
      <c r="M41" s="31"/>
    </row>
    <row r="42" spans="1:13" ht="18.75" x14ac:dyDescent="0.3">
      <c r="A42" s="18"/>
      <c r="B42" s="34">
        <v>37</v>
      </c>
      <c r="C42" s="31" t="s">
        <v>99</v>
      </c>
      <c r="D42" s="33">
        <v>450000</v>
      </c>
      <c r="E42" s="33">
        <v>59985</v>
      </c>
      <c r="F42" s="32">
        <f t="shared" si="7"/>
        <v>509985</v>
      </c>
      <c r="G42" s="34">
        <v>50</v>
      </c>
      <c r="H42" s="36">
        <v>10199.700000000001</v>
      </c>
      <c r="I42" s="31">
        <v>31</v>
      </c>
      <c r="J42" s="35">
        <f t="shared" si="8"/>
        <v>19</v>
      </c>
      <c r="K42" s="36">
        <f t="shared" si="10"/>
        <v>316190.7</v>
      </c>
      <c r="L42" s="36">
        <f t="shared" si="9"/>
        <v>193794.3</v>
      </c>
      <c r="M42" s="31"/>
    </row>
    <row r="43" spans="1:13" ht="18.75" x14ac:dyDescent="0.3">
      <c r="A43" s="18"/>
      <c r="B43" s="34">
        <v>38</v>
      </c>
      <c r="C43" s="31" t="s">
        <v>196</v>
      </c>
      <c r="D43" s="33">
        <v>450000</v>
      </c>
      <c r="E43" s="33">
        <v>59985</v>
      </c>
      <c r="F43" s="32">
        <f t="shared" si="7"/>
        <v>509985</v>
      </c>
      <c r="G43" s="34">
        <v>50</v>
      </c>
      <c r="H43" s="32">
        <v>10199.700000000001</v>
      </c>
      <c r="I43" s="31">
        <v>46</v>
      </c>
      <c r="J43" s="35">
        <f t="shared" si="8"/>
        <v>4</v>
      </c>
      <c r="K43" s="36">
        <f t="shared" si="10"/>
        <v>469186.2</v>
      </c>
      <c r="L43" s="32">
        <f t="shared" si="9"/>
        <v>40798.799999999988</v>
      </c>
      <c r="M43" s="31"/>
    </row>
    <row r="44" spans="1:13" ht="18.75" x14ac:dyDescent="0.3">
      <c r="A44" s="18"/>
      <c r="B44" s="34">
        <v>39</v>
      </c>
      <c r="C44" s="31" t="s">
        <v>122</v>
      </c>
      <c r="D44" s="33">
        <v>450000</v>
      </c>
      <c r="E44" s="33">
        <v>59985</v>
      </c>
      <c r="F44" s="32">
        <f t="shared" si="7"/>
        <v>509985</v>
      </c>
      <c r="G44" s="34">
        <v>50</v>
      </c>
      <c r="H44" s="36">
        <v>10199.700000000001</v>
      </c>
      <c r="I44" s="31">
        <v>31</v>
      </c>
      <c r="J44" s="35">
        <f t="shared" si="8"/>
        <v>19</v>
      </c>
      <c r="K44" s="36">
        <f t="shared" si="10"/>
        <v>316190.7</v>
      </c>
      <c r="L44" s="36">
        <f t="shared" si="9"/>
        <v>193794.3</v>
      </c>
      <c r="M44" s="31"/>
    </row>
    <row r="45" spans="1:13" ht="18.75" x14ac:dyDescent="0.3">
      <c r="A45" s="18"/>
      <c r="B45" s="34">
        <v>40</v>
      </c>
      <c r="C45" s="31" t="s">
        <v>204</v>
      </c>
      <c r="D45" s="33">
        <v>450000</v>
      </c>
      <c r="E45" s="33">
        <v>59985</v>
      </c>
      <c r="F45" s="32">
        <f t="shared" si="7"/>
        <v>509985</v>
      </c>
      <c r="G45" s="34">
        <v>50</v>
      </c>
      <c r="H45" s="32">
        <v>10199.700000000001</v>
      </c>
      <c r="I45" s="31">
        <v>36</v>
      </c>
      <c r="J45" s="35">
        <f t="shared" si="8"/>
        <v>14</v>
      </c>
      <c r="K45" s="36">
        <f t="shared" si="10"/>
        <v>367189.2</v>
      </c>
      <c r="L45" s="32">
        <f t="shared" si="9"/>
        <v>142795.79999999999</v>
      </c>
      <c r="M45" s="31"/>
    </row>
    <row r="46" spans="1:13" ht="18.75" x14ac:dyDescent="0.3">
      <c r="A46" s="18"/>
      <c r="B46" s="34">
        <v>41</v>
      </c>
      <c r="C46" s="50" t="s">
        <v>146</v>
      </c>
      <c r="D46" s="33">
        <v>450000</v>
      </c>
      <c r="E46" s="33">
        <v>59985</v>
      </c>
      <c r="F46" s="32">
        <f t="shared" si="7"/>
        <v>509985</v>
      </c>
      <c r="G46" s="34">
        <v>50</v>
      </c>
      <c r="H46" s="32">
        <v>10199.700000000001</v>
      </c>
      <c r="I46" s="50">
        <v>20</v>
      </c>
      <c r="J46" s="35">
        <f t="shared" si="8"/>
        <v>30</v>
      </c>
      <c r="K46" s="36">
        <f t="shared" ref="K46:K55" si="11">I46*H46</f>
        <v>203994</v>
      </c>
      <c r="L46" s="36">
        <f t="shared" si="9"/>
        <v>305991</v>
      </c>
      <c r="M46" s="31"/>
    </row>
    <row r="47" spans="1:13" ht="18.75" x14ac:dyDescent="0.3">
      <c r="A47" s="18"/>
      <c r="B47" s="34">
        <v>42</v>
      </c>
      <c r="C47" s="50" t="s">
        <v>231</v>
      </c>
      <c r="D47" s="33">
        <v>450000</v>
      </c>
      <c r="E47" s="33">
        <v>59985</v>
      </c>
      <c r="F47" s="32">
        <f t="shared" si="7"/>
        <v>509985</v>
      </c>
      <c r="G47" s="34">
        <v>50</v>
      </c>
      <c r="H47" s="32">
        <v>10199.700000000001</v>
      </c>
      <c r="I47" s="50">
        <v>20</v>
      </c>
      <c r="J47" s="35">
        <f t="shared" si="8"/>
        <v>30</v>
      </c>
      <c r="K47" s="36">
        <f t="shared" si="11"/>
        <v>203994</v>
      </c>
      <c r="L47" s="36">
        <f t="shared" si="9"/>
        <v>305991</v>
      </c>
      <c r="M47" s="31"/>
    </row>
    <row r="48" spans="1:13" ht="18.75" x14ac:dyDescent="0.3">
      <c r="A48" s="18"/>
      <c r="B48" s="34">
        <v>43</v>
      </c>
      <c r="C48" s="50" t="s">
        <v>17</v>
      </c>
      <c r="D48" s="33">
        <v>450000</v>
      </c>
      <c r="E48" s="33">
        <v>59985</v>
      </c>
      <c r="F48" s="32">
        <f t="shared" si="7"/>
        <v>509985</v>
      </c>
      <c r="G48" s="34">
        <v>50</v>
      </c>
      <c r="H48" s="32">
        <v>10199.700000000001</v>
      </c>
      <c r="I48" s="50">
        <v>15</v>
      </c>
      <c r="J48" s="35">
        <f t="shared" si="8"/>
        <v>35</v>
      </c>
      <c r="K48" s="36">
        <f t="shared" si="11"/>
        <v>152995.5</v>
      </c>
      <c r="L48" s="36">
        <f t="shared" si="9"/>
        <v>356989.5</v>
      </c>
      <c r="M48" s="31"/>
    </row>
    <row r="49" spans="1:13" ht="18.75" x14ac:dyDescent="0.3">
      <c r="A49" s="18"/>
      <c r="B49" s="34">
        <v>44</v>
      </c>
      <c r="C49" s="50" t="s">
        <v>22</v>
      </c>
      <c r="D49" s="33">
        <v>450000</v>
      </c>
      <c r="E49" s="33">
        <v>59985</v>
      </c>
      <c r="F49" s="32">
        <f t="shared" si="7"/>
        <v>509985</v>
      </c>
      <c r="G49" s="34">
        <v>50</v>
      </c>
      <c r="H49" s="32">
        <v>10199.700000000001</v>
      </c>
      <c r="I49" s="50">
        <v>12</v>
      </c>
      <c r="J49" s="35">
        <f t="shared" si="8"/>
        <v>38</v>
      </c>
      <c r="K49" s="36">
        <f t="shared" si="11"/>
        <v>122396.40000000001</v>
      </c>
      <c r="L49" s="36">
        <f t="shared" si="9"/>
        <v>387588.6</v>
      </c>
      <c r="M49" s="31"/>
    </row>
    <row r="50" spans="1:13" ht="18.75" x14ac:dyDescent="0.3">
      <c r="A50" s="18"/>
      <c r="B50" s="34">
        <v>45</v>
      </c>
      <c r="C50" s="29" t="s">
        <v>35</v>
      </c>
      <c r="D50" s="33">
        <v>450000</v>
      </c>
      <c r="E50" s="33">
        <v>59985</v>
      </c>
      <c r="F50" s="32">
        <f t="shared" si="7"/>
        <v>509985</v>
      </c>
      <c r="G50" s="34">
        <v>50</v>
      </c>
      <c r="H50" s="32">
        <v>10199.700000000001</v>
      </c>
      <c r="I50" s="50">
        <v>10</v>
      </c>
      <c r="J50" s="35">
        <f t="shared" si="8"/>
        <v>40</v>
      </c>
      <c r="K50" s="36">
        <f t="shared" si="11"/>
        <v>101997</v>
      </c>
      <c r="L50" s="36">
        <f t="shared" si="9"/>
        <v>407988</v>
      </c>
      <c r="M50" s="31"/>
    </row>
    <row r="51" spans="1:13" ht="18.75" x14ac:dyDescent="0.3">
      <c r="A51" s="18"/>
      <c r="B51" s="34">
        <v>46</v>
      </c>
      <c r="C51" s="29" t="s">
        <v>48</v>
      </c>
      <c r="D51" s="33">
        <v>450000</v>
      </c>
      <c r="E51" s="33">
        <v>59985</v>
      </c>
      <c r="F51" s="32">
        <f t="shared" si="7"/>
        <v>509985</v>
      </c>
      <c r="G51" s="34">
        <v>50</v>
      </c>
      <c r="H51" s="32">
        <v>10199.700000000001</v>
      </c>
      <c r="I51" s="50">
        <v>7</v>
      </c>
      <c r="J51" s="35">
        <f t="shared" si="8"/>
        <v>43</v>
      </c>
      <c r="K51" s="36">
        <f t="shared" si="11"/>
        <v>71397.900000000009</v>
      </c>
      <c r="L51" s="36">
        <f t="shared" si="9"/>
        <v>438587.1</v>
      </c>
      <c r="M51" s="31"/>
    </row>
    <row r="52" spans="1:13" ht="18.75" x14ac:dyDescent="0.3">
      <c r="A52" s="18"/>
      <c r="B52" s="34">
        <v>47</v>
      </c>
      <c r="C52" s="29" t="s">
        <v>63</v>
      </c>
      <c r="D52" s="33">
        <v>450000</v>
      </c>
      <c r="E52" s="33">
        <v>59985</v>
      </c>
      <c r="F52" s="32">
        <f t="shared" si="7"/>
        <v>509985</v>
      </c>
      <c r="G52" s="34">
        <v>50</v>
      </c>
      <c r="H52" s="32">
        <v>10199.700000000001</v>
      </c>
      <c r="I52" s="50">
        <v>5</v>
      </c>
      <c r="J52" s="35">
        <f t="shared" si="8"/>
        <v>45</v>
      </c>
      <c r="K52" s="36">
        <f t="shared" si="11"/>
        <v>50998.5</v>
      </c>
      <c r="L52" s="36">
        <f t="shared" si="9"/>
        <v>458986.5</v>
      </c>
      <c r="M52" s="31"/>
    </row>
    <row r="53" spans="1:13" ht="18.75" x14ac:dyDescent="0.3">
      <c r="A53" s="18"/>
      <c r="B53" s="34">
        <v>48</v>
      </c>
      <c r="C53" s="29" t="s">
        <v>65</v>
      </c>
      <c r="D53" s="33">
        <v>450000</v>
      </c>
      <c r="E53" s="33">
        <v>59985</v>
      </c>
      <c r="F53" s="32">
        <f t="shared" si="7"/>
        <v>509985</v>
      </c>
      <c r="G53" s="34">
        <v>50</v>
      </c>
      <c r="H53" s="32">
        <v>10199.700000000001</v>
      </c>
      <c r="I53" s="50">
        <v>5</v>
      </c>
      <c r="J53" s="35">
        <f t="shared" si="8"/>
        <v>45</v>
      </c>
      <c r="K53" s="36">
        <f t="shared" si="11"/>
        <v>50998.5</v>
      </c>
      <c r="L53" s="36">
        <f t="shared" si="9"/>
        <v>458986.5</v>
      </c>
      <c r="M53" s="31"/>
    </row>
    <row r="54" spans="1:13" ht="18.75" x14ac:dyDescent="0.3">
      <c r="A54" s="18"/>
      <c r="B54" s="34">
        <v>49</v>
      </c>
      <c r="C54" s="29" t="s">
        <v>59</v>
      </c>
      <c r="D54" s="33">
        <v>450000</v>
      </c>
      <c r="E54" s="33">
        <v>59985</v>
      </c>
      <c r="F54" s="32">
        <f t="shared" si="7"/>
        <v>509985</v>
      </c>
      <c r="G54" s="34">
        <v>50</v>
      </c>
      <c r="H54" s="32">
        <v>10199.700000000001</v>
      </c>
      <c r="I54" s="50">
        <v>5</v>
      </c>
      <c r="J54" s="35">
        <f t="shared" si="8"/>
        <v>45</v>
      </c>
      <c r="K54" s="36">
        <f t="shared" si="11"/>
        <v>50998.5</v>
      </c>
      <c r="L54" s="36">
        <f t="shared" si="9"/>
        <v>458986.5</v>
      </c>
      <c r="M54" s="31"/>
    </row>
    <row r="55" spans="1:13" ht="18.75" x14ac:dyDescent="0.3">
      <c r="A55" s="18"/>
      <c r="B55" s="34">
        <v>50</v>
      </c>
      <c r="C55" s="29" t="s">
        <v>206</v>
      </c>
      <c r="D55" s="33">
        <v>450000</v>
      </c>
      <c r="E55" s="33">
        <v>59985</v>
      </c>
      <c r="F55" s="32">
        <f t="shared" si="7"/>
        <v>509985</v>
      </c>
      <c r="G55" s="34">
        <v>50</v>
      </c>
      <c r="H55" s="32">
        <v>10199.700000000001</v>
      </c>
      <c r="I55" s="50">
        <v>2</v>
      </c>
      <c r="J55" s="35">
        <f t="shared" si="8"/>
        <v>48</v>
      </c>
      <c r="K55" s="36">
        <f t="shared" si="11"/>
        <v>20399.400000000001</v>
      </c>
      <c r="L55" s="36">
        <f t="shared" si="9"/>
        <v>489585.6</v>
      </c>
      <c r="M55" s="31"/>
    </row>
    <row r="56" spans="1:13" ht="18.75" x14ac:dyDescent="0.3">
      <c r="A56" s="18"/>
      <c r="B56" s="34">
        <v>51</v>
      </c>
      <c r="C56" s="31" t="s">
        <v>189</v>
      </c>
      <c r="D56" s="32">
        <v>330000</v>
      </c>
      <c r="E56" s="33">
        <v>43989</v>
      </c>
      <c r="F56" s="32">
        <f t="shared" si="7"/>
        <v>373989</v>
      </c>
      <c r="G56" s="34">
        <v>50</v>
      </c>
      <c r="H56" s="32">
        <v>7479.78</v>
      </c>
      <c r="I56" s="31">
        <v>46</v>
      </c>
      <c r="J56" s="35">
        <f t="shared" si="8"/>
        <v>4</v>
      </c>
      <c r="K56" s="33">
        <f>H56*I56</f>
        <v>344069.88</v>
      </c>
      <c r="L56" s="32">
        <f t="shared" si="9"/>
        <v>29919.119999999995</v>
      </c>
      <c r="M56" s="53"/>
    </row>
    <row r="57" spans="1:13" ht="18.75" x14ac:dyDescent="0.3">
      <c r="A57" s="18"/>
      <c r="B57" s="34">
        <v>52</v>
      </c>
      <c r="C57" s="31" t="s">
        <v>79</v>
      </c>
      <c r="D57" s="32">
        <v>330000</v>
      </c>
      <c r="E57" s="33">
        <v>43989</v>
      </c>
      <c r="F57" s="32">
        <f t="shared" si="7"/>
        <v>373989</v>
      </c>
      <c r="G57" s="34">
        <v>50</v>
      </c>
      <c r="H57" s="32">
        <v>7479.78</v>
      </c>
      <c r="I57" s="31">
        <v>27</v>
      </c>
      <c r="J57" s="35">
        <f t="shared" si="8"/>
        <v>23</v>
      </c>
      <c r="K57" s="32">
        <f>H57*I57</f>
        <v>201954.06</v>
      </c>
      <c r="L57" s="36">
        <f t="shared" si="9"/>
        <v>172034.94</v>
      </c>
      <c r="M57" s="31"/>
    </row>
    <row r="58" spans="1:13" ht="18.75" x14ac:dyDescent="0.3">
      <c r="A58" s="18"/>
      <c r="B58" s="34">
        <v>53</v>
      </c>
      <c r="C58" s="31" t="s">
        <v>95</v>
      </c>
      <c r="D58" s="32">
        <v>330000</v>
      </c>
      <c r="E58" s="33">
        <v>43989</v>
      </c>
      <c r="F58" s="32">
        <f t="shared" si="7"/>
        <v>373989</v>
      </c>
      <c r="G58" s="34">
        <v>50</v>
      </c>
      <c r="H58" s="32">
        <v>7479.78</v>
      </c>
      <c r="I58" s="31">
        <v>27</v>
      </c>
      <c r="J58" s="35">
        <f t="shared" si="8"/>
        <v>23</v>
      </c>
      <c r="K58" s="36">
        <f>H58*I58</f>
        <v>201954.06</v>
      </c>
      <c r="L58" s="32">
        <f t="shared" si="9"/>
        <v>172034.94</v>
      </c>
      <c r="M58" s="31"/>
    </row>
    <row r="59" spans="1:13" ht="18.75" x14ac:dyDescent="0.3">
      <c r="A59" s="18"/>
      <c r="B59" s="34">
        <v>54</v>
      </c>
      <c r="C59" s="31" t="s">
        <v>96</v>
      </c>
      <c r="D59" s="32">
        <v>330000</v>
      </c>
      <c r="E59" s="33">
        <v>43989</v>
      </c>
      <c r="F59" s="32">
        <f t="shared" si="7"/>
        <v>373989</v>
      </c>
      <c r="G59" s="34">
        <v>50</v>
      </c>
      <c r="H59" s="36">
        <v>7479.78</v>
      </c>
      <c r="I59" s="31">
        <v>31</v>
      </c>
      <c r="J59" s="35">
        <f t="shared" si="8"/>
        <v>19</v>
      </c>
      <c r="K59" s="36">
        <f>H59*I59</f>
        <v>231873.18</v>
      </c>
      <c r="L59" s="36">
        <f t="shared" si="9"/>
        <v>142115.82</v>
      </c>
      <c r="M59" s="31"/>
    </row>
    <row r="60" spans="1:13" ht="18.75" x14ac:dyDescent="0.3">
      <c r="A60" s="18"/>
      <c r="B60" s="34">
        <v>55</v>
      </c>
      <c r="C60" s="50" t="s">
        <v>18</v>
      </c>
      <c r="D60" s="32">
        <v>330000</v>
      </c>
      <c r="E60" s="33">
        <v>43989</v>
      </c>
      <c r="F60" s="32">
        <f t="shared" si="7"/>
        <v>373989</v>
      </c>
      <c r="G60" s="34">
        <v>50</v>
      </c>
      <c r="H60" s="36">
        <v>7479.74</v>
      </c>
      <c r="I60" s="50">
        <v>15</v>
      </c>
      <c r="J60" s="35">
        <f t="shared" si="8"/>
        <v>35</v>
      </c>
      <c r="K60" s="36">
        <f>I60*H60</f>
        <v>112196.09999999999</v>
      </c>
      <c r="L60" s="36">
        <f t="shared" si="9"/>
        <v>261792.90000000002</v>
      </c>
      <c r="M60" s="31"/>
    </row>
    <row r="61" spans="1:13" ht="18.75" x14ac:dyDescent="0.3">
      <c r="A61" s="18"/>
      <c r="B61" s="34">
        <v>56</v>
      </c>
      <c r="C61" s="31" t="s">
        <v>233</v>
      </c>
      <c r="D61" s="32">
        <v>330000</v>
      </c>
      <c r="E61" s="33">
        <v>43989</v>
      </c>
      <c r="F61" s="32">
        <f t="shared" si="7"/>
        <v>373989</v>
      </c>
      <c r="G61" s="34">
        <v>50</v>
      </c>
      <c r="H61" s="36">
        <v>7479.78</v>
      </c>
      <c r="I61" s="31">
        <v>31</v>
      </c>
      <c r="J61" s="35">
        <f t="shared" si="8"/>
        <v>19</v>
      </c>
      <c r="K61" s="36">
        <f>H61*I61</f>
        <v>231873.18</v>
      </c>
      <c r="L61" s="36">
        <f t="shared" si="9"/>
        <v>142115.82</v>
      </c>
      <c r="M61" s="31"/>
    </row>
    <row r="62" spans="1:13" ht="18.75" x14ac:dyDescent="0.3">
      <c r="A62" s="18"/>
      <c r="B62" s="34">
        <v>57</v>
      </c>
      <c r="C62" s="31" t="s">
        <v>220</v>
      </c>
      <c r="D62" s="32">
        <v>330000</v>
      </c>
      <c r="E62" s="33">
        <v>43989</v>
      </c>
      <c r="F62" s="32">
        <f t="shared" si="7"/>
        <v>373989</v>
      </c>
      <c r="G62" s="34">
        <v>50</v>
      </c>
      <c r="H62" s="32">
        <v>7479.78</v>
      </c>
      <c r="I62" s="31">
        <v>31</v>
      </c>
      <c r="J62" s="35">
        <f t="shared" si="8"/>
        <v>19</v>
      </c>
      <c r="K62" s="36">
        <f>H62*I62</f>
        <v>231873.18</v>
      </c>
      <c r="L62" s="32">
        <f t="shared" si="9"/>
        <v>142115.82</v>
      </c>
      <c r="M62" s="31"/>
    </row>
    <row r="63" spans="1:13" ht="18.75" x14ac:dyDescent="0.3">
      <c r="A63" s="18"/>
      <c r="B63" s="34">
        <v>58</v>
      </c>
      <c r="C63" s="31" t="s">
        <v>140</v>
      </c>
      <c r="D63" s="32">
        <v>330000</v>
      </c>
      <c r="E63" s="33">
        <v>43989</v>
      </c>
      <c r="F63" s="32">
        <f t="shared" si="7"/>
        <v>373989</v>
      </c>
      <c r="G63" s="34">
        <v>50</v>
      </c>
      <c r="H63" s="36">
        <v>7479.78</v>
      </c>
      <c r="I63" s="31">
        <v>31</v>
      </c>
      <c r="J63" s="35">
        <f t="shared" si="8"/>
        <v>19</v>
      </c>
      <c r="K63" s="36">
        <f>H63*I63</f>
        <v>231873.18</v>
      </c>
      <c r="L63" s="36">
        <f t="shared" si="9"/>
        <v>142115.82</v>
      </c>
      <c r="M63" s="31"/>
    </row>
    <row r="64" spans="1:13" ht="18.75" x14ac:dyDescent="0.3">
      <c r="A64" s="18"/>
      <c r="B64" s="34">
        <v>59</v>
      </c>
      <c r="C64" s="31" t="s">
        <v>175</v>
      </c>
      <c r="D64" s="32">
        <v>330000</v>
      </c>
      <c r="E64" s="33">
        <v>43989</v>
      </c>
      <c r="F64" s="32">
        <f t="shared" si="7"/>
        <v>373989</v>
      </c>
      <c r="G64" s="34">
        <v>50</v>
      </c>
      <c r="H64" s="36">
        <v>7479.78</v>
      </c>
      <c r="I64" s="31">
        <v>26</v>
      </c>
      <c r="J64" s="35">
        <f t="shared" si="8"/>
        <v>24</v>
      </c>
      <c r="K64" s="36">
        <f>H64*I64</f>
        <v>194474.28</v>
      </c>
      <c r="L64" s="36">
        <f t="shared" si="9"/>
        <v>179514.72</v>
      </c>
      <c r="M64" s="31"/>
    </row>
    <row r="65" spans="1:13" ht="18.75" x14ac:dyDescent="0.3">
      <c r="A65" s="18"/>
      <c r="B65" s="34">
        <v>60</v>
      </c>
      <c r="C65" s="50" t="s">
        <v>149</v>
      </c>
      <c r="D65" s="33">
        <v>330000</v>
      </c>
      <c r="E65" s="33">
        <v>43989</v>
      </c>
      <c r="F65" s="32">
        <v>373989</v>
      </c>
      <c r="G65" s="34">
        <v>50</v>
      </c>
      <c r="H65" s="32">
        <v>7478.78</v>
      </c>
      <c r="I65" s="50">
        <v>20</v>
      </c>
      <c r="J65" s="35">
        <f t="shared" si="8"/>
        <v>30</v>
      </c>
      <c r="K65" s="36">
        <f t="shared" ref="K65:K89" si="12">I65*H65</f>
        <v>149575.6</v>
      </c>
      <c r="L65" s="36">
        <f t="shared" si="9"/>
        <v>224413.4</v>
      </c>
      <c r="M65" s="31"/>
    </row>
    <row r="66" spans="1:13" ht="18.75" x14ac:dyDescent="0.3">
      <c r="A66" s="18"/>
      <c r="B66" s="34">
        <v>61</v>
      </c>
      <c r="C66" s="50" t="s">
        <v>150</v>
      </c>
      <c r="D66" s="33">
        <v>330000</v>
      </c>
      <c r="E66" s="33">
        <v>43989</v>
      </c>
      <c r="F66" s="32">
        <f t="shared" ref="F66:F86" si="13">D66+E66</f>
        <v>373989</v>
      </c>
      <c r="G66" s="34">
        <v>50</v>
      </c>
      <c r="H66" s="32">
        <v>7479.78</v>
      </c>
      <c r="I66" s="50">
        <v>20</v>
      </c>
      <c r="J66" s="35">
        <f t="shared" si="8"/>
        <v>30</v>
      </c>
      <c r="K66" s="36">
        <f t="shared" si="12"/>
        <v>149595.6</v>
      </c>
      <c r="L66" s="36">
        <f t="shared" si="9"/>
        <v>224393.4</v>
      </c>
      <c r="M66" s="31"/>
    </row>
    <row r="67" spans="1:13" ht="18.75" x14ac:dyDescent="0.3">
      <c r="A67" s="18"/>
      <c r="B67" s="34">
        <v>62</v>
      </c>
      <c r="C67" s="50" t="s">
        <v>209</v>
      </c>
      <c r="D67" s="33">
        <v>330000</v>
      </c>
      <c r="E67" s="33">
        <v>43989</v>
      </c>
      <c r="F67" s="32">
        <f t="shared" si="13"/>
        <v>373989</v>
      </c>
      <c r="G67" s="34">
        <v>50</v>
      </c>
      <c r="H67" s="32">
        <v>7479.78</v>
      </c>
      <c r="I67" s="50">
        <v>17</v>
      </c>
      <c r="J67" s="35">
        <f t="shared" si="8"/>
        <v>33</v>
      </c>
      <c r="K67" s="36">
        <f t="shared" si="12"/>
        <v>127156.26</v>
      </c>
      <c r="L67" s="36">
        <f t="shared" si="9"/>
        <v>246832.74</v>
      </c>
      <c r="M67" s="31"/>
    </row>
    <row r="68" spans="1:13" ht="18.75" x14ac:dyDescent="0.3">
      <c r="A68" s="18"/>
      <c r="B68" s="34">
        <v>63</v>
      </c>
      <c r="C68" s="50" t="s">
        <v>210</v>
      </c>
      <c r="D68" s="33">
        <v>330000</v>
      </c>
      <c r="E68" s="33">
        <v>43989</v>
      </c>
      <c r="F68" s="32">
        <f t="shared" si="13"/>
        <v>373989</v>
      </c>
      <c r="G68" s="34">
        <v>50</v>
      </c>
      <c r="H68" s="32">
        <v>7479.78</v>
      </c>
      <c r="I68" s="50">
        <v>17</v>
      </c>
      <c r="J68" s="35">
        <f t="shared" si="8"/>
        <v>33</v>
      </c>
      <c r="K68" s="36">
        <f t="shared" si="12"/>
        <v>127156.26</v>
      </c>
      <c r="L68" s="36">
        <f t="shared" si="9"/>
        <v>246832.74</v>
      </c>
      <c r="M68" s="31"/>
    </row>
    <row r="69" spans="1:13" ht="18.75" x14ac:dyDescent="0.3">
      <c r="A69" s="18"/>
      <c r="B69" s="34">
        <v>64</v>
      </c>
      <c r="C69" s="50" t="s">
        <v>211</v>
      </c>
      <c r="D69" s="33">
        <v>330000</v>
      </c>
      <c r="E69" s="33">
        <v>43989</v>
      </c>
      <c r="F69" s="32">
        <f t="shared" si="13"/>
        <v>373989</v>
      </c>
      <c r="G69" s="34">
        <v>50</v>
      </c>
      <c r="H69" s="32">
        <v>7479.78</v>
      </c>
      <c r="I69" s="50">
        <v>17</v>
      </c>
      <c r="J69" s="35">
        <f t="shared" si="8"/>
        <v>33</v>
      </c>
      <c r="K69" s="36">
        <f t="shared" si="12"/>
        <v>127156.26</v>
      </c>
      <c r="L69" s="36">
        <f t="shared" si="9"/>
        <v>246832.74</v>
      </c>
      <c r="M69" s="31"/>
    </row>
    <row r="70" spans="1:13" ht="18.75" x14ac:dyDescent="0.3">
      <c r="A70" s="18"/>
      <c r="B70" s="34">
        <v>65</v>
      </c>
      <c r="C70" s="50" t="s">
        <v>212</v>
      </c>
      <c r="D70" s="33">
        <v>330000</v>
      </c>
      <c r="E70" s="33">
        <v>43989</v>
      </c>
      <c r="F70" s="32">
        <f t="shared" si="13"/>
        <v>373989</v>
      </c>
      <c r="G70" s="34">
        <v>50</v>
      </c>
      <c r="H70" s="32">
        <v>7479.78</v>
      </c>
      <c r="I70" s="50">
        <v>16</v>
      </c>
      <c r="J70" s="35">
        <f t="shared" ref="J70:J101" si="14">G70-I70</f>
        <v>34</v>
      </c>
      <c r="K70" s="36">
        <f t="shared" si="12"/>
        <v>119676.48</v>
      </c>
      <c r="L70" s="36">
        <f t="shared" ref="L70:L101" si="15">F70-K70</f>
        <v>254312.52000000002</v>
      </c>
      <c r="M70" s="31"/>
    </row>
    <row r="71" spans="1:13" ht="18.75" x14ac:dyDescent="0.3">
      <c r="A71" s="18"/>
      <c r="B71" s="34">
        <v>66</v>
      </c>
      <c r="C71" s="50" t="s">
        <v>13</v>
      </c>
      <c r="D71" s="33">
        <v>330000</v>
      </c>
      <c r="E71" s="33">
        <v>43989</v>
      </c>
      <c r="F71" s="32">
        <f t="shared" si="13"/>
        <v>373989</v>
      </c>
      <c r="G71" s="34">
        <v>50</v>
      </c>
      <c r="H71" s="32">
        <v>7479.78</v>
      </c>
      <c r="I71" s="50">
        <v>17</v>
      </c>
      <c r="J71" s="35">
        <f t="shared" si="14"/>
        <v>33</v>
      </c>
      <c r="K71" s="36">
        <f t="shared" si="12"/>
        <v>127156.26</v>
      </c>
      <c r="L71" s="36">
        <f t="shared" si="15"/>
        <v>246832.74</v>
      </c>
      <c r="M71" s="31"/>
    </row>
    <row r="72" spans="1:13" ht="18.75" x14ac:dyDescent="0.3">
      <c r="A72" s="18"/>
      <c r="B72" s="34">
        <v>67</v>
      </c>
      <c r="C72" s="50" t="s">
        <v>19</v>
      </c>
      <c r="D72" s="32">
        <v>330000</v>
      </c>
      <c r="E72" s="33">
        <v>43989</v>
      </c>
      <c r="F72" s="32">
        <f t="shared" si="13"/>
        <v>373989</v>
      </c>
      <c r="G72" s="34">
        <v>50</v>
      </c>
      <c r="H72" s="36">
        <v>7479.74</v>
      </c>
      <c r="I72" s="50">
        <v>15</v>
      </c>
      <c r="J72" s="35">
        <f t="shared" si="14"/>
        <v>35</v>
      </c>
      <c r="K72" s="36">
        <f t="shared" si="12"/>
        <v>112196.09999999999</v>
      </c>
      <c r="L72" s="36">
        <f t="shared" si="15"/>
        <v>261792.90000000002</v>
      </c>
      <c r="M72" s="31"/>
    </row>
    <row r="73" spans="1:13" ht="18.75" x14ac:dyDescent="0.3">
      <c r="A73" s="18"/>
      <c r="B73" s="34">
        <v>68</v>
      </c>
      <c r="C73" s="50" t="s">
        <v>215</v>
      </c>
      <c r="D73" s="32">
        <v>330000</v>
      </c>
      <c r="E73" s="33">
        <v>43989</v>
      </c>
      <c r="F73" s="32">
        <f t="shared" si="13"/>
        <v>373989</v>
      </c>
      <c r="G73" s="34">
        <v>50</v>
      </c>
      <c r="H73" s="36">
        <v>7479.78</v>
      </c>
      <c r="I73" s="50">
        <v>12</v>
      </c>
      <c r="J73" s="35">
        <f t="shared" si="14"/>
        <v>38</v>
      </c>
      <c r="K73" s="36">
        <f t="shared" si="12"/>
        <v>89757.36</v>
      </c>
      <c r="L73" s="36">
        <f t="shared" si="15"/>
        <v>284231.64</v>
      </c>
      <c r="M73" s="31"/>
    </row>
    <row r="74" spans="1:13" ht="18.75" x14ac:dyDescent="0.3">
      <c r="A74" s="18"/>
      <c r="B74" s="34">
        <v>69</v>
      </c>
      <c r="C74" s="50" t="s">
        <v>25</v>
      </c>
      <c r="D74" s="32">
        <v>330000</v>
      </c>
      <c r="E74" s="33">
        <v>43989</v>
      </c>
      <c r="F74" s="32">
        <f t="shared" si="13"/>
        <v>373989</v>
      </c>
      <c r="G74" s="34">
        <v>50</v>
      </c>
      <c r="H74" s="36">
        <v>7479.78</v>
      </c>
      <c r="I74" s="50">
        <v>10</v>
      </c>
      <c r="J74" s="35">
        <f t="shared" si="14"/>
        <v>40</v>
      </c>
      <c r="K74" s="36">
        <f t="shared" si="12"/>
        <v>74797.8</v>
      </c>
      <c r="L74" s="36">
        <f t="shared" si="15"/>
        <v>299191.2</v>
      </c>
      <c r="M74" s="31"/>
    </row>
    <row r="75" spans="1:13" ht="18.75" x14ac:dyDescent="0.3">
      <c r="A75" s="18"/>
      <c r="B75" s="34">
        <v>70</v>
      </c>
      <c r="C75" s="50" t="s">
        <v>26</v>
      </c>
      <c r="D75" s="32">
        <v>330000</v>
      </c>
      <c r="E75" s="33">
        <v>43989</v>
      </c>
      <c r="F75" s="32">
        <f t="shared" si="13"/>
        <v>373989</v>
      </c>
      <c r="G75" s="34">
        <v>50</v>
      </c>
      <c r="H75" s="36">
        <v>7479.78</v>
      </c>
      <c r="I75" s="50">
        <v>10</v>
      </c>
      <c r="J75" s="35">
        <f t="shared" si="14"/>
        <v>40</v>
      </c>
      <c r="K75" s="36">
        <f t="shared" si="12"/>
        <v>74797.8</v>
      </c>
      <c r="L75" s="36">
        <f t="shared" si="15"/>
        <v>299191.2</v>
      </c>
      <c r="M75" s="31"/>
    </row>
    <row r="76" spans="1:13" ht="18.75" x14ac:dyDescent="0.3">
      <c r="A76" s="18"/>
      <c r="B76" s="34">
        <v>71</v>
      </c>
      <c r="C76" s="50" t="s">
        <v>30</v>
      </c>
      <c r="D76" s="32">
        <v>330000</v>
      </c>
      <c r="E76" s="33">
        <v>43989</v>
      </c>
      <c r="F76" s="32">
        <f t="shared" si="13"/>
        <v>373989</v>
      </c>
      <c r="G76" s="34">
        <v>50</v>
      </c>
      <c r="H76" s="36">
        <v>7479.78</v>
      </c>
      <c r="I76" s="50">
        <v>9</v>
      </c>
      <c r="J76" s="35">
        <f t="shared" si="14"/>
        <v>41</v>
      </c>
      <c r="K76" s="36">
        <f t="shared" si="12"/>
        <v>67318.02</v>
      </c>
      <c r="L76" s="36">
        <f t="shared" si="15"/>
        <v>306670.98</v>
      </c>
      <c r="M76" s="31"/>
    </row>
    <row r="77" spans="1:13" ht="18.75" x14ac:dyDescent="0.3">
      <c r="A77" s="18"/>
      <c r="B77" s="34">
        <v>72</v>
      </c>
      <c r="C77" s="29" t="s">
        <v>36</v>
      </c>
      <c r="D77" s="32">
        <v>330000</v>
      </c>
      <c r="E77" s="33">
        <v>43989</v>
      </c>
      <c r="F77" s="32">
        <f t="shared" si="13"/>
        <v>373989</v>
      </c>
      <c r="G77" s="34">
        <v>50</v>
      </c>
      <c r="H77" s="36">
        <v>7479.78</v>
      </c>
      <c r="I77" s="50">
        <v>9</v>
      </c>
      <c r="J77" s="35">
        <f t="shared" si="14"/>
        <v>41</v>
      </c>
      <c r="K77" s="36">
        <f t="shared" si="12"/>
        <v>67318.02</v>
      </c>
      <c r="L77" s="36">
        <f t="shared" si="15"/>
        <v>306670.98</v>
      </c>
      <c r="M77" s="31"/>
    </row>
    <row r="78" spans="1:13" ht="18.75" x14ac:dyDescent="0.3">
      <c r="A78" s="18"/>
      <c r="B78" s="34">
        <v>73</v>
      </c>
      <c r="C78" s="29" t="s">
        <v>37</v>
      </c>
      <c r="D78" s="32">
        <v>330000</v>
      </c>
      <c r="E78" s="33">
        <v>43989</v>
      </c>
      <c r="F78" s="32">
        <f t="shared" si="13"/>
        <v>373989</v>
      </c>
      <c r="G78" s="34">
        <v>50</v>
      </c>
      <c r="H78" s="36">
        <v>7479.78</v>
      </c>
      <c r="I78" s="50">
        <v>10</v>
      </c>
      <c r="J78" s="35">
        <f t="shared" si="14"/>
        <v>40</v>
      </c>
      <c r="K78" s="36">
        <f t="shared" si="12"/>
        <v>74797.8</v>
      </c>
      <c r="L78" s="36">
        <f t="shared" si="15"/>
        <v>299191.2</v>
      </c>
      <c r="M78" s="31"/>
    </row>
    <row r="79" spans="1:13" ht="18.75" x14ac:dyDescent="0.3">
      <c r="A79" s="18"/>
      <c r="B79" s="34">
        <v>74</v>
      </c>
      <c r="C79" s="29" t="s">
        <v>40</v>
      </c>
      <c r="D79" s="32">
        <v>330000</v>
      </c>
      <c r="E79" s="33">
        <v>43989</v>
      </c>
      <c r="F79" s="32">
        <f t="shared" si="13"/>
        <v>373989</v>
      </c>
      <c r="G79" s="34">
        <v>50</v>
      </c>
      <c r="H79" s="36">
        <v>7479.78</v>
      </c>
      <c r="I79" s="50">
        <v>32</v>
      </c>
      <c r="J79" s="35">
        <f t="shared" si="14"/>
        <v>18</v>
      </c>
      <c r="K79" s="36">
        <f t="shared" si="12"/>
        <v>239352.95999999999</v>
      </c>
      <c r="L79" s="36">
        <f t="shared" si="15"/>
        <v>134636.04</v>
      </c>
      <c r="M79" s="31"/>
    </row>
    <row r="80" spans="1:13" ht="18.75" x14ac:dyDescent="0.3">
      <c r="A80" s="18"/>
      <c r="B80" s="34">
        <v>75</v>
      </c>
      <c r="C80" s="29" t="s">
        <v>173</v>
      </c>
      <c r="D80" s="32">
        <v>330000</v>
      </c>
      <c r="E80" s="33">
        <v>43989</v>
      </c>
      <c r="F80" s="32">
        <f t="shared" si="13"/>
        <v>373989</v>
      </c>
      <c r="G80" s="34">
        <v>50</v>
      </c>
      <c r="H80" s="32">
        <v>7479.78</v>
      </c>
      <c r="I80" s="50">
        <v>21</v>
      </c>
      <c r="J80" s="35">
        <f t="shared" si="14"/>
        <v>29</v>
      </c>
      <c r="K80" s="36">
        <f t="shared" si="12"/>
        <v>157075.38</v>
      </c>
      <c r="L80" s="36">
        <f t="shared" si="15"/>
        <v>216913.62</v>
      </c>
      <c r="M80" s="31"/>
    </row>
    <row r="81" spans="1:13" ht="18.75" x14ac:dyDescent="0.3">
      <c r="A81" s="18"/>
      <c r="B81" s="34">
        <v>76</v>
      </c>
      <c r="C81" s="29" t="s">
        <v>49</v>
      </c>
      <c r="D81" s="32">
        <v>330000</v>
      </c>
      <c r="E81" s="33">
        <v>43989</v>
      </c>
      <c r="F81" s="32">
        <f t="shared" si="13"/>
        <v>373989</v>
      </c>
      <c r="G81" s="34">
        <v>50</v>
      </c>
      <c r="H81" s="32">
        <v>7479.78</v>
      </c>
      <c r="I81" s="50">
        <v>7</v>
      </c>
      <c r="J81" s="35">
        <f t="shared" si="14"/>
        <v>43</v>
      </c>
      <c r="K81" s="36">
        <f t="shared" si="12"/>
        <v>52358.46</v>
      </c>
      <c r="L81" s="36">
        <f t="shared" si="15"/>
        <v>321630.53999999998</v>
      </c>
      <c r="M81" s="31"/>
    </row>
    <row r="82" spans="1:13" ht="18.75" x14ac:dyDescent="0.3">
      <c r="A82" s="18"/>
      <c r="B82" s="34">
        <v>77</v>
      </c>
      <c r="C82" s="29" t="s">
        <v>50</v>
      </c>
      <c r="D82" s="32">
        <v>330000</v>
      </c>
      <c r="E82" s="33">
        <v>43989</v>
      </c>
      <c r="F82" s="32">
        <f t="shared" si="13"/>
        <v>373989</v>
      </c>
      <c r="G82" s="34">
        <v>50</v>
      </c>
      <c r="H82" s="32">
        <v>7479.78</v>
      </c>
      <c r="I82" s="50">
        <v>7</v>
      </c>
      <c r="J82" s="35">
        <f t="shared" si="14"/>
        <v>43</v>
      </c>
      <c r="K82" s="36">
        <f t="shared" si="12"/>
        <v>52358.46</v>
      </c>
      <c r="L82" s="36">
        <f t="shared" si="15"/>
        <v>321630.53999999998</v>
      </c>
      <c r="M82" s="31"/>
    </row>
    <row r="83" spans="1:13" ht="18.75" x14ac:dyDescent="0.3">
      <c r="A83" s="18"/>
      <c r="B83" s="34">
        <v>78</v>
      </c>
      <c r="C83" s="29" t="s">
        <v>70</v>
      </c>
      <c r="D83" s="32">
        <v>330000</v>
      </c>
      <c r="E83" s="33">
        <v>43989</v>
      </c>
      <c r="F83" s="32">
        <f t="shared" si="13"/>
        <v>373989</v>
      </c>
      <c r="G83" s="34">
        <v>50</v>
      </c>
      <c r="H83" s="32">
        <v>7479.78</v>
      </c>
      <c r="I83" s="50">
        <v>5</v>
      </c>
      <c r="J83" s="35">
        <f t="shared" si="14"/>
        <v>45</v>
      </c>
      <c r="K83" s="36">
        <f t="shared" si="12"/>
        <v>37398.9</v>
      </c>
      <c r="L83" s="36">
        <f t="shared" si="15"/>
        <v>336590.1</v>
      </c>
      <c r="M83" s="31"/>
    </row>
    <row r="84" spans="1:13" ht="18.75" x14ac:dyDescent="0.3">
      <c r="A84" s="18"/>
      <c r="B84" s="34">
        <v>79</v>
      </c>
      <c r="C84" s="29" t="s">
        <v>69</v>
      </c>
      <c r="D84" s="32">
        <v>330000</v>
      </c>
      <c r="E84" s="33">
        <v>43989</v>
      </c>
      <c r="F84" s="32">
        <f t="shared" si="13"/>
        <v>373989</v>
      </c>
      <c r="G84" s="34">
        <v>50</v>
      </c>
      <c r="H84" s="32">
        <v>7479.78</v>
      </c>
      <c r="I84" s="50">
        <v>5</v>
      </c>
      <c r="J84" s="35">
        <f t="shared" si="14"/>
        <v>45</v>
      </c>
      <c r="K84" s="36">
        <f t="shared" si="12"/>
        <v>37398.9</v>
      </c>
      <c r="L84" s="36">
        <f t="shared" si="15"/>
        <v>336590.1</v>
      </c>
      <c r="M84" s="31"/>
    </row>
    <row r="85" spans="1:13" ht="18.75" x14ac:dyDescent="0.3">
      <c r="A85" s="18"/>
      <c r="B85" s="34">
        <v>80</v>
      </c>
      <c r="C85" s="29" t="s">
        <v>62</v>
      </c>
      <c r="D85" s="32">
        <v>330000</v>
      </c>
      <c r="E85" s="33">
        <v>43989</v>
      </c>
      <c r="F85" s="32">
        <f t="shared" si="13"/>
        <v>373989</v>
      </c>
      <c r="G85" s="34">
        <v>50</v>
      </c>
      <c r="H85" s="32">
        <v>7479.78</v>
      </c>
      <c r="I85" s="50">
        <v>5</v>
      </c>
      <c r="J85" s="35">
        <f t="shared" si="14"/>
        <v>45</v>
      </c>
      <c r="K85" s="36">
        <f t="shared" si="12"/>
        <v>37398.9</v>
      </c>
      <c r="L85" s="36">
        <f t="shared" si="15"/>
        <v>336590.1</v>
      </c>
      <c r="M85" s="31"/>
    </row>
    <row r="86" spans="1:13" ht="18.75" x14ac:dyDescent="0.3">
      <c r="A86" s="18"/>
      <c r="B86" s="34">
        <v>81</v>
      </c>
      <c r="C86" s="29" t="s">
        <v>64</v>
      </c>
      <c r="D86" s="32">
        <v>330000</v>
      </c>
      <c r="E86" s="33">
        <v>43989</v>
      </c>
      <c r="F86" s="32">
        <f t="shared" si="13"/>
        <v>373989</v>
      </c>
      <c r="G86" s="34">
        <v>50</v>
      </c>
      <c r="H86" s="32">
        <v>7479.78</v>
      </c>
      <c r="I86" s="50">
        <v>5</v>
      </c>
      <c r="J86" s="35">
        <f t="shared" si="14"/>
        <v>45</v>
      </c>
      <c r="K86" s="36">
        <f t="shared" si="12"/>
        <v>37398.9</v>
      </c>
      <c r="L86" s="36">
        <f t="shared" si="15"/>
        <v>336590.1</v>
      </c>
      <c r="M86" s="31"/>
    </row>
    <row r="87" spans="1:13" ht="18.75" x14ac:dyDescent="0.3">
      <c r="A87" s="18"/>
      <c r="B87" s="34">
        <v>82</v>
      </c>
      <c r="C87" s="29" t="s">
        <v>257</v>
      </c>
      <c r="D87" s="32">
        <v>330000</v>
      </c>
      <c r="E87" s="33">
        <v>43989</v>
      </c>
      <c r="F87" s="32">
        <f t="shared" ref="F87:F88" si="16">D87+E87</f>
        <v>373989</v>
      </c>
      <c r="G87" s="34">
        <v>50</v>
      </c>
      <c r="H87" s="32">
        <v>7479.78</v>
      </c>
      <c r="I87" s="50">
        <v>2</v>
      </c>
      <c r="J87" s="35">
        <f t="shared" si="14"/>
        <v>48</v>
      </c>
      <c r="K87" s="36">
        <f t="shared" si="12"/>
        <v>14959.56</v>
      </c>
      <c r="L87" s="36">
        <f t="shared" si="15"/>
        <v>359029.44</v>
      </c>
      <c r="M87" s="31"/>
    </row>
    <row r="88" spans="1:13" ht="18.75" x14ac:dyDescent="0.3">
      <c r="A88" s="18"/>
      <c r="B88" s="34">
        <v>83</v>
      </c>
      <c r="C88" s="29" t="s">
        <v>256</v>
      </c>
      <c r="D88" s="32">
        <v>330000</v>
      </c>
      <c r="E88" s="33">
        <v>43989</v>
      </c>
      <c r="F88" s="32">
        <f t="shared" si="16"/>
        <v>373989</v>
      </c>
      <c r="G88" s="34">
        <v>50</v>
      </c>
      <c r="H88" s="32">
        <v>7479.78</v>
      </c>
      <c r="I88" s="50">
        <v>2</v>
      </c>
      <c r="J88" s="35">
        <f t="shared" si="14"/>
        <v>48</v>
      </c>
      <c r="K88" s="36">
        <f t="shared" si="12"/>
        <v>14959.56</v>
      </c>
      <c r="L88" s="36">
        <f t="shared" si="15"/>
        <v>359029.44</v>
      </c>
      <c r="M88" s="31"/>
    </row>
    <row r="89" spans="1:13" ht="18.75" x14ac:dyDescent="0.3">
      <c r="A89" s="18"/>
      <c r="B89" s="34">
        <v>84</v>
      </c>
      <c r="C89" s="66" t="s">
        <v>260</v>
      </c>
      <c r="D89" s="33">
        <v>150000</v>
      </c>
      <c r="E89" s="33">
        <v>19995</v>
      </c>
      <c r="F89" s="32">
        <f t="shared" ref="F89:F120" si="17">D89+E89</f>
        <v>169995</v>
      </c>
      <c r="G89" s="34">
        <v>37</v>
      </c>
      <c r="H89" s="32">
        <v>4566.57</v>
      </c>
      <c r="I89" s="50">
        <v>1</v>
      </c>
      <c r="J89" s="35">
        <f t="shared" si="14"/>
        <v>36</v>
      </c>
      <c r="K89" s="36">
        <f t="shared" si="12"/>
        <v>4566.57</v>
      </c>
      <c r="L89" s="36">
        <f t="shared" si="15"/>
        <v>165428.43</v>
      </c>
      <c r="M89" s="31" t="s">
        <v>255</v>
      </c>
    </row>
    <row r="90" spans="1:13" ht="18.75" x14ac:dyDescent="0.3">
      <c r="A90" s="18"/>
      <c r="B90" s="34">
        <v>85</v>
      </c>
      <c r="C90" s="31" t="s">
        <v>73</v>
      </c>
      <c r="D90" s="33">
        <v>150000</v>
      </c>
      <c r="E90" s="33">
        <v>19995</v>
      </c>
      <c r="F90" s="32">
        <f t="shared" si="17"/>
        <v>169995</v>
      </c>
      <c r="G90" s="34">
        <v>50</v>
      </c>
      <c r="H90" s="32">
        <v>3399.9</v>
      </c>
      <c r="I90" s="52">
        <v>31</v>
      </c>
      <c r="J90" s="35">
        <f t="shared" si="14"/>
        <v>19</v>
      </c>
      <c r="K90" s="32">
        <f t="shared" ref="K90:K114" si="18">H90*I90</f>
        <v>105396.90000000001</v>
      </c>
      <c r="L90" s="33">
        <f t="shared" si="15"/>
        <v>64598.099999999991</v>
      </c>
      <c r="M90" s="31"/>
    </row>
    <row r="91" spans="1:13" ht="18.75" x14ac:dyDescent="0.3">
      <c r="A91" s="18"/>
      <c r="B91" s="34">
        <v>86</v>
      </c>
      <c r="C91" s="31" t="s">
        <v>76</v>
      </c>
      <c r="D91" s="33">
        <v>150000</v>
      </c>
      <c r="E91" s="33">
        <v>19995</v>
      </c>
      <c r="F91" s="32">
        <f t="shared" si="17"/>
        <v>169995</v>
      </c>
      <c r="G91" s="34">
        <v>50</v>
      </c>
      <c r="H91" s="32">
        <v>3399.9</v>
      </c>
      <c r="I91" s="52">
        <v>31</v>
      </c>
      <c r="J91" s="35">
        <f t="shared" si="14"/>
        <v>19</v>
      </c>
      <c r="K91" s="32">
        <f t="shared" si="18"/>
        <v>105396.90000000001</v>
      </c>
      <c r="L91" s="32">
        <f t="shared" si="15"/>
        <v>64598.099999999991</v>
      </c>
      <c r="M91" s="31"/>
    </row>
    <row r="92" spans="1:13" ht="18.75" x14ac:dyDescent="0.3">
      <c r="A92" s="18"/>
      <c r="B92" s="34">
        <v>87</v>
      </c>
      <c r="C92" s="31" t="s">
        <v>190</v>
      </c>
      <c r="D92" s="33">
        <v>150000</v>
      </c>
      <c r="E92" s="33">
        <v>19995</v>
      </c>
      <c r="F92" s="32">
        <f t="shared" si="17"/>
        <v>169995</v>
      </c>
      <c r="G92" s="34">
        <v>50</v>
      </c>
      <c r="H92" s="32">
        <v>3399.9</v>
      </c>
      <c r="I92" s="52">
        <v>46</v>
      </c>
      <c r="J92" s="35">
        <f t="shared" si="14"/>
        <v>4</v>
      </c>
      <c r="K92" s="32">
        <f t="shared" si="18"/>
        <v>156395.4</v>
      </c>
      <c r="L92" s="33">
        <f t="shared" si="15"/>
        <v>13599.600000000006</v>
      </c>
      <c r="M92" s="31"/>
    </row>
    <row r="93" spans="1:13" ht="18.75" x14ac:dyDescent="0.3">
      <c r="A93" s="18"/>
      <c r="B93" s="34">
        <v>88</v>
      </c>
      <c r="C93" s="31" t="s">
        <v>81</v>
      </c>
      <c r="D93" s="33">
        <v>150000</v>
      </c>
      <c r="E93" s="33">
        <v>19995</v>
      </c>
      <c r="F93" s="32">
        <f t="shared" si="17"/>
        <v>169995</v>
      </c>
      <c r="G93" s="34">
        <v>50</v>
      </c>
      <c r="H93" s="32">
        <v>3399.9</v>
      </c>
      <c r="I93" s="31">
        <v>31</v>
      </c>
      <c r="J93" s="35">
        <f t="shared" si="14"/>
        <v>19</v>
      </c>
      <c r="K93" s="36">
        <f t="shared" si="18"/>
        <v>105396.90000000001</v>
      </c>
      <c r="L93" s="32">
        <f t="shared" si="15"/>
        <v>64598.099999999991</v>
      </c>
      <c r="M93" s="31"/>
    </row>
    <row r="94" spans="1:13" ht="18.75" x14ac:dyDescent="0.3">
      <c r="A94" s="18"/>
      <c r="B94" s="34">
        <v>89</v>
      </c>
      <c r="C94" s="31" t="s">
        <v>84</v>
      </c>
      <c r="D94" s="33">
        <v>150000</v>
      </c>
      <c r="E94" s="33">
        <v>19995</v>
      </c>
      <c r="F94" s="32">
        <f t="shared" si="17"/>
        <v>169995</v>
      </c>
      <c r="G94" s="34">
        <v>50</v>
      </c>
      <c r="H94" s="32">
        <v>3399.9</v>
      </c>
      <c r="I94" s="31">
        <v>31</v>
      </c>
      <c r="J94" s="35">
        <f t="shared" si="14"/>
        <v>19</v>
      </c>
      <c r="K94" s="36">
        <f t="shared" si="18"/>
        <v>105396.90000000001</v>
      </c>
      <c r="L94" s="32">
        <f t="shared" si="15"/>
        <v>64598.099999999991</v>
      </c>
      <c r="M94" s="31"/>
    </row>
    <row r="95" spans="1:13" ht="18.75" x14ac:dyDescent="0.3">
      <c r="A95" s="18"/>
      <c r="B95" s="34">
        <v>90</v>
      </c>
      <c r="C95" s="31" t="s">
        <v>86</v>
      </c>
      <c r="D95" s="33">
        <v>150000</v>
      </c>
      <c r="E95" s="33">
        <v>19995</v>
      </c>
      <c r="F95" s="32">
        <f t="shared" si="17"/>
        <v>169995</v>
      </c>
      <c r="G95" s="34">
        <v>50</v>
      </c>
      <c r="H95" s="32">
        <v>3399.9</v>
      </c>
      <c r="I95" s="31">
        <v>46</v>
      </c>
      <c r="J95" s="35">
        <f t="shared" si="14"/>
        <v>4</v>
      </c>
      <c r="K95" s="36">
        <f t="shared" si="18"/>
        <v>156395.4</v>
      </c>
      <c r="L95" s="32">
        <f t="shared" si="15"/>
        <v>13599.600000000006</v>
      </c>
      <c r="M95" s="31"/>
    </row>
    <row r="96" spans="1:13" ht="18.75" x14ac:dyDescent="0.3">
      <c r="A96" s="18"/>
      <c r="B96" s="34">
        <v>91</v>
      </c>
      <c r="C96" s="31" t="s">
        <v>87</v>
      </c>
      <c r="D96" s="33">
        <v>150000</v>
      </c>
      <c r="E96" s="33">
        <v>19995</v>
      </c>
      <c r="F96" s="32">
        <f t="shared" si="17"/>
        <v>169995</v>
      </c>
      <c r="G96" s="34">
        <v>50</v>
      </c>
      <c r="H96" s="32">
        <v>3399.9</v>
      </c>
      <c r="I96" s="31">
        <v>46</v>
      </c>
      <c r="J96" s="35">
        <f t="shared" si="14"/>
        <v>4</v>
      </c>
      <c r="K96" s="36">
        <f t="shared" si="18"/>
        <v>156395.4</v>
      </c>
      <c r="L96" s="32">
        <f t="shared" si="15"/>
        <v>13599.600000000006</v>
      </c>
      <c r="M96" s="31"/>
    </row>
    <row r="97" spans="1:13" ht="18.75" x14ac:dyDescent="0.3">
      <c r="A97" s="18"/>
      <c r="B97" s="34">
        <v>92</v>
      </c>
      <c r="C97" s="31" t="s">
        <v>89</v>
      </c>
      <c r="D97" s="33">
        <v>150000</v>
      </c>
      <c r="E97" s="33">
        <v>19995</v>
      </c>
      <c r="F97" s="32">
        <f t="shared" si="17"/>
        <v>169995</v>
      </c>
      <c r="G97" s="34">
        <v>50</v>
      </c>
      <c r="H97" s="32">
        <v>3399.9</v>
      </c>
      <c r="I97" s="31">
        <v>31</v>
      </c>
      <c r="J97" s="35">
        <f t="shared" si="14"/>
        <v>19</v>
      </c>
      <c r="K97" s="36">
        <f t="shared" si="18"/>
        <v>105396.90000000001</v>
      </c>
      <c r="L97" s="32">
        <f t="shared" si="15"/>
        <v>64598.099999999991</v>
      </c>
      <c r="M97" s="31"/>
    </row>
    <row r="98" spans="1:13" ht="18.75" x14ac:dyDescent="0.3">
      <c r="A98" s="18"/>
      <c r="B98" s="34">
        <v>93</v>
      </c>
      <c r="C98" s="31" t="s">
        <v>91</v>
      </c>
      <c r="D98" s="33">
        <v>150000</v>
      </c>
      <c r="E98" s="33">
        <v>19995</v>
      </c>
      <c r="F98" s="32">
        <f t="shared" si="17"/>
        <v>169995</v>
      </c>
      <c r="G98" s="34">
        <v>50</v>
      </c>
      <c r="H98" s="32">
        <v>3399.9</v>
      </c>
      <c r="I98" s="31">
        <v>46</v>
      </c>
      <c r="J98" s="35">
        <f t="shared" si="14"/>
        <v>4</v>
      </c>
      <c r="K98" s="36">
        <f t="shared" si="18"/>
        <v>156395.4</v>
      </c>
      <c r="L98" s="32">
        <f t="shared" si="15"/>
        <v>13599.600000000006</v>
      </c>
      <c r="M98" s="31"/>
    </row>
    <row r="99" spans="1:13" ht="18.75" x14ac:dyDescent="0.3">
      <c r="A99" s="18"/>
      <c r="B99" s="34">
        <v>94</v>
      </c>
      <c r="C99" s="31" t="s">
        <v>94</v>
      </c>
      <c r="D99" s="33">
        <v>150000</v>
      </c>
      <c r="E99" s="33">
        <v>19995</v>
      </c>
      <c r="F99" s="32">
        <f t="shared" si="17"/>
        <v>169995</v>
      </c>
      <c r="G99" s="34">
        <v>50</v>
      </c>
      <c r="H99" s="32">
        <v>3399.9</v>
      </c>
      <c r="I99" s="31">
        <v>31</v>
      </c>
      <c r="J99" s="35">
        <f t="shared" si="14"/>
        <v>19</v>
      </c>
      <c r="K99" s="36">
        <f t="shared" si="18"/>
        <v>105396.90000000001</v>
      </c>
      <c r="L99" s="32">
        <f t="shared" si="15"/>
        <v>64598.099999999991</v>
      </c>
      <c r="M99" s="31"/>
    </row>
    <row r="100" spans="1:13" ht="18.75" x14ac:dyDescent="0.3">
      <c r="A100" s="18"/>
      <c r="B100" s="34">
        <v>95</v>
      </c>
      <c r="C100" s="31" t="s">
        <v>224</v>
      </c>
      <c r="D100" s="33">
        <v>150000</v>
      </c>
      <c r="E100" s="33">
        <v>19995</v>
      </c>
      <c r="F100" s="32">
        <f t="shared" si="17"/>
        <v>169995</v>
      </c>
      <c r="G100" s="34">
        <v>50</v>
      </c>
      <c r="H100" s="32">
        <v>3399.9</v>
      </c>
      <c r="I100" s="31">
        <v>46</v>
      </c>
      <c r="J100" s="35">
        <f t="shared" si="14"/>
        <v>4</v>
      </c>
      <c r="K100" s="36">
        <f t="shared" si="18"/>
        <v>156395.4</v>
      </c>
      <c r="L100" s="32">
        <f t="shared" si="15"/>
        <v>13599.600000000006</v>
      </c>
      <c r="M100" s="31"/>
    </row>
    <row r="101" spans="1:13" ht="18.75" x14ac:dyDescent="0.3">
      <c r="A101" s="18"/>
      <c r="B101" s="34">
        <v>96</v>
      </c>
      <c r="C101" s="31" t="s">
        <v>193</v>
      </c>
      <c r="D101" s="33">
        <v>150000</v>
      </c>
      <c r="E101" s="33">
        <v>19995</v>
      </c>
      <c r="F101" s="32">
        <f t="shared" si="17"/>
        <v>169995</v>
      </c>
      <c r="G101" s="34">
        <v>50</v>
      </c>
      <c r="H101" s="32">
        <v>3399.9</v>
      </c>
      <c r="I101" s="31">
        <v>31</v>
      </c>
      <c r="J101" s="35">
        <f t="shared" si="14"/>
        <v>19</v>
      </c>
      <c r="K101" s="36">
        <f t="shared" si="18"/>
        <v>105396.90000000001</v>
      </c>
      <c r="L101" s="32">
        <f t="shared" si="15"/>
        <v>64598.099999999991</v>
      </c>
      <c r="M101" s="31"/>
    </row>
    <row r="102" spans="1:13" ht="18.75" x14ac:dyDescent="0.3">
      <c r="A102" s="18"/>
      <c r="B102" s="34">
        <v>97</v>
      </c>
      <c r="C102" s="31" t="s">
        <v>101</v>
      </c>
      <c r="D102" s="33">
        <v>150000</v>
      </c>
      <c r="E102" s="33">
        <v>19995</v>
      </c>
      <c r="F102" s="32">
        <f t="shared" si="17"/>
        <v>169995</v>
      </c>
      <c r="G102" s="34">
        <v>50</v>
      </c>
      <c r="H102" s="32">
        <v>3399.9</v>
      </c>
      <c r="I102" s="31">
        <v>29</v>
      </c>
      <c r="J102" s="35">
        <f t="shared" ref="J102:J133" si="19">G102-I102</f>
        <v>21</v>
      </c>
      <c r="K102" s="36">
        <f t="shared" si="18"/>
        <v>98597.1</v>
      </c>
      <c r="L102" s="32">
        <f t="shared" ref="L102:L130" si="20">F102-K102</f>
        <v>71397.899999999994</v>
      </c>
      <c r="M102" s="31"/>
    </row>
    <row r="103" spans="1:13" ht="18.75" x14ac:dyDescent="0.3">
      <c r="A103" s="18"/>
      <c r="B103" s="34">
        <v>98</v>
      </c>
      <c r="C103" s="31" t="s">
        <v>102</v>
      </c>
      <c r="D103" s="33">
        <v>150000</v>
      </c>
      <c r="E103" s="33">
        <v>19995</v>
      </c>
      <c r="F103" s="32">
        <f t="shared" si="17"/>
        <v>169995</v>
      </c>
      <c r="G103" s="34">
        <v>50</v>
      </c>
      <c r="H103" s="32">
        <v>3399.9</v>
      </c>
      <c r="I103" s="31">
        <v>31</v>
      </c>
      <c r="J103" s="35">
        <f t="shared" si="19"/>
        <v>19</v>
      </c>
      <c r="K103" s="36">
        <f t="shared" si="18"/>
        <v>105396.90000000001</v>
      </c>
      <c r="L103" s="32">
        <f t="shared" si="20"/>
        <v>64598.099999999991</v>
      </c>
      <c r="M103" s="31"/>
    </row>
    <row r="104" spans="1:13" ht="18.75" x14ac:dyDescent="0.3">
      <c r="A104" s="18"/>
      <c r="B104" s="34">
        <v>99</v>
      </c>
      <c r="C104" s="31" t="s">
        <v>104</v>
      </c>
      <c r="D104" s="33">
        <v>150000</v>
      </c>
      <c r="E104" s="33">
        <v>19995</v>
      </c>
      <c r="F104" s="32">
        <f t="shared" si="17"/>
        <v>169995</v>
      </c>
      <c r="G104" s="34">
        <v>50</v>
      </c>
      <c r="H104" s="32">
        <v>3399.9</v>
      </c>
      <c r="I104" s="31">
        <v>46</v>
      </c>
      <c r="J104" s="35">
        <f t="shared" si="19"/>
        <v>4</v>
      </c>
      <c r="K104" s="36">
        <f t="shared" si="18"/>
        <v>156395.4</v>
      </c>
      <c r="L104" s="32">
        <f t="shared" si="20"/>
        <v>13599.600000000006</v>
      </c>
      <c r="M104" s="31"/>
    </row>
    <row r="105" spans="1:13" ht="18.75" x14ac:dyDescent="0.3">
      <c r="A105" s="18"/>
      <c r="B105" s="34">
        <v>100</v>
      </c>
      <c r="C105" s="31" t="s">
        <v>110</v>
      </c>
      <c r="D105" s="33">
        <v>150000</v>
      </c>
      <c r="E105" s="33">
        <v>19995</v>
      </c>
      <c r="F105" s="32">
        <f t="shared" si="17"/>
        <v>169995</v>
      </c>
      <c r="G105" s="34">
        <v>50</v>
      </c>
      <c r="H105" s="32">
        <v>3399.9</v>
      </c>
      <c r="I105" s="31">
        <v>31</v>
      </c>
      <c r="J105" s="35">
        <f t="shared" si="19"/>
        <v>19</v>
      </c>
      <c r="K105" s="36">
        <f t="shared" si="18"/>
        <v>105396.90000000001</v>
      </c>
      <c r="L105" s="32">
        <f t="shared" si="20"/>
        <v>64598.099999999991</v>
      </c>
      <c r="M105" s="31"/>
    </row>
    <row r="106" spans="1:13" ht="18.75" x14ac:dyDescent="0.3">
      <c r="A106" s="18"/>
      <c r="B106" s="34">
        <v>101</v>
      </c>
      <c r="C106" s="31" t="s">
        <v>225</v>
      </c>
      <c r="D106" s="33">
        <v>150000</v>
      </c>
      <c r="E106" s="33">
        <v>19995</v>
      </c>
      <c r="F106" s="32">
        <f t="shared" si="17"/>
        <v>169995</v>
      </c>
      <c r="G106" s="34">
        <v>50</v>
      </c>
      <c r="H106" s="32">
        <v>3399.9</v>
      </c>
      <c r="I106" s="31">
        <v>46</v>
      </c>
      <c r="J106" s="35">
        <f t="shared" si="19"/>
        <v>4</v>
      </c>
      <c r="K106" s="36">
        <f t="shared" si="18"/>
        <v>156395.4</v>
      </c>
      <c r="L106" s="32">
        <f t="shared" si="20"/>
        <v>13599.600000000006</v>
      </c>
      <c r="M106" s="31"/>
    </row>
    <row r="107" spans="1:13" ht="18.75" x14ac:dyDescent="0.3">
      <c r="A107" s="18"/>
      <c r="B107" s="34">
        <v>102</v>
      </c>
      <c r="C107" s="31" t="s">
        <v>113</v>
      </c>
      <c r="D107" s="33">
        <v>150000</v>
      </c>
      <c r="E107" s="33">
        <v>19995</v>
      </c>
      <c r="F107" s="32">
        <f t="shared" si="17"/>
        <v>169995</v>
      </c>
      <c r="G107" s="34">
        <v>50</v>
      </c>
      <c r="H107" s="32">
        <v>3399.9</v>
      </c>
      <c r="I107" s="31">
        <v>46</v>
      </c>
      <c r="J107" s="35">
        <f t="shared" si="19"/>
        <v>4</v>
      </c>
      <c r="K107" s="36">
        <f t="shared" si="18"/>
        <v>156395.4</v>
      </c>
      <c r="L107" s="32">
        <f t="shared" si="20"/>
        <v>13599.600000000006</v>
      </c>
      <c r="M107" s="31"/>
    </row>
    <row r="108" spans="1:13" ht="18.75" x14ac:dyDescent="0.3">
      <c r="A108" s="18"/>
      <c r="B108" s="34">
        <v>103</v>
      </c>
      <c r="C108" s="31" t="s">
        <v>114</v>
      </c>
      <c r="D108" s="33">
        <v>150000</v>
      </c>
      <c r="E108" s="33">
        <v>19995</v>
      </c>
      <c r="F108" s="32">
        <f t="shared" si="17"/>
        <v>169995</v>
      </c>
      <c r="G108" s="34">
        <v>50</v>
      </c>
      <c r="H108" s="32">
        <v>3399.9</v>
      </c>
      <c r="I108" s="31">
        <v>31</v>
      </c>
      <c r="J108" s="35">
        <f t="shared" si="19"/>
        <v>19</v>
      </c>
      <c r="K108" s="36">
        <f t="shared" si="18"/>
        <v>105396.90000000001</v>
      </c>
      <c r="L108" s="32">
        <f t="shared" si="20"/>
        <v>64598.099999999991</v>
      </c>
      <c r="M108" s="31"/>
    </row>
    <row r="109" spans="1:13" ht="18.75" x14ac:dyDescent="0.3">
      <c r="A109" s="18"/>
      <c r="B109" s="34">
        <v>104</v>
      </c>
      <c r="C109" s="31" t="s">
        <v>236</v>
      </c>
      <c r="D109" s="33">
        <v>150000</v>
      </c>
      <c r="E109" s="33">
        <v>19995</v>
      </c>
      <c r="F109" s="32">
        <f t="shared" si="17"/>
        <v>169995</v>
      </c>
      <c r="G109" s="34">
        <v>50</v>
      </c>
      <c r="H109" s="32">
        <v>3399.9</v>
      </c>
      <c r="I109" s="31">
        <v>31</v>
      </c>
      <c r="J109" s="35">
        <f t="shared" si="19"/>
        <v>19</v>
      </c>
      <c r="K109" s="36">
        <f t="shared" si="18"/>
        <v>105396.90000000001</v>
      </c>
      <c r="L109" s="32">
        <f t="shared" si="20"/>
        <v>64598.099999999991</v>
      </c>
      <c r="M109" s="31"/>
    </row>
    <row r="110" spans="1:13" ht="18.75" x14ac:dyDescent="0.3">
      <c r="A110" s="18"/>
      <c r="B110" s="34">
        <v>105</v>
      </c>
      <c r="C110" s="31" t="s">
        <v>117</v>
      </c>
      <c r="D110" s="33">
        <v>150000</v>
      </c>
      <c r="E110" s="33">
        <v>19995</v>
      </c>
      <c r="F110" s="32">
        <f t="shared" si="17"/>
        <v>169995</v>
      </c>
      <c r="G110" s="34">
        <v>50</v>
      </c>
      <c r="H110" s="32">
        <v>3399.9</v>
      </c>
      <c r="I110" s="31">
        <v>46</v>
      </c>
      <c r="J110" s="35">
        <f t="shared" si="19"/>
        <v>4</v>
      </c>
      <c r="K110" s="36">
        <f t="shared" si="18"/>
        <v>156395.4</v>
      </c>
      <c r="L110" s="32">
        <f t="shared" si="20"/>
        <v>13599.600000000006</v>
      </c>
      <c r="M110" s="31"/>
    </row>
    <row r="111" spans="1:13" ht="18.75" x14ac:dyDescent="0.3">
      <c r="A111" s="18"/>
      <c r="B111" s="34">
        <v>106</v>
      </c>
      <c r="C111" s="31" t="s">
        <v>155</v>
      </c>
      <c r="D111" s="33">
        <v>150000</v>
      </c>
      <c r="E111" s="33">
        <v>19995</v>
      </c>
      <c r="F111" s="32">
        <f t="shared" si="17"/>
        <v>169995</v>
      </c>
      <c r="G111" s="34">
        <v>50</v>
      </c>
      <c r="H111" s="32">
        <v>3399.9</v>
      </c>
      <c r="I111" s="31">
        <v>31</v>
      </c>
      <c r="J111" s="35">
        <f t="shared" si="19"/>
        <v>19</v>
      </c>
      <c r="K111" s="36">
        <f t="shared" si="18"/>
        <v>105396.90000000001</v>
      </c>
      <c r="L111" s="32">
        <f t="shared" si="20"/>
        <v>64598.099999999991</v>
      </c>
      <c r="M111" s="31"/>
    </row>
    <row r="112" spans="1:13" ht="18.75" x14ac:dyDescent="0.3">
      <c r="A112" s="18"/>
      <c r="B112" s="34">
        <v>107</v>
      </c>
      <c r="C112" s="31" t="s">
        <v>176</v>
      </c>
      <c r="D112" s="33">
        <v>150000</v>
      </c>
      <c r="E112" s="33">
        <v>19995</v>
      </c>
      <c r="F112" s="32">
        <f t="shared" si="17"/>
        <v>169995</v>
      </c>
      <c r="G112" s="34">
        <v>50</v>
      </c>
      <c r="H112" s="32">
        <v>3399.9</v>
      </c>
      <c r="I112" s="31">
        <v>46</v>
      </c>
      <c r="J112" s="35">
        <f t="shared" si="19"/>
        <v>4</v>
      </c>
      <c r="K112" s="36">
        <f t="shared" si="18"/>
        <v>156395.4</v>
      </c>
      <c r="L112" s="32">
        <f t="shared" si="20"/>
        <v>13599.600000000006</v>
      </c>
      <c r="M112" s="31"/>
    </row>
    <row r="113" spans="1:13" ht="18.75" x14ac:dyDescent="0.3">
      <c r="A113" s="18"/>
      <c r="B113" s="34">
        <v>108</v>
      </c>
      <c r="C113" s="31" t="s">
        <v>120</v>
      </c>
      <c r="D113" s="33">
        <v>150000</v>
      </c>
      <c r="E113" s="33">
        <v>19995</v>
      </c>
      <c r="F113" s="32">
        <f t="shared" si="17"/>
        <v>169995</v>
      </c>
      <c r="G113" s="34">
        <v>50</v>
      </c>
      <c r="H113" s="32">
        <v>3399.9</v>
      </c>
      <c r="I113" s="31">
        <v>31</v>
      </c>
      <c r="J113" s="35">
        <f t="shared" si="19"/>
        <v>19</v>
      </c>
      <c r="K113" s="36">
        <f t="shared" si="18"/>
        <v>105396.90000000001</v>
      </c>
      <c r="L113" s="32">
        <f t="shared" si="20"/>
        <v>64598.099999999991</v>
      </c>
      <c r="M113" s="31"/>
    </row>
    <row r="114" spans="1:13" ht="18.75" x14ac:dyDescent="0.3">
      <c r="A114" s="18"/>
      <c r="B114" s="34">
        <v>109</v>
      </c>
      <c r="C114" s="31" t="s">
        <v>197</v>
      </c>
      <c r="D114" s="33">
        <v>150000</v>
      </c>
      <c r="E114" s="33">
        <v>19995</v>
      </c>
      <c r="F114" s="32">
        <f t="shared" si="17"/>
        <v>169995</v>
      </c>
      <c r="G114" s="34">
        <v>50</v>
      </c>
      <c r="H114" s="32">
        <v>3399.9</v>
      </c>
      <c r="I114" s="31">
        <v>31</v>
      </c>
      <c r="J114" s="35">
        <f t="shared" si="19"/>
        <v>19</v>
      </c>
      <c r="K114" s="36">
        <f t="shared" si="18"/>
        <v>105396.90000000001</v>
      </c>
      <c r="L114" s="32">
        <f t="shared" si="20"/>
        <v>64598.099999999991</v>
      </c>
      <c r="M114" s="31"/>
    </row>
    <row r="115" spans="1:13" ht="18.75" x14ac:dyDescent="0.3">
      <c r="A115" s="18"/>
      <c r="B115" s="34">
        <v>110</v>
      </c>
      <c r="C115" s="31" t="s">
        <v>124</v>
      </c>
      <c r="D115" s="33">
        <v>150000</v>
      </c>
      <c r="E115" s="33">
        <v>19995</v>
      </c>
      <c r="F115" s="32">
        <f t="shared" si="17"/>
        <v>169995</v>
      </c>
      <c r="G115" s="34">
        <v>50</v>
      </c>
      <c r="H115" s="32">
        <v>3399.9</v>
      </c>
      <c r="I115" s="31">
        <v>31</v>
      </c>
      <c r="J115" s="35">
        <f t="shared" si="19"/>
        <v>19</v>
      </c>
      <c r="K115" s="36">
        <f>I115*H115</f>
        <v>105396.90000000001</v>
      </c>
      <c r="L115" s="32">
        <f t="shared" si="20"/>
        <v>64598.099999999991</v>
      </c>
      <c r="M115" s="31"/>
    </row>
    <row r="116" spans="1:13" ht="18.75" x14ac:dyDescent="0.3">
      <c r="A116" s="18"/>
      <c r="B116" s="34">
        <v>111</v>
      </c>
      <c r="C116" s="31" t="s">
        <v>127</v>
      </c>
      <c r="D116" s="33">
        <v>150000</v>
      </c>
      <c r="E116" s="33">
        <v>19995</v>
      </c>
      <c r="F116" s="32">
        <f t="shared" si="17"/>
        <v>169995</v>
      </c>
      <c r="G116" s="34">
        <v>50</v>
      </c>
      <c r="H116" s="32">
        <v>3399.9</v>
      </c>
      <c r="I116" s="31">
        <v>46</v>
      </c>
      <c r="J116" s="35">
        <f t="shared" si="19"/>
        <v>4</v>
      </c>
      <c r="K116" s="36">
        <f t="shared" ref="K116:K130" si="21">H116*I116</f>
        <v>156395.4</v>
      </c>
      <c r="L116" s="32">
        <f t="shared" si="20"/>
        <v>13599.600000000006</v>
      </c>
      <c r="M116" s="31"/>
    </row>
    <row r="117" spans="1:13" ht="18.75" x14ac:dyDescent="0.3">
      <c r="A117" s="18"/>
      <c r="B117" s="34">
        <v>112</v>
      </c>
      <c r="C117" s="31" t="s">
        <v>200</v>
      </c>
      <c r="D117" s="33">
        <v>150000</v>
      </c>
      <c r="E117" s="33">
        <v>19995</v>
      </c>
      <c r="F117" s="32">
        <f t="shared" si="17"/>
        <v>169995</v>
      </c>
      <c r="G117" s="34">
        <v>50</v>
      </c>
      <c r="H117" s="32">
        <v>3399.9</v>
      </c>
      <c r="I117" s="31">
        <v>46</v>
      </c>
      <c r="J117" s="35">
        <f t="shared" si="19"/>
        <v>4</v>
      </c>
      <c r="K117" s="36">
        <f t="shared" si="21"/>
        <v>156395.4</v>
      </c>
      <c r="L117" s="32">
        <f t="shared" si="20"/>
        <v>13599.600000000006</v>
      </c>
      <c r="M117" s="31"/>
    </row>
    <row r="118" spans="1:13" ht="18.75" x14ac:dyDescent="0.3">
      <c r="A118" s="18"/>
      <c r="B118" s="34">
        <v>113</v>
      </c>
      <c r="C118" s="31" t="s">
        <v>199</v>
      </c>
      <c r="D118" s="33">
        <v>150000</v>
      </c>
      <c r="E118" s="33">
        <v>19995</v>
      </c>
      <c r="F118" s="32">
        <f t="shared" si="17"/>
        <v>169995</v>
      </c>
      <c r="G118" s="34">
        <v>50</v>
      </c>
      <c r="H118" s="32">
        <v>3399.9</v>
      </c>
      <c r="I118" s="31">
        <v>46</v>
      </c>
      <c r="J118" s="35">
        <f t="shared" si="19"/>
        <v>4</v>
      </c>
      <c r="K118" s="36">
        <f t="shared" si="21"/>
        <v>156395.4</v>
      </c>
      <c r="L118" s="32">
        <f t="shared" si="20"/>
        <v>13599.600000000006</v>
      </c>
      <c r="M118" s="31"/>
    </row>
    <row r="119" spans="1:13" ht="18.75" x14ac:dyDescent="0.3">
      <c r="A119" s="18"/>
      <c r="B119" s="34">
        <v>114</v>
      </c>
      <c r="C119" s="31" t="s">
        <v>129</v>
      </c>
      <c r="D119" s="33">
        <v>150000</v>
      </c>
      <c r="E119" s="33">
        <v>19995</v>
      </c>
      <c r="F119" s="32">
        <f t="shared" si="17"/>
        <v>169995</v>
      </c>
      <c r="G119" s="34">
        <v>50</v>
      </c>
      <c r="H119" s="32">
        <v>3399.9</v>
      </c>
      <c r="I119" s="31">
        <v>29</v>
      </c>
      <c r="J119" s="35">
        <f t="shared" si="19"/>
        <v>21</v>
      </c>
      <c r="K119" s="36">
        <f t="shared" si="21"/>
        <v>98597.1</v>
      </c>
      <c r="L119" s="32">
        <f t="shared" si="20"/>
        <v>71397.899999999994</v>
      </c>
      <c r="M119" s="31"/>
    </row>
    <row r="120" spans="1:13" ht="18.75" x14ac:dyDescent="0.3">
      <c r="A120" s="18"/>
      <c r="B120" s="34">
        <v>115</v>
      </c>
      <c r="C120" s="31" t="s">
        <v>130</v>
      </c>
      <c r="D120" s="33">
        <v>150000</v>
      </c>
      <c r="E120" s="33">
        <v>19995</v>
      </c>
      <c r="F120" s="32">
        <f t="shared" si="17"/>
        <v>169995</v>
      </c>
      <c r="G120" s="34">
        <v>50</v>
      </c>
      <c r="H120" s="32">
        <v>3399.9</v>
      </c>
      <c r="I120" s="31">
        <v>31</v>
      </c>
      <c r="J120" s="35">
        <f t="shared" si="19"/>
        <v>19</v>
      </c>
      <c r="K120" s="36">
        <f t="shared" si="21"/>
        <v>105396.90000000001</v>
      </c>
      <c r="L120" s="32">
        <f t="shared" si="20"/>
        <v>64598.099999999991</v>
      </c>
      <c r="M120" s="31"/>
    </row>
    <row r="121" spans="1:13" ht="18.75" x14ac:dyDescent="0.3">
      <c r="A121" s="18"/>
      <c r="B121" s="34">
        <v>116</v>
      </c>
      <c r="C121" s="31" t="s">
        <v>131</v>
      </c>
      <c r="D121" s="33">
        <v>150000</v>
      </c>
      <c r="E121" s="33">
        <v>19995</v>
      </c>
      <c r="F121" s="32">
        <f t="shared" ref="F121:F152" si="22">D121+E121</f>
        <v>169995</v>
      </c>
      <c r="G121" s="34">
        <v>50</v>
      </c>
      <c r="H121" s="32">
        <v>3399.9</v>
      </c>
      <c r="I121" s="31">
        <v>31</v>
      </c>
      <c r="J121" s="35">
        <f t="shared" si="19"/>
        <v>19</v>
      </c>
      <c r="K121" s="36">
        <f t="shared" si="21"/>
        <v>105396.90000000001</v>
      </c>
      <c r="L121" s="32">
        <f t="shared" si="20"/>
        <v>64598.099999999991</v>
      </c>
      <c r="M121" s="31"/>
    </row>
    <row r="122" spans="1:13" ht="18.75" x14ac:dyDescent="0.3">
      <c r="A122" s="18"/>
      <c r="B122" s="34">
        <v>117</v>
      </c>
      <c r="C122" s="31" t="s">
        <v>201</v>
      </c>
      <c r="D122" s="33">
        <v>150000</v>
      </c>
      <c r="E122" s="33">
        <v>19995</v>
      </c>
      <c r="F122" s="32">
        <f t="shared" si="22"/>
        <v>169995</v>
      </c>
      <c r="G122" s="34">
        <v>50</v>
      </c>
      <c r="H122" s="32">
        <v>3399.9</v>
      </c>
      <c r="I122" s="31">
        <v>31</v>
      </c>
      <c r="J122" s="35">
        <f t="shared" si="19"/>
        <v>19</v>
      </c>
      <c r="K122" s="36">
        <f t="shared" si="21"/>
        <v>105396.90000000001</v>
      </c>
      <c r="L122" s="32">
        <f t="shared" si="20"/>
        <v>64598.099999999991</v>
      </c>
      <c r="M122" s="31"/>
    </row>
    <row r="123" spans="1:13" ht="18.75" x14ac:dyDescent="0.3">
      <c r="A123" s="18"/>
      <c r="B123" s="34">
        <v>118</v>
      </c>
      <c r="C123" s="31" t="s">
        <v>133</v>
      </c>
      <c r="D123" s="33">
        <v>150000</v>
      </c>
      <c r="E123" s="33">
        <v>19995</v>
      </c>
      <c r="F123" s="32">
        <f t="shared" si="22"/>
        <v>169995</v>
      </c>
      <c r="G123" s="34">
        <v>50</v>
      </c>
      <c r="H123" s="32">
        <v>3399.9</v>
      </c>
      <c r="I123" s="31">
        <v>31</v>
      </c>
      <c r="J123" s="35">
        <f t="shared" si="19"/>
        <v>19</v>
      </c>
      <c r="K123" s="36">
        <f t="shared" si="21"/>
        <v>105396.90000000001</v>
      </c>
      <c r="L123" s="32">
        <f t="shared" si="20"/>
        <v>64598.099999999991</v>
      </c>
      <c r="M123" s="31"/>
    </row>
    <row r="124" spans="1:13" ht="18.75" x14ac:dyDescent="0.3">
      <c r="A124" s="18"/>
      <c r="B124" s="34">
        <v>119</v>
      </c>
      <c r="C124" s="31" t="s">
        <v>134</v>
      </c>
      <c r="D124" s="33">
        <v>150000</v>
      </c>
      <c r="E124" s="33">
        <v>19995</v>
      </c>
      <c r="F124" s="32">
        <f t="shared" si="22"/>
        <v>169995</v>
      </c>
      <c r="G124" s="34">
        <v>50</v>
      </c>
      <c r="H124" s="32">
        <v>3399.9</v>
      </c>
      <c r="I124" s="31">
        <v>46</v>
      </c>
      <c r="J124" s="35">
        <f t="shared" si="19"/>
        <v>4</v>
      </c>
      <c r="K124" s="36">
        <f t="shared" si="21"/>
        <v>156395.4</v>
      </c>
      <c r="L124" s="32">
        <f t="shared" si="20"/>
        <v>13599.600000000006</v>
      </c>
      <c r="M124" s="31"/>
    </row>
    <row r="125" spans="1:13" ht="18.75" x14ac:dyDescent="0.3">
      <c r="A125" s="18"/>
      <c r="B125" s="34">
        <v>120</v>
      </c>
      <c r="C125" s="31" t="s">
        <v>203</v>
      </c>
      <c r="D125" s="33">
        <v>150000</v>
      </c>
      <c r="E125" s="33">
        <v>19995</v>
      </c>
      <c r="F125" s="32">
        <f t="shared" si="22"/>
        <v>169995</v>
      </c>
      <c r="G125" s="34">
        <v>50</v>
      </c>
      <c r="H125" s="32">
        <v>3399.9</v>
      </c>
      <c r="I125" s="31">
        <v>46</v>
      </c>
      <c r="J125" s="35">
        <f t="shared" si="19"/>
        <v>4</v>
      </c>
      <c r="K125" s="36">
        <f t="shared" si="21"/>
        <v>156395.4</v>
      </c>
      <c r="L125" s="32">
        <f t="shared" si="20"/>
        <v>13599.600000000006</v>
      </c>
      <c r="M125" s="31"/>
    </row>
    <row r="126" spans="1:13" ht="18.75" x14ac:dyDescent="0.3">
      <c r="A126" s="18"/>
      <c r="B126" s="34">
        <v>121</v>
      </c>
      <c r="C126" s="31" t="s">
        <v>136</v>
      </c>
      <c r="D126" s="33">
        <v>150000</v>
      </c>
      <c r="E126" s="33">
        <v>19995</v>
      </c>
      <c r="F126" s="32">
        <f t="shared" si="22"/>
        <v>169995</v>
      </c>
      <c r="G126" s="34">
        <v>50</v>
      </c>
      <c r="H126" s="32">
        <v>3399.9</v>
      </c>
      <c r="I126" s="31">
        <v>46</v>
      </c>
      <c r="J126" s="35">
        <f t="shared" si="19"/>
        <v>4</v>
      </c>
      <c r="K126" s="36">
        <f t="shared" si="21"/>
        <v>156395.4</v>
      </c>
      <c r="L126" s="32">
        <f t="shared" si="20"/>
        <v>13599.600000000006</v>
      </c>
      <c r="M126" s="31"/>
    </row>
    <row r="127" spans="1:13" ht="18.75" x14ac:dyDescent="0.3">
      <c r="A127" s="18"/>
      <c r="B127" s="34">
        <v>122</v>
      </c>
      <c r="C127" s="31" t="s">
        <v>137</v>
      </c>
      <c r="D127" s="33">
        <v>150000</v>
      </c>
      <c r="E127" s="33">
        <v>19995</v>
      </c>
      <c r="F127" s="32">
        <f t="shared" si="22"/>
        <v>169995</v>
      </c>
      <c r="G127" s="34">
        <v>50</v>
      </c>
      <c r="H127" s="32">
        <v>3399.9</v>
      </c>
      <c r="I127" s="31">
        <v>31</v>
      </c>
      <c r="J127" s="35">
        <f t="shared" si="19"/>
        <v>19</v>
      </c>
      <c r="K127" s="36">
        <f t="shared" si="21"/>
        <v>105396.90000000001</v>
      </c>
      <c r="L127" s="32">
        <f t="shared" si="20"/>
        <v>64598.099999999991</v>
      </c>
      <c r="M127" s="31"/>
    </row>
    <row r="128" spans="1:13" ht="18.75" x14ac:dyDescent="0.3">
      <c r="A128" s="18"/>
      <c r="B128" s="34">
        <v>123</v>
      </c>
      <c r="C128" s="31" t="s">
        <v>230</v>
      </c>
      <c r="D128" s="33">
        <v>150000</v>
      </c>
      <c r="E128" s="33">
        <v>19995</v>
      </c>
      <c r="F128" s="32">
        <f t="shared" si="22"/>
        <v>169995</v>
      </c>
      <c r="G128" s="34">
        <v>50</v>
      </c>
      <c r="H128" s="32">
        <v>3399.9</v>
      </c>
      <c r="I128" s="31">
        <v>36</v>
      </c>
      <c r="J128" s="35">
        <f t="shared" si="19"/>
        <v>14</v>
      </c>
      <c r="K128" s="36">
        <f t="shared" si="21"/>
        <v>122396.40000000001</v>
      </c>
      <c r="L128" s="32">
        <f t="shared" si="20"/>
        <v>47598.599999999991</v>
      </c>
      <c r="M128" s="31"/>
    </row>
    <row r="129" spans="1:13" ht="18.75" x14ac:dyDescent="0.3">
      <c r="A129" s="18"/>
      <c r="B129" s="34">
        <v>124</v>
      </c>
      <c r="C129" s="31" t="s">
        <v>139</v>
      </c>
      <c r="D129" s="33">
        <v>150000</v>
      </c>
      <c r="E129" s="33">
        <v>19995</v>
      </c>
      <c r="F129" s="32">
        <f t="shared" si="22"/>
        <v>169995</v>
      </c>
      <c r="G129" s="34">
        <v>50</v>
      </c>
      <c r="H129" s="32">
        <v>3399.9</v>
      </c>
      <c r="I129" s="31">
        <v>31</v>
      </c>
      <c r="J129" s="35">
        <f t="shared" si="19"/>
        <v>19</v>
      </c>
      <c r="K129" s="36">
        <f t="shared" si="21"/>
        <v>105396.90000000001</v>
      </c>
      <c r="L129" s="32">
        <f t="shared" si="20"/>
        <v>64598.099999999991</v>
      </c>
      <c r="M129" s="31"/>
    </row>
    <row r="130" spans="1:13" ht="18.75" x14ac:dyDescent="0.3">
      <c r="A130" s="18"/>
      <c r="B130" s="34">
        <v>125</v>
      </c>
      <c r="C130" s="31" t="s">
        <v>229</v>
      </c>
      <c r="D130" s="33">
        <v>150000</v>
      </c>
      <c r="E130" s="33">
        <v>19995</v>
      </c>
      <c r="F130" s="32">
        <f t="shared" si="22"/>
        <v>169995</v>
      </c>
      <c r="G130" s="34">
        <v>50</v>
      </c>
      <c r="H130" s="32">
        <v>3399.9</v>
      </c>
      <c r="I130" s="31">
        <v>26</v>
      </c>
      <c r="J130" s="35">
        <f t="shared" si="19"/>
        <v>24</v>
      </c>
      <c r="K130" s="36">
        <f t="shared" si="21"/>
        <v>88397.400000000009</v>
      </c>
      <c r="L130" s="36">
        <f t="shared" si="20"/>
        <v>81597.599999999991</v>
      </c>
      <c r="M130" s="31"/>
    </row>
    <row r="131" spans="1:13" ht="18.75" x14ac:dyDescent="0.3">
      <c r="A131" s="18"/>
      <c r="B131" s="34">
        <v>126</v>
      </c>
      <c r="C131" s="31" t="s">
        <v>207</v>
      </c>
      <c r="D131" s="33">
        <v>150000</v>
      </c>
      <c r="E131" s="33">
        <v>19995</v>
      </c>
      <c r="F131" s="32">
        <f t="shared" si="22"/>
        <v>169995</v>
      </c>
      <c r="G131" s="34">
        <v>50</v>
      </c>
      <c r="H131" s="32">
        <v>3399.9</v>
      </c>
      <c r="I131" s="31">
        <v>26</v>
      </c>
      <c r="J131" s="35">
        <f t="shared" si="19"/>
        <v>24</v>
      </c>
      <c r="K131" s="36">
        <f t="shared" ref="K131:K157" si="23">I131*H131</f>
        <v>88397.400000000009</v>
      </c>
      <c r="L131" s="36">
        <f>F131-H131</f>
        <v>166595.1</v>
      </c>
      <c r="M131" s="31"/>
    </row>
    <row r="132" spans="1:13" ht="18.75" x14ac:dyDescent="0.3">
      <c r="B132" s="34">
        <v>127</v>
      </c>
      <c r="C132" s="50" t="s">
        <v>147</v>
      </c>
      <c r="D132" s="33">
        <v>150000</v>
      </c>
      <c r="E132" s="33">
        <v>19995</v>
      </c>
      <c r="F132" s="32">
        <f t="shared" si="22"/>
        <v>169995</v>
      </c>
      <c r="G132" s="34">
        <v>50</v>
      </c>
      <c r="H132" s="32">
        <v>3399.9</v>
      </c>
      <c r="I132" s="50">
        <v>20</v>
      </c>
      <c r="J132" s="35">
        <f t="shared" si="19"/>
        <v>30</v>
      </c>
      <c r="K132" s="36">
        <f t="shared" si="23"/>
        <v>67998</v>
      </c>
      <c r="L132" s="36">
        <f t="shared" ref="L132:L157" si="24">F132-K132</f>
        <v>101997</v>
      </c>
      <c r="M132" s="31"/>
    </row>
    <row r="133" spans="1:13" ht="18.75" x14ac:dyDescent="0.3">
      <c r="B133" s="34">
        <v>128</v>
      </c>
      <c r="C133" s="50" t="s">
        <v>151</v>
      </c>
      <c r="D133" s="33">
        <v>150000</v>
      </c>
      <c r="E133" s="33">
        <v>19995</v>
      </c>
      <c r="F133" s="32">
        <f t="shared" si="22"/>
        <v>169995</v>
      </c>
      <c r="G133" s="34">
        <v>50</v>
      </c>
      <c r="H133" s="32">
        <v>3399.9</v>
      </c>
      <c r="I133" s="50">
        <v>20</v>
      </c>
      <c r="J133" s="35">
        <f t="shared" si="19"/>
        <v>30</v>
      </c>
      <c r="K133" s="36">
        <f t="shared" si="23"/>
        <v>67998</v>
      </c>
      <c r="L133" s="36">
        <f t="shared" si="24"/>
        <v>101997</v>
      </c>
      <c r="M133" s="31"/>
    </row>
    <row r="134" spans="1:13" ht="18.75" x14ac:dyDescent="0.3">
      <c r="B134" s="34">
        <v>129</v>
      </c>
      <c r="C134" s="50" t="s">
        <v>152</v>
      </c>
      <c r="D134" s="33">
        <v>150000</v>
      </c>
      <c r="E134" s="33">
        <v>19995</v>
      </c>
      <c r="F134" s="32">
        <f t="shared" si="22"/>
        <v>169995</v>
      </c>
      <c r="G134" s="34">
        <v>50</v>
      </c>
      <c r="H134" s="32">
        <v>3399.9</v>
      </c>
      <c r="I134" s="50">
        <v>20</v>
      </c>
      <c r="J134" s="35">
        <f t="shared" ref="J134:J157" si="25">G134-I134</f>
        <v>30</v>
      </c>
      <c r="K134" s="36">
        <f t="shared" si="23"/>
        <v>67998</v>
      </c>
      <c r="L134" s="36">
        <f t="shared" si="24"/>
        <v>101997</v>
      </c>
      <c r="M134" s="31"/>
    </row>
    <row r="135" spans="1:13" ht="18.75" x14ac:dyDescent="0.3">
      <c r="B135" s="34">
        <v>130</v>
      </c>
      <c r="C135" s="50" t="s">
        <v>153</v>
      </c>
      <c r="D135" s="33">
        <v>150000</v>
      </c>
      <c r="E135" s="33">
        <v>19995</v>
      </c>
      <c r="F135" s="32">
        <f t="shared" si="22"/>
        <v>169995</v>
      </c>
      <c r="G135" s="34">
        <v>50</v>
      </c>
      <c r="H135" s="32">
        <v>3399.9</v>
      </c>
      <c r="I135" s="50">
        <v>20</v>
      </c>
      <c r="J135" s="35">
        <f t="shared" si="25"/>
        <v>30</v>
      </c>
      <c r="K135" s="36">
        <f t="shared" si="23"/>
        <v>67998</v>
      </c>
      <c r="L135" s="36">
        <f t="shared" si="24"/>
        <v>101997</v>
      </c>
      <c r="M135" s="31"/>
    </row>
    <row r="136" spans="1:13" ht="18.75" x14ac:dyDescent="0.3">
      <c r="B136" s="34">
        <v>131</v>
      </c>
      <c r="C136" s="50" t="s">
        <v>216</v>
      </c>
      <c r="D136" s="33">
        <v>150000</v>
      </c>
      <c r="E136" s="33">
        <v>19995</v>
      </c>
      <c r="F136" s="32">
        <f t="shared" si="22"/>
        <v>169995</v>
      </c>
      <c r="G136" s="34">
        <v>50</v>
      </c>
      <c r="H136" s="32">
        <v>3399.9</v>
      </c>
      <c r="I136" s="50">
        <v>12</v>
      </c>
      <c r="J136" s="35">
        <f t="shared" si="25"/>
        <v>38</v>
      </c>
      <c r="K136" s="36">
        <f t="shared" si="23"/>
        <v>40798.800000000003</v>
      </c>
      <c r="L136" s="36">
        <f t="shared" si="24"/>
        <v>129196.2</v>
      </c>
      <c r="M136" s="31"/>
    </row>
    <row r="137" spans="1:13" ht="18.75" x14ac:dyDescent="0.3">
      <c r="B137" s="34">
        <v>132</v>
      </c>
      <c r="C137" s="50" t="s">
        <v>213</v>
      </c>
      <c r="D137" s="33">
        <v>150000</v>
      </c>
      <c r="E137" s="33">
        <v>19995</v>
      </c>
      <c r="F137" s="32">
        <f t="shared" si="22"/>
        <v>169995</v>
      </c>
      <c r="G137" s="34">
        <v>50</v>
      </c>
      <c r="H137" s="32">
        <v>3399.9</v>
      </c>
      <c r="I137" s="50">
        <v>12</v>
      </c>
      <c r="J137" s="35">
        <f t="shared" si="25"/>
        <v>38</v>
      </c>
      <c r="K137" s="36">
        <f t="shared" si="23"/>
        <v>40798.800000000003</v>
      </c>
      <c r="L137" s="36">
        <f t="shared" si="24"/>
        <v>129196.2</v>
      </c>
      <c r="M137" s="31"/>
    </row>
    <row r="138" spans="1:13" ht="18.75" x14ac:dyDescent="0.3">
      <c r="B138" s="34">
        <v>133</v>
      </c>
      <c r="C138" s="50" t="s">
        <v>23</v>
      </c>
      <c r="D138" s="33">
        <v>150000</v>
      </c>
      <c r="E138" s="33">
        <v>19995</v>
      </c>
      <c r="F138" s="32">
        <f t="shared" si="22"/>
        <v>169995</v>
      </c>
      <c r="G138" s="34">
        <v>50</v>
      </c>
      <c r="H138" s="32">
        <v>3399.9</v>
      </c>
      <c r="I138" s="50">
        <v>12</v>
      </c>
      <c r="J138" s="35">
        <f t="shared" si="25"/>
        <v>38</v>
      </c>
      <c r="K138" s="36">
        <f t="shared" si="23"/>
        <v>40798.800000000003</v>
      </c>
      <c r="L138" s="36">
        <f t="shared" si="24"/>
        <v>129196.2</v>
      </c>
      <c r="M138" s="31"/>
    </row>
    <row r="139" spans="1:13" ht="18.75" x14ac:dyDescent="0.3">
      <c r="B139" s="34">
        <v>134</v>
      </c>
      <c r="C139" s="50" t="s">
        <v>24</v>
      </c>
      <c r="D139" s="33">
        <v>150000</v>
      </c>
      <c r="E139" s="33">
        <v>19995</v>
      </c>
      <c r="F139" s="32">
        <f t="shared" si="22"/>
        <v>169995</v>
      </c>
      <c r="G139" s="34">
        <v>50</v>
      </c>
      <c r="H139" s="32">
        <v>3399.9</v>
      </c>
      <c r="I139" s="50">
        <v>12</v>
      </c>
      <c r="J139" s="35">
        <f t="shared" si="25"/>
        <v>38</v>
      </c>
      <c r="K139" s="36">
        <f t="shared" si="23"/>
        <v>40798.800000000003</v>
      </c>
      <c r="L139" s="36">
        <f t="shared" si="24"/>
        <v>129196.2</v>
      </c>
      <c r="M139" s="31"/>
    </row>
    <row r="140" spans="1:13" ht="18.75" x14ac:dyDescent="0.3">
      <c r="B140" s="34">
        <v>135</v>
      </c>
      <c r="C140" s="50" t="s">
        <v>27</v>
      </c>
      <c r="D140" s="33">
        <v>150000</v>
      </c>
      <c r="E140" s="33">
        <v>19995</v>
      </c>
      <c r="F140" s="32">
        <f t="shared" si="22"/>
        <v>169995</v>
      </c>
      <c r="G140" s="34">
        <v>50</v>
      </c>
      <c r="H140" s="32">
        <v>3399.9</v>
      </c>
      <c r="I140" s="50">
        <v>10</v>
      </c>
      <c r="J140" s="35">
        <f t="shared" si="25"/>
        <v>40</v>
      </c>
      <c r="K140" s="36">
        <f t="shared" si="23"/>
        <v>33999</v>
      </c>
      <c r="L140" s="36">
        <f t="shared" si="24"/>
        <v>135996</v>
      </c>
      <c r="M140" s="31"/>
    </row>
    <row r="141" spans="1:13" ht="18.75" x14ac:dyDescent="0.3">
      <c r="B141" s="34">
        <v>136</v>
      </c>
      <c r="C141" s="29" t="s">
        <v>32</v>
      </c>
      <c r="D141" s="33">
        <v>150000</v>
      </c>
      <c r="E141" s="33">
        <v>19995</v>
      </c>
      <c r="F141" s="32">
        <f t="shared" si="22"/>
        <v>169995</v>
      </c>
      <c r="G141" s="34">
        <v>50</v>
      </c>
      <c r="H141" s="32">
        <v>3399.9</v>
      </c>
      <c r="I141" s="50">
        <v>10</v>
      </c>
      <c r="J141" s="35">
        <f t="shared" si="25"/>
        <v>40</v>
      </c>
      <c r="K141" s="36">
        <f t="shared" si="23"/>
        <v>33999</v>
      </c>
      <c r="L141" s="36">
        <f t="shared" si="24"/>
        <v>135996</v>
      </c>
      <c r="M141" s="31"/>
    </row>
    <row r="142" spans="1:13" ht="18.75" x14ac:dyDescent="0.3">
      <c r="B142" s="34">
        <v>137</v>
      </c>
      <c r="C142" s="29" t="s">
        <v>33</v>
      </c>
      <c r="D142" s="33">
        <v>150000</v>
      </c>
      <c r="E142" s="33">
        <v>19995</v>
      </c>
      <c r="F142" s="32">
        <f t="shared" si="22"/>
        <v>169995</v>
      </c>
      <c r="G142" s="34">
        <v>50</v>
      </c>
      <c r="H142" s="32">
        <v>3399.9</v>
      </c>
      <c r="I142" s="50">
        <v>10</v>
      </c>
      <c r="J142" s="35">
        <f t="shared" si="25"/>
        <v>40</v>
      </c>
      <c r="K142" s="36">
        <f t="shared" si="23"/>
        <v>33999</v>
      </c>
      <c r="L142" s="36">
        <f t="shared" si="24"/>
        <v>135996</v>
      </c>
      <c r="M142" s="31"/>
    </row>
    <row r="143" spans="1:13" ht="18.75" x14ac:dyDescent="0.3">
      <c r="B143" s="34">
        <v>138</v>
      </c>
      <c r="C143" s="29" t="s">
        <v>34</v>
      </c>
      <c r="D143" s="33">
        <v>150000</v>
      </c>
      <c r="E143" s="33">
        <v>19995</v>
      </c>
      <c r="F143" s="32">
        <f t="shared" si="22"/>
        <v>169995</v>
      </c>
      <c r="G143" s="34">
        <v>50</v>
      </c>
      <c r="H143" s="32">
        <v>3399.9</v>
      </c>
      <c r="I143" s="50">
        <v>10</v>
      </c>
      <c r="J143" s="35">
        <f t="shared" si="25"/>
        <v>40</v>
      </c>
      <c r="K143" s="36">
        <f t="shared" si="23"/>
        <v>33999</v>
      </c>
      <c r="L143" s="36">
        <f t="shared" si="24"/>
        <v>135996</v>
      </c>
      <c r="M143" s="31"/>
    </row>
    <row r="144" spans="1:13" ht="18.75" x14ac:dyDescent="0.3">
      <c r="B144" s="34">
        <v>139</v>
      </c>
      <c r="C144" s="29" t="s">
        <v>41</v>
      </c>
      <c r="D144" s="33">
        <v>150000</v>
      </c>
      <c r="E144" s="33">
        <v>19995</v>
      </c>
      <c r="F144" s="32">
        <f t="shared" si="22"/>
        <v>169995</v>
      </c>
      <c r="G144" s="34">
        <v>50</v>
      </c>
      <c r="H144" s="32">
        <v>3399.9</v>
      </c>
      <c r="I144" s="50">
        <v>6</v>
      </c>
      <c r="J144" s="35">
        <f t="shared" si="25"/>
        <v>44</v>
      </c>
      <c r="K144" s="36">
        <f t="shared" si="23"/>
        <v>20399.400000000001</v>
      </c>
      <c r="L144" s="36">
        <f t="shared" si="24"/>
        <v>149595.6</v>
      </c>
      <c r="M144" s="31"/>
    </row>
    <row r="145" spans="2:13" ht="18.75" x14ac:dyDescent="0.3">
      <c r="B145" s="34">
        <v>140</v>
      </c>
      <c r="C145" s="29" t="s">
        <v>157</v>
      </c>
      <c r="D145" s="33">
        <v>150000</v>
      </c>
      <c r="E145" s="33">
        <v>19995</v>
      </c>
      <c r="F145" s="32">
        <f t="shared" si="22"/>
        <v>169995</v>
      </c>
      <c r="G145" s="34">
        <v>50</v>
      </c>
      <c r="H145" s="32">
        <v>3399</v>
      </c>
      <c r="I145" s="50">
        <v>22</v>
      </c>
      <c r="J145" s="35">
        <f t="shared" si="25"/>
        <v>28</v>
      </c>
      <c r="K145" s="36">
        <f t="shared" si="23"/>
        <v>74778</v>
      </c>
      <c r="L145" s="36">
        <f t="shared" si="24"/>
        <v>95217</v>
      </c>
      <c r="M145" s="31"/>
    </row>
    <row r="146" spans="2:13" ht="18.75" x14ac:dyDescent="0.3">
      <c r="B146" s="34">
        <v>141</v>
      </c>
      <c r="C146" s="29" t="s">
        <v>158</v>
      </c>
      <c r="D146" s="33">
        <v>150000</v>
      </c>
      <c r="E146" s="33">
        <v>19995</v>
      </c>
      <c r="F146" s="32">
        <f t="shared" si="22"/>
        <v>169995</v>
      </c>
      <c r="G146" s="34">
        <v>50</v>
      </c>
      <c r="H146" s="32">
        <v>3399.9</v>
      </c>
      <c r="I146" s="31">
        <v>46</v>
      </c>
      <c r="J146" s="35">
        <f t="shared" si="25"/>
        <v>4</v>
      </c>
      <c r="K146" s="36">
        <f t="shared" si="23"/>
        <v>156395.4</v>
      </c>
      <c r="L146" s="36">
        <f t="shared" si="24"/>
        <v>13599.600000000006</v>
      </c>
      <c r="M146" s="31"/>
    </row>
    <row r="147" spans="2:13" ht="18.75" x14ac:dyDescent="0.3">
      <c r="B147" s="34">
        <v>142</v>
      </c>
      <c r="C147" s="29" t="s">
        <v>165</v>
      </c>
      <c r="D147" s="33">
        <v>150000</v>
      </c>
      <c r="E147" s="33">
        <v>19995</v>
      </c>
      <c r="F147" s="32">
        <f t="shared" si="22"/>
        <v>169995</v>
      </c>
      <c r="G147" s="34">
        <v>50</v>
      </c>
      <c r="H147" s="32">
        <v>3399</v>
      </c>
      <c r="I147" s="50">
        <v>22</v>
      </c>
      <c r="J147" s="35">
        <f t="shared" si="25"/>
        <v>28</v>
      </c>
      <c r="K147" s="36">
        <f t="shared" si="23"/>
        <v>74778</v>
      </c>
      <c r="L147" s="36">
        <f t="shared" si="24"/>
        <v>95217</v>
      </c>
      <c r="M147" s="31"/>
    </row>
    <row r="148" spans="2:13" ht="18.75" x14ac:dyDescent="0.3">
      <c r="B148" s="34">
        <v>143</v>
      </c>
      <c r="C148" s="29" t="s">
        <v>168</v>
      </c>
      <c r="D148" s="33">
        <v>150000</v>
      </c>
      <c r="E148" s="33">
        <v>19995</v>
      </c>
      <c r="F148" s="32">
        <f t="shared" si="22"/>
        <v>169995</v>
      </c>
      <c r="G148" s="34">
        <v>50</v>
      </c>
      <c r="H148" s="32">
        <v>3399</v>
      </c>
      <c r="I148" s="50">
        <v>22</v>
      </c>
      <c r="J148" s="35">
        <f t="shared" si="25"/>
        <v>28</v>
      </c>
      <c r="K148" s="36">
        <f t="shared" si="23"/>
        <v>74778</v>
      </c>
      <c r="L148" s="36">
        <f t="shared" si="24"/>
        <v>95217</v>
      </c>
      <c r="M148" s="31"/>
    </row>
    <row r="149" spans="2:13" ht="18.75" x14ac:dyDescent="0.3">
      <c r="B149" s="34">
        <v>144</v>
      </c>
      <c r="C149" s="29" t="s">
        <v>181</v>
      </c>
      <c r="D149" s="33">
        <v>150000</v>
      </c>
      <c r="E149" s="33">
        <v>19995</v>
      </c>
      <c r="F149" s="32">
        <f t="shared" si="22"/>
        <v>169995</v>
      </c>
      <c r="G149" s="34">
        <v>50</v>
      </c>
      <c r="H149" s="32">
        <v>3399</v>
      </c>
      <c r="I149" s="50">
        <v>20</v>
      </c>
      <c r="J149" s="35">
        <f t="shared" si="25"/>
        <v>30</v>
      </c>
      <c r="K149" s="36">
        <f t="shared" si="23"/>
        <v>67980</v>
      </c>
      <c r="L149" s="36">
        <f t="shared" si="24"/>
        <v>102015</v>
      </c>
      <c r="M149" s="31"/>
    </row>
    <row r="150" spans="2:13" ht="18.75" x14ac:dyDescent="0.3">
      <c r="B150" s="34">
        <v>145</v>
      </c>
      <c r="C150" s="29" t="s">
        <v>52</v>
      </c>
      <c r="D150" s="33">
        <v>150000</v>
      </c>
      <c r="E150" s="33">
        <v>19995</v>
      </c>
      <c r="F150" s="32">
        <f t="shared" si="22"/>
        <v>169995</v>
      </c>
      <c r="G150" s="34">
        <v>50</v>
      </c>
      <c r="H150" s="32">
        <v>3399.9</v>
      </c>
      <c r="I150" s="50">
        <v>7</v>
      </c>
      <c r="J150" s="35">
        <f t="shared" si="25"/>
        <v>43</v>
      </c>
      <c r="K150" s="36">
        <f t="shared" si="23"/>
        <v>23799.3</v>
      </c>
      <c r="L150" s="36">
        <f t="shared" si="24"/>
        <v>146195.70000000001</v>
      </c>
      <c r="M150" s="31"/>
    </row>
    <row r="151" spans="2:13" ht="18.75" x14ac:dyDescent="0.3">
      <c r="B151" s="34">
        <v>146</v>
      </c>
      <c r="C151" s="29" t="s">
        <v>53</v>
      </c>
      <c r="D151" s="33">
        <v>150000</v>
      </c>
      <c r="E151" s="33">
        <v>19995</v>
      </c>
      <c r="F151" s="32">
        <f t="shared" si="22"/>
        <v>169995</v>
      </c>
      <c r="G151" s="34">
        <v>50</v>
      </c>
      <c r="H151" s="32">
        <v>3399.9</v>
      </c>
      <c r="I151" s="50">
        <v>7</v>
      </c>
      <c r="J151" s="35">
        <f t="shared" si="25"/>
        <v>43</v>
      </c>
      <c r="K151" s="36">
        <f t="shared" si="23"/>
        <v>23799.3</v>
      </c>
      <c r="L151" s="36">
        <f t="shared" si="24"/>
        <v>146195.70000000001</v>
      </c>
      <c r="M151" s="31"/>
    </row>
    <row r="152" spans="2:13" ht="18.75" x14ac:dyDescent="0.3">
      <c r="B152" s="34">
        <v>147</v>
      </c>
      <c r="C152" s="29" t="s">
        <v>250</v>
      </c>
      <c r="D152" s="33">
        <v>150000</v>
      </c>
      <c r="E152" s="33">
        <v>19995</v>
      </c>
      <c r="F152" s="32">
        <f t="shared" si="22"/>
        <v>169995</v>
      </c>
      <c r="G152" s="34">
        <v>50</v>
      </c>
      <c r="H152" s="32">
        <v>3399.9</v>
      </c>
      <c r="I152" s="50">
        <v>7</v>
      </c>
      <c r="J152" s="35">
        <f t="shared" si="25"/>
        <v>43</v>
      </c>
      <c r="K152" s="36">
        <f t="shared" si="23"/>
        <v>23799.3</v>
      </c>
      <c r="L152" s="36">
        <f t="shared" si="24"/>
        <v>146195.70000000001</v>
      </c>
      <c r="M152" s="31"/>
    </row>
    <row r="153" spans="2:13" ht="18.75" x14ac:dyDescent="0.3">
      <c r="B153" s="34">
        <v>148</v>
      </c>
      <c r="C153" s="29" t="s">
        <v>51</v>
      </c>
      <c r="D153" s="33">
        <v>150000</v>
      </c>
      <c r="E153" s="33">
        <v>19995</v>
      </c>
      <c r="F153" s="32">
        <f t="shared" ref="F153:F157" si="26">D153+E153</f>
        <v>169995</v>
      </c>
      <c r="G153" s="34">
        <v>50</v>
      </c>
      <c r="H153" s="32">
        <v>3339.9</v>
      </c>
      <c r="I153" s="50">
        <v>7</v>
      </c>
      <c r="J153" s="35">
        <f t="shared" si="25"/>
        <v>43</v>
      </c>
      <c r="K153" s="36">
        <f t="shared" si="23"/>
        <v>23379.3</v>
      </c>
      <c r="L153" s="36">
        <f t="shared" si="24"/>
        <v>146615.70000000001</v>
      </c>
      <c r="M153" s="31"/>
    </row>
    <row r="154" spans="2:13" ht="18.75" x14ac:dyDescent="0.3">
      <c r="B154" s="34">
        <v>149</v>
      </c>
      <c r="C154" s="29" t="s">
        <v>58</v>
      </c>
      <c r="D154" s="33">
        <v>150000</v>
      </c>
      <c r="E154" s="33">
        <v>19995</v>
      </c>
      <c r="F154" s="32">
        <f t="shared" si="26"/>
        <v>169995</v>
      </c>
      <c r="G154" s="34">
        <v>50</v>
      </c>
      <c r="H154" s="32">
        <v>3399.9</v>
      </c>
      <c r="I154" s="50">
        <v>5</v>
      </c>
      <c r="J154" s="35">
        <f t="shared" si="25"/>
        <v>45</v>
      </c>
      <c r="K154" s="36">
        <f t="shared" si="23"/>
        <v>16999.5</v>
      </c>
      <c r="L154" s="36">
        <f t="shared" si="24"/>
        <v>152995.5</v>
      </c>
      <c r="M154" s="31"/>
    </row>
    <row r="155" spans="2:13" ht="18.75" x14ac:dyDescent="0.3">
      <c r="B155" s="34">
        <v>150</v>
      </c>
      <c r="C155" s="29" t="s">
        <v>61</v>
      </c>
      <c r="D155" s="33">
        <v>150000</v>
      </c>
      <c r="E155" s="33">
        <v>19995</v>
      </c>
      <c r="F155" s="32">
        <f t="shared" si="26"/>
        <v>169995</v>
      </c>
      <c r="G155" s="34">
        <v>50</v>
      </c>
      <c r="H155" s="32">
        <v>3399.9</v>
      </c>
      <c r="I155" s="50">
        <v>5</v>
      </c>
      <c r="J155" s="35">
        <f t="shared" si="25"/>
        <v>45</v>
      </c>
      <c r="K155" s="36">
        <f t="shared" si="23"/>
        <v>16999.5</v>
      </c>
      <c r="L155" s="36">
        <f t="shared" si="24"/>
        <v>152995.5</v>
      </c>
      <c r="M155" s="31"/>
    </row>
    <row r="156" spans="2:13" ht="18.75" x14ac:dyDescent="0.3">
      <c r="B156" s="34">
        <v>151</v>
      </c>
      <c r="C156" s="29" t="s">
        <v>60</v>
      </c>
      <c r="D156" s="33">
        <v>150000</v>
      </c>
      <c r="E156" s="33">
        <v>19995</v>
      </c>
      <c r="F156" s="32">
        <f t="shared" si="26"/>
        <v>169995</v>
      </c>
      <c r="G156" s="34">
        <v>50</v>
      </c>
      <c r="H156" s="32">
        <v>3399.9</v>
      </c>
      <c r="I156" s="50">
        <v>5</v>
      </c>
      <c r="J156" s="35">
        <f t="shared" si="25"/>
        <v>45</v>
      </c>
      <c r="K156" s="36">
        <f t="shared" si="23"/>
        <v>16999.5</v>
      </c>
      <c r="L156" s="36">
        <f t="shared" si="24"/>
        <v>152995.5</v>
      </c>
      <c r="M156" s="31"/>
    </row>
    <row r="157" spans="2:13" ht="18.75" x14ac:dyDescent="0.3">
      <c r="B157" s="34">
        <v>152</v>
      </c>
      <c r="C157" s="29" t="s">
        <v>258</v>
      </c>
      <c r="D157" s="33">
        <v>150000</v>
      </c>
      <c r="E157" s="33">
        <v>19995</v>
      </c>
      <c r="F157" s="32">
        <f t="shared" si="26"/>
        <v>169995</v>
      </c>
      <c r="G157" s="34">
        <v>50</v>
      </c>
      <c r="H157" s="32">
        <v>3399.9</v>
      </c>
      <c r="I157" s="50">
        <v>2</v>
      </c>
      <c r="J157" s="35">
        <f t="shared" si="25"/>
        <v>48</v>
      </c>
      <c r="K157" s="36">
        <f t="shared" si="23"/>
        <v>6799.8</v>
      </c>
      <c r="L157" s="36">
        <f t="shared" si="24"/>
        <v>163195.20000000001</v>
      </c>
      <c r="M157" s="31"/>
    </row>
    <row r="158" spans="2:13" s="57" customFormat="1" ht="18.75" x14ac:dyDescent="0.3">
      <c r="B158" s="71"/>
      <c r="C158" s="30" t="s">
        <v>296</v>
      </c>
      <c r="D158" s="72">
        <f>SUM(D6:D157)</f>
        <v>45340000</v>
      </c>
      <c r="E158" s="72">
        <f t="shared" ref="E158:F158" si="27">SUM(E6:E157)</f>
        <v>6009163.9199999999</v>
      </c>
      <c r="F158" s="72">
        <f t="shared" si="27"/>
        <v>51349163.920000002</v>
      </c>
      <c r="G158" s="71"/>
      <c r="H158" s="72">
        <f>SUM(H6:H157)</f>
        <v>1039611.7600000023</v>
      </c>
      <c r="I158" s="73"/>
      <c r="J158" s="74"/>
      <c r="K158" s="72">
        <f t="shared" ref="K158:L158" si="28">SUM(K6:K157)</f>
        <v>22033339.669999965</v>
      </c>
      <c r="L158" s="72">
        <f t="shared" si="28"/>
        <v>29400821.750000048</v>
      </c>
      <c r="M158" s="53"/>
    </row>
    <row r="159" spans="2:13" ht="18.75" x14ac:dyDescent="0.3">
      <c r="B159" s="34"/>
      <c r="C159" s="48"/>
      <c r="D159" s="43"/>
      <c r="E159" s="44"/>
      <c r="F159" s="43"/>
      <c r="G159" s="41"/>
      <c r="H159" s="43"/>
      <c r="I159" s="46"/>
      <c r="J159" s="47"/>
      <c r="K159" s="45"/>
      <c r="L159" s="45"/>
      <c r="M159" s="49"/>
    </row>
    <row r="160" spans="2:13" ht="18.75" x14ac:dyDescent="0.3">
      <c r="B160" s="9"/>
      <c r="C160" s="8" t="s">
        <v>217</v>
      </c>
      <c r="D160" s="9"/>
      <c r="E160" s="9"/>
      <c r="F160" s="9"/>
      <c r="G160" s="9"/>
      <c r="H160" s="9"/>
      <c r="I160" s="9"/>
      <c r="J160" s="9"/>
      <c r="K160" s="9"/>
      <c r="L160" s="9"/>
      <c r="M160" s="49"/>
    </row>
    <row r="161" spans="1:13" ht="18.75" x14ac:dyDescent="0.3">
      <c r="B161" s="34">
        <v>1</v>
      </c>
      <c r="C161" s="9" t="s">
        <v>160</v>
      </c>
      <c r="D161" s="12">
        <v>500000</v>
      </c>
      <c r="E161" s="12">
        <v>66650</v>
      </c>
      <c r="F161" s="12">
        <v>566650</v>
      </c>
      <c r="G161" s="14">
        <v>50</v>
      </c>
      <c r="H161" s="12">
        <v>11333</v>
      </c>
      <c r="I161" s="14">
        <v>26</v>
      </c>
      <c r="J161" s="35">
        <f t="shared" ref="J161:J172" si="29">G161-I161</f>
        <v>24</v>
      </c>
      <c r="K161" s="36">
        <f t="shared" ref="K161:K172" si="30">H161*I161</f>
        <v>294658</v>
      </c>
      <c r="L161" s="32">
        <f t="shared" ref="L161:L172" si="31">F161-K161</f>
        <v>271992</v>
      </c>
      <c r="M161" s="49"/>
    </row>
    <row r="162" spans="1:13" ht="18.75" x14ac:dyDescent="0.3">
      <c r="B162" s="34">
        <v>2</v>
      </c>
      <c r="C162" s="9" t="s">
        <v>164</v>
      </c>
      <c r="D162" s="12">
        <v>450000</v>
      </c>
      <c r="E162" s="12">
        <v>59985</v>
      </c>
      <c r="F162" s="12">
        <v>509985</v>
      </c>
      <c r="G162" s="14">
        <v>50</v>
      </c>
      <c r="H162" s="12">
        <v>10199.700000000001</v>
      </c>
      <c r="I162" s="14">
        <v>31</v>
      </c>
      <c r="J162" s="35">
        <f t="shared" si="29"/>
        <v>19</v>
      </c>
      <c r="K162" s="36">
        <f t="shared" si="30"/>
        <v>316190.7</v>
      </c>
      <c r="L162" s="32">
        <f t="shared" si="31"/>
        <v>193794.3</v>
      </c>
      <c r="M162" s="49"/>
    </row>
    <row r="163" spans="1:13" ht="18.75" x14ac:dyDescent="0.3">
      <c r="B163" s="34">
        <v>3</v>
      </c>
      <c r="C163" s="9" t="s">
        <v>184</v>
      </c>
      <c r="D163" s="12">
        <v>330000</v>
      </c>
      <c r="E163" s="12">
        <v>43989</v>
      </c>
      <c r="F163" s="12">
        <v>373989</v>
      </c>
      <c r="G163" s="14">
        <v>50</v>
      </c>
      <c r="H163" s="12">
        <v>7479.78</v>
      </c>
      <c r="I163" s="14">
        <v>44</v>
      </c>
      <c r="J163" s="35">
        <f t="shared" si="29"/>
        <v>6</v>
      </c>
      <c r="K163" s="36">
        <f t="shared" si="30"/>
        <v>329110.32</v>
      </c>
      <c r="L163" s="32">
        <f t="shared" si="31"/>
        <v>44878.679999999993</v>
      </c>
      <c r="M163" s="49"/>
    </row>
    <row r="164" spans="1:13" ht="18.75" x14ac:dyDescent="0.3">
      <c r="B164" s="34">
        <v>4</v>
      </c>
      <c r="C164" s="9" t="s">
        <v>180</v>
      </c>
      <c r="D164" s="12">
        <v>330000</v>
      </c>
      <c r="E164" s="12">
        <v>43989</v>
      </c>
      <c r="F164" s="12">
        <v>373989</v>
      </c>
      <c r="G164" s="14">
        <v>50</v>
      </c>
      <c r="H164" s="12">
        <v>7479.78</v>
      </c>
      <c r="I164" s="14">
        <v>26</v>
      </c>
      <c r="J164" s="35">
        <f t="shared" si="29"/>
        <v>24</v>
      </c>
      <c r="K164" s="36">
        <f t="shared" si="30"/>
        <v>194474.28</v>
      </c>
      <c r="L164" s="32">
        <f t="shared" si="31"/>
        <v>179514.72</v>
      </c>
      <c r="M164" s="49"/>
    </row>
    <row r="165" spans="1:13" ht="18.75" x14ac:dyDescent="0.3">
      <c r="B165" s="34">
        <v>5</v>
      </c>
      <c r="C165" s="9" t="s">
        <v>162</v>
      </c>
      <c r="D165" s="12">
        <v>150000</v>
      </c>
      <c r="E165" s="12">
        <v>19995</v>
      </c>
      <c r="F165" s="12">
        <v>169995</v>
      </c>
      <c r="G165" s="14">
        <v>50</v>
      </c>
      <c r="H165" s="12">
        <v>3399.9</v>
      </c>
      <c r="I165" s="14">
        <v>26</v>
      </c>
      <c r="J165" s="35">
        <f t="shared" si="29"/>
        <v>24</v>
      </c>
      <c r="K165" s="36">
        <f t="shared" si="30"/>
        <v>88397.400000000009</v>
      </c>
      <c r="L165" s="32">
        <f t="shared" si="31"/>
        <v>81597.599999999991</v>
      </c>
      <c r="M165" s="49"/>
    </row>
    <row r="166" spans="1:13" ht="18.75" x14ac:dyDescent="0.3">
      <c r="B166" s="34">
        <v>6</v>
      </c>
      <c r="C166" s="9" t="s">
        <v>163</v>
      </c>
      <c r="D166" s="12">
        <v>150000</v>
      </c>
      <c r="E166" s="12">
        <v>19995</v>
      </c>
      <c r="F166" s="12">
        <v>169995</v>
      </c>
      <c r="G166" s="14">
        <v>50</v>
      </c>
      <c r="H166" s="12">
        <v>3399.9</v>
      </c>
      <c r="I166" s="14">
        <v>26</v>
      </c>
      <c r="J166" s="35">
        <f t="shared" si="29"/>
        <v>24</v>
      </c>
      <c r="K166" s="36">
        <f t="shared" si="30"/>
        <v>88397.400000000009</v>
      </c>
      <c r="L166" s="32">
        <f t="shared" si="31"/>
        <v>81597.599999999991</v>
      </c>
      <c r="M166" s="49"/>
    </row>
    <row r="167" spans="1:13" ht="18.75" x14ac:dyDescent="0.3">
      <c r="B167" s="34">
        <v>7</v>
      </c>
      <c r="C167" s="9" t="s">
        <v>167</v>
      </c>
      <c r="D167" s="12">
        <v>150000</v>
      </c>
      <c r="E167" s="12">
        <v>19995</v>
      </c>
      <c r="F167" s="12">
        <v>169995</v>
      </c>
      <c r="G167" s="14">
        <v>50</v>
      </c>
      <c r="H167" s="12">
        <v>3399.9</v>
      </c>
      <c r="I167" s="14">
        <v>26</v>
      </c>
      <c r="J167" s="35">
        <f t="shared" si="29"/>
        <v>24</v>
      </c>
      <c r="K167" s="36">
        <f t="shared" si="30"/>
        <v>88397.400000000009</v>
      </c>
      <c r="L167" s="32">
        <f t="shared" si="31"/>
        <v>81597.599999999991</v>
      </c>
      <c r="M167" s="49"/>
    </row>
    <row r="168" spans="1:13" ht="18.75" x14ac:dyDescent="0.3">
      <c r="B168" s="34">
        <v>8</v>
      </c>
      <c r="C168" s="9" t="s">
        <v>186</v>
      </c>
      <c r="D168" s="12">
        <v>150000</v>
      </c>
      <c r="E168" s="12">
        <v>19995</v>
      </c>
      <c r="F168" s="12">
        <v>169995</v>
      </c>
      <c r="G168" s="14">
        <v>50</v>
      </c>
      <c r="H168" s="12">
        <v>3399.9</v>
      </c>
      <c r="I168" s="14">
        <v>26</v>
      </c>
      <c r="J168" s="35">
        <f t="shared" si="29"/>
        <v>24</v>
      </c>
      <c r="K168" s="36">
        <f t="shared" si="30"/>
        <v>88397.400000000009</v>
      </c>
      <c r="L168" s="32">
        <f t="shared" si="31"/>
        <v>81597.599999999991</v>
      </c>
      <c r="M168" s="49"/>
    </row>
    <row r="169" spans="1:13" ht="18.75" x14ac:dyDescent="0.3">
      <c r="B169" s="34">
        <v>9</v>
      </c>
      <c r="C169" s="9" t="s">
        <v>188</v>
      </c>
      <c r="D169" s="12">
        <v>150000</v>
      </c>
      <c r="E169" s="12">
        <v>19995</v>
      </c>
      <c r="F169" s="12">
        <v>169995</v>
      </c>
      <c r="G169" s="14">
        <v>50</v>
      </c>
      <c r="H169" s="12">
        <v>3399.9</v>
      </c>
      <c r="I169" s="14">
        <v>26</v>
      </c>
      <c r="J169" s="35">
        <f t="shared" si="29"/>
        <v>24</v>
      </c>
      <c r="K169" s="36">
        <f t="shared" si="30"/>
        <v>88397.400000000009</v>
      </c>
      <c r="L169" s="32">
        <f t="shared" si="31"/>
        <v>81597.599999999991</v>
      </c>
      <c r="M169" s="42"/>
    </row>
    <row r="170" spans="1:13" ht="18.75" x14ac:dyDescent="0.3">
      <c r="B170" s="34">
        <v>10</v>
      </c>
      <c r="C170" s="9" t="s">
        <v>166</v>
      </c>
      <c r="D170" s="12">
        <v>150000</v>
      </c>
      <c r="E170" s="12">
        <v>19995</v>
      </c>
      <c r="F170" s="12">
        <v>169995</v>
      </c>
      <c r="G170" s="14">
        <v>50</v>
      </c>
      <c r="H170" s="12">
        <v>3399.9</v>
      </c>
      <c r="I170" s="14">
        <v>26</v>
      </c>
      <c r="J170" s="35">
        <f t="shared" si="29"/>
        <v>24</v>
      </c>
      <c r="K170" s="36">
        <f t="shared" si="30"/>
        <v>88397.400000000009</v>
      </c>
      <c r="L170" s="32">
        <f t="shared" si="31"/>
        <v>81597.599999999991</v>
      </c>
      <c r="M170" s="42"/>
    </row>
    <row r="171" spans="1:13" ht="18.75" x14ac:dyDescent="0.3">
      <c r="B171" s="34">
        <v>11</v>
      </c>
      <c r="C171" s="9" t="s">
        <v>57</v>
      </c>
      <c r="D171" s="12">
        <v>450000</v>
      </c>
      <c r="E171" s="12">
        <v>59985</v>
      </c>
      <c r="F171" s="12">
        <v>509985</v>
      </c>
      <c r="G171" s="14">
        <v>50</v>
      </c>
      <c r="H171" s="12">
        <v>10199.700000000001</v>
      </c>
      <c r="I171" s="14">
        <v>5</v>
      </c>
      <c r="J171" s="35">
        <f t="shared" si="29"/>
        <v>45</v>
      </c>
      <c r="K171" s="36">
        <f t="shared" si="30"/>
        <v>50998.5</v>
      </c>
      <c r="L171" s="32">
        <f t="shared" si="31"/>
        <v>458986.5</v>
      </c>
      <c r="M171" s="42"/>
    </row>
    <row r="172" spans="1:13" s="21" customFormat="1" ht="18.75" x14ac:dyDescent="0.3">
      <c r="A172" s="84"/>
      <c r="B172" s="34">
        <v>12</v>
      </c>
      <c r="C172" s="29" t="s">
        <v>179</v>
      </c>
      <c r="D172" s="33">
        <v>500000</v>
      </c>
      <c r="E172" s="33">
        <v>66650</v>
      </c>
      <c r="F172" s="32">
        <f t="shared" ref="F172" si="32">D172+E172</f>
        <v>566650</v>
      </c>
      <c r="G172" s="34">
        <v>50</v>
      </c>
      <c r="H172" s="32">
        <v>11333</v>
      </c>
      <c r="I172" s="81">
        <v>1</v>
      </c>
      <c r="J172" s="35">
        <f t="shared" si="29"/>
        <v>49</v>
      </c>
      <c r="K172" s="36">
        <f t="shared" si="30"/>
        <v>11333</v>
      </c>
      <c r="L172" s="32">
        <f t="shared" si="31"/>
        <v>555317</v>
      </c>
      <c r="M172" s="53" t="s">
        <v>255</v>
      </c>
    </row>
    <row r="173" spans="1:13" s="57" customFormat="1" ht="18.75" x14ac:dyDescent="0.3">
      <c r="A173" s="85"/>
      <c r="B173" s="86"/>
      <c r="C173" s="30" t="s">
        <v>296</v>
      </c>
      <c r="D173" s="72">
        <f>SUM(D161:D172)</f>
        <v>3460000</v>
      </c>
      <c r="E173" s="72">
        <f t="shared" ref="E173:F173" si="33">SUM(E161:E172)</f>
        <v>461218</v>
      </c>
      <c r="F173" s="72">
        <f t="shared" si="33"/>
        <v>3921218</v>
      </c>
      <c r="G173" s="71"/>
      <c r="H173" s="72">
        <f>SUM(H161:H172)</f>
        <v>78424.360000000015</v>
      </c>
      <c r="I173" s="73"/>
      <c r="J173" s="74"/>
      <c r="K173" s="72">
        <f t="shared" ref="K173:L173" si="34">SUM(K161:K172)</f>
        <v>1727149.1999999995</v>
      </c>
      <c r="L173" s="72">
        <f t="shared" si="34"/>
        <v>2194068.7999999998</v>
      </c>
      <c r="M173" s="53"/>
    </row>
    <row r="174" spans="1:13" ht="18.75" x14ac:dyDescent="0.3">
      <c r="A174" s="18"/>
      <c r="B174" s="41"/>
      <c r="C174" s="29"/>
      <c r="D174" s="33"/>
      <c r="E174" s="33"/>
      <c r="F174" s="32"/>
      <c r="G174" s="34"/>
      <c r="H174" s="32"/>
      <c r="I174" s="50"/>
      <c r="J174" s="35"/>
      <c r="K174" s="36"/>
      <c r="L174" s="36"/>
      <c r="M174" s="31"/>
    </row>
    <row r="175" spans="1:13" ht="18.75" x14ac:dyDescent="0.3">
      <c r="B175" s="7">
        <f>B172+B157</f>
        <v>164</v>
      </c>
      <c r="C175" s="30" t="s">
        <v>38</v>
      </c>
      <c r="D175" s="17">
        <f>D173+D158</f>
        <v>48800000</v>
      </c>
      <c r="E175" s="17">
        <f t="shared" ref="E175:F175" si="35">E173+E158</f>
        <v>6470381.9199999999</v>
      </c>
      <c r="F175" s="17">
        <f t="shared" si="35"/>
        <v>55270381.920000002</v>
      </c>
      <c r="G175" s="17"/>
      <c r="H175" s="17">
        <f>H173+H158</f>
        <v>1118036.1200000024</v>
      </c>
      <c r="I175" s="17"/>
      <c r="J175" s="17"/>
      <c r="K175" s="17">
        <f t="shared" ref="K175:L175" si="36">K173+K158</f>
        <v>23760488.869999964</v>
      </c>
      <c r="L175" s="17">
        <f t="shared" si="36"/>
        <v>31594890.550000049</v>
      </c>
      <c r="M175" s="9"/>
    </row>
    <row r="176" spans="1:13" x14ac:dyDescent="0.25"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</row>
    <row r="177" spans="1:13" ht="18.75" x14ac:dyDescent="0.3">
      <c r="B177" s="1"/>
      <c r="C177" s="1"/>
      <c r="D177" s="79"/>
      <c r="E177" s="79"/>
      <c r="F177" s="79"/>
      <c r="G177" s="79"/>
      <c r="H177" s="79"/>
      <c r="I177" s="79"/>
      <c r="J177" s="79"/>
      <c r="K177" s="79"/>
      <c r="L177" s="79"/>
      <c r="M177" s="1"/>
    </row>
    <row r="178" spans="1:13" ht="18.75" x14ac:dyDescent="0.3">
      <c r="B178" s="1"/>
      <c r="C178" s="8" t="s">
        <v>280</v>
      </c>
      <c r="D178" s="12"/>
      <c r="E178" s="12"/>
      <c r="F178" s="12"/>
      <c r="G178" s="12"/>
      <c r="H178" s="12"/>
      <c r="I178" s="12"/>
      <c r="J178" s="12"/>
      <c r="K178" s="12"/>
      <c r="L178" s="12"/>
      <c r="M178" s="1"/>
    </row>
    <row r="179" spans="1:13" ht="37.5" x14ac:dyDescent="0.3">
      <c r="B179" s="7" t="s">
        <v>2</v>
      </c>
      <c r="C179" s="7" t="s">
        <v>0</v>
      </c>
      <c r="D179" s="8" t="s">
        <v>3</v>
      </c>
      <c r="E179" s="8" t="s">
        <v>4</v>
      </c>
      <c r="F179" s="8" t="s">
        <v>1</v>
      </c>
      <c r="G179" s="10" t="s">
        <v>11</v>
      </c>
      <c r="H179" s="10" t="s">
        <v>10</v>
      </c>
      <c r="I179" s="11" t="s">
        <v>5</v>
      </c>
      <c r="J179" s="11" t="s">
        <v>6</v>
      </c>
      <c r="K179" s="10" t="s">
        <v>7</v>
      </c>
      <c r="L179" s="10" t="s">
        <v>8</v>
      </c>
      <c r="M179" s="10" t="s">
        <v>9</v>
      </c>
    </row>
    <row r="180" spans="1:13" ht="18.75" x14ac:dyDescent="0.3">
      <c r="B180" s="88">
        <v>1</v>
      </c>
      <c r="C180" s="66" t="s">
        <v>281</v>
      </c>
      <c r="D180" s="33">
        <v>450000</v>
      </c>
      <c r="E180" s="33">
        <v>59985</v>
      </c>
      <c r="F180" s="32">
        <f>D180+E180</f>
        <v>509985</v>
      </c>
      <c r="G180" s="34">
        <v>50</v>
      </c>
      <c r="H180" s="87">
        <v>10199.700000000001</v>
      </c>
      <c r="I180" s="9">
        <v>47</v>
      </c>
      <c r="J180" s="9">
        <f>G180-I180</f>
        <v>3</v>
      </c>
      <c r="K180" s="92">
        <f>H180*I180</f>
        <v>479385.9</v>
      </c>
      <c r="L180" s="32">
        <f t="shared" ref="L180:L181" si="37">F180-K180</f>
        <v>30599.099999999977</v>
      </c>
      <c r="M180" s="9"/>
    </row>
    <row r="181" spans="1:13" ht="18.75" x14ac:dyDescent="0.3">
      <c r="B181" s="88">
        <v>2</v>
      </c>
      <c r="C181" s="66" t="s">
        <v>295</v>
      </c>
      <c r="D181" s="12">
        <v>150000</v>
      </c>
      <c r="E181" s="12">
        <v>19995</v>
      </c>
      <c r="F181" s="12">
        <v>169995</v>
      </c>
      <c r="G181" s="14">
        <v>50</v>
      </c>
      <c r="H181" s="90">
        <v>3399.9</v>
      </c>
      <c r="I181" s="9">
        <v>31</v>
      </c>
      <c r="J181" s="9">
        <f>G181-I181</f>
        <v>19</v>
      </c>
      <c r="K181" s="92">
        <f>H181*I181</f>
        <v>105396.90000000001</v>
      </c>
      <c r="L181" s="32">
        <f t="shared" si="37"/>
        <v>64598.099999999991</v>
      </c>
      <c r="M181" s="89"/>
    </row>
    <row r="182" spans="1:13" ht="18.75" x14ac:dyDescent="0.3">
      <c r="B182" s="1"/>
      <c r="C182" s="30" t="s">
        <v>38</v>
      </c>
      <c r="D182" s="79">
        <f>SUM(D180:D181)</f>
        <v>600000</v>
      </c>
      <c r="E182" s="79">
        <f t="shared" ref="E182:F182" si="38">SUM(E180:E181)</f>
        <v>79980</v>
      </c>
      <c r="F182" s="79">
        <f t="shared" si="38"/>
        <v>679980</v>
      </c>
      <c r="G182" s="79"/>
      <c r="H182" s="79">
        <f>SUM(H180:H181)</f>
        <v>13599.6</v>
      </c>
      <c r="I182" s="79"/>
      <c r="J182" s="79"/>
      <c r="K182" s="79">
        <f t="shared" ref="K182:L182" si="39">SUM(K180:K181)</f>
        <v>584782.80000000005</v>
      </c>
      <c r="L182" s="79">
        <f t="shared" si="39"/>
        <v>95197.199999999968</v>
      </c>
      <c r="M182" s="1"/>
    </row>
    <row r="183" spans="1:13" ht="18.75" x14ac:dyDescent="0.3">
      <c r="B183" s="1"/>
      <c r="C183" s="1"/>
      <c r="D183" s="79"/>
      <c r="E183" s="79"/>
      <c r="F183" s="79"/>
      <c r="G183" s="79"/>
      <c r="H183" s="79"/>
      <c r="I183" s="79"/>
      <c r="J183" s="79"/>
      <c r="K183" s="79"/>
      <c r="L183" s="79"/>
      <c r="M183" s="1"/>
    </row>
    <row r="184" spans="1:13" ht="18.75" x14ac:dyDescent="0.3">
      <c r="B184" s="1"/>
      <c r="C184" s="30" t="s">
        <v>279</v>
      </c>
      <c r="D184" s="79">
        <f>D182+D175</f>
        <v>49400000</v>
      </c>
      <c r="E184" s="79">
        <f t="shared" ref="E184:F184" si="40">E182+E175</f>
        <v>6550361.9199999999</v>
      </c>
      <c r="F184" s="79">
        <f t="shared" si="40"/>
        <v>55950361.920000002</v>
      </c>
      <c r="G184" s="79"/>
      <c r="H184" s="79">
        <f>H182+H175</f>
        <v>1131635.7200000025</v>
      </c>
      <c r="I184" s="79"/>
      <c r="J184" s="79"/>
      <c r="K184" s="79">
        <f t="shared" ref="K184:L184" si="41">K182+K175</f>
        <v>24345271.669999965</v>
      </c>
      <c r="L184" s="79">
        <f t="shared" si="41"/>
        <v>31690087.750000048</v>
      </c>
      <c r="M184" s="1"/>
    </row>
    <row r="185" spans="1:13" ht="18.75" x14ac:dyDescent="0.3">
      <c r="B185" s="1"/>
      <c r="C185" s="1"/>
      <c r="D185" s="79"/>
      <c r="E185" s="79"/>
      <c r="F185" s="79"/>
      <c r="G185" s="79"/>
      <c r="H185" s="79"/>
      <c r="I185" s="79"/>
      <c r="J185" s="79"/>
      <c r="K185" s="79"/>
      <c r="L185" s="79"/>
      <c r="M185" s="1"/>
    </row>
    <row r="186" spans="1:13" ht="18.75" x14ac:dyDescent="0.3">
      <c r="B186" s="1"/>
      <c r="C186" s="8" t="s">
        <v>227</v>
      </c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1:13" ht="18.75" x14ac:dyDescent="0.3">
      <c r="A187" s="18"/>
      <c r="B187" s="34">
        <v>1</v>
      </c>
      <c r="C187" s="31" t="s">
        <v>135</v>
      </c>
      <c r="D187" s="32">
        <v>330000</v>
      </c>
      <c r="E187" s="33">
        <v>43989</v>
      </c>
      <c r="F187" s="32">
        <f>D187+E187</f>
        <v>373989</v>
      </c>
      <c r="G187" s="34">
        <v>50</v>
      </c>
      <c r="H187" s="32">
        <v>7479.78</v>
      </c>
      <c r="I187" s="31">
        <v>51</v>
      </c>
      <c r="J187" s="35">
        <f>G187-I187</f>
        <v>-1</v>
      </c>
      <c r="K187" s="36">
        <f>H187*I187</f>
        <v>381468.77999999997</v>
      </c>
      <c r="L187" s="32">
        <f>F187-K187</f>
        <v>-7479.7799999999697</v>
      </c>
      <c r="M187" s="53" t="s">
        <v>248</v>
      </c>
    </row>
    <row r="188" spans="1:13" ht="18.75" x14ac:dyDescent="0.3">
      <c r="A188" s="18"/>
      <c r="B188" s="34">
        <v>2</v>
      </c>
      <c r="C188" s="31" t="s">
        <v>121</v>
      </c>
      <c r="D188" s="33">
        <v>500000</v>
      </c>
      <c r="E188" s="33">
        <v>66650</v>
      </c>
      <c r="F188" s="32">
        <f>D188+E188</f>
        <v>566650</v>
      </c>
      <c r="G188" s="34">
        <v>50</v>
      </c>
      <c r="H188" s="32">
        <v>11333</v>
      </c>
      <c r="I188" s="31">
        <v>51</v>
      </c>
      <c r="J188" s="35">
        <f>G188-I188</f>
        <v>-1</v>
      </c>
      <c r="K188" s="36">
        <f>H188*I188</f>
        <v>577983</v>
      </c>
      <c r="L188" s="32">
        <f>F188-K188</f>
        <v>-11333</v>
      </c>
      <c r="M188" s="53" t="s">
        <v>248</v>
      </c>
    </row>
    <row r="189" spans="1:13" ht="18.75" x14ac:dyDescent="0.3">
      <c r="A189" s="18"/>
      <c r="B189" s="34">
        <v>3</v>
      </c>
      <c r="C189" s="29" t="s">
        <v>174</v>
      </c>
      <c r="D189" s="33">
        <v>200000</v>
      </c>
      <c r="E189" s="33">
        <v>26660</v>
      </c>
      <c r="F189" s="32">
        <f>D189+E189</f>
        <v>226660</v>
      </c>
      <c r="G189" s="34">
        <v>40</v>
      </c>
      <c r="H189" s="32">
        <v>5666.5</v>
      </c>
      <c r="I189" s="50">
        <v>40</v>
      </c>
      <c r="J189" s="35">
        <f>G189-I189</f>
        <v>0</v>
      </c>
      <c r="K189" s="36">
        <f>I189*H189</f>
        <v>226660</v>
      </c>
      <c r="L189" s="36">
        <f>F189-K189</f>
        <v>0</v>
      </c>
      <c r="M189" s="53" t="s">
        <v>248</v>
      </c>
    </row>
    <row r="190" spans="1:13" ht="18.75" x14ac:dyDescent="0.3">
      <c r="A190" s="18"/>
      <c r="B190" s="34">
        <v>4</v>
      </c>
      <c r="C190" s="50" t="s">
        <v>29</v>
      </c>
      <c r="D190" s="33">
        <v>450000</v>
      </c>
      <c r="E190" s="33">
        <v>59985</v>
      </c>
      <c r="F190" s="32">
        <f>D190+E190</f>
        <v>509985</v>
      </c>
      <c r="G190" s="34">
        <v>50</v>
      </c>
      <c r="H190" s="32">
        <v>10199.700000000001</v>
      </c>
      <c r="I190" s="50">
        <v>8</v>
      </c>
      <c r="J190" s="35">
        <f>G190-I190</f>
        <v>42</v>
      </c>
      <c r="K190" s="36">
        <f>I190*H190</f>
        <v>81597.600000000006</v>
      </c>
      <c r="L190" s="36">
        <f>F190-K190</f>
        <v>428387.4</v>
      </c>
      <c r="M190" s="53" t="s">
        <v>235</v>
      </c>
    </row>
    <row r="191" spans="1:13" ht="18.75" x14ac:dyDescent="0.3">
      <c r="A191" s="18"/>
      <c r="B191" s="34">
        <v>5</v>
      </c>
      <c r="C191" s="31" t="s">
        <v>83</v>
      </c>
      <c r="D191" s="32">
        <v>330000</v>
      </c>
      <c r="E191" s="33">
        <v>43989</v>
      </c>
      <c r="F191" s="32">
        <f>D191+E191</f>
        <v>373989</v>
      </c>
      <c r="G191" s="34">
        <v>50</v>
      </c>
      <c r="H191" s="32">
        <v>7479.78</v>
      </c>
      <c r="I191" s="31">
        <v>30</v>
      </c>
      <c r="J191" s="35">
        <f>G191-I191</f>
        <v>20</v>
      </c>
      <c r="K191" s="36">
        <f>H191*I191</f>
        <v>224393.4</v>
      </c>
      <c r="L191" s="36">
        <f>F191-K191</f>
        <v>149595.6</v>
      </c>
      <c r="M191" s="53" t="s">
        <v>234</v>
      </c>
    </row>
    <row r="192" spans="1:13" x14ac:dyDescent="0.25"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</sheetData>
  <pageMargins left="0.7" right="0.7" top="0.75" bottom="0.75" header="0.3" footer="0.3"/>
  <pageSetup paperSize="5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198"/>
  <sheetViews>
    <sheetView topLeftCell="B1" workbookViewId="0">
      <selection activeCell="C151" sqref="C151"/>
    </sheetView>
  </sheetViews>
  <sheetFormatPr defaultRowHeight="15" x14ac:dyDescent="0.25"/>
  <cols>
    <col min="1" max="2" width="9.140625" style="19"/>
    <col min="3" max="3" width="40.85546875" style="19" customWidth="1"/>
    <col min="4" max="4" width="19.7109375" style="19" bestFit="1" customWidth="1"/>
    <col min="5" max="5" width="18.28515625" style="19" bestFit="1" customWidth="1"/>
    <col min="6" max="6" width="19.7109375" style="19" bestFit="1" customWidth="1"/>
    <col min="7" max="7" width="11.5703125" style="19" customWidth="1"/>
    <col min="8" max="8" width="18.28515625" style="19" bestFit="1" customWidth="1"/>
    <col min="9" max="9" width="14.140625" style="19" customWidth="1"/>
    <col min="10" max="10" width="9.140625" style="19"/>
    <col min="11" max="12" width="19.7109375" style="19" bestFit="1" customWidth="1"/>
    <col min="13" max="13" width="23.42578125" style="19" bestFit="1" customWidth="1"/>
    <col min="14" max="16384" width="9.140625" style="19"/>
  </cols>
  <sheetData>
    <row r="2" spans="1:14" ht="21" x14ac:dyDescent="0.35">
      <c r="B2" s="98"/>
      <c r="C2" s="99" t="s">
        <v>12</v>
      </c>
      <c r="D2" s="98"/>
      <c r="E2" s="99"/>
      <c r="F2" s="99"/>
      <c r="G2" s="98"/>
      <c r="H2" s="98"/>
      <c r="I2" s="9"/>
      <c r="J2" s="9"/>
      <c r="K2" s="9"/>
      <c r="L2" s="9"/>
      <c r="M2" s="9"/>
      <c r="N2"/>
    </row>
    <row r="3" spans="1:14" ht="18.75" x14ac:dyDescent="0.3">
      <c r="B3" s="9"/>
      <c r="C3" s="106" t="s">
        <v>261</v>
      </c>
      <c r="D3" s="9"/>
      <c r="E3" s="106"/>
      <c r="F3" s="106"/>
      <c r="G3" s="106"/>
      <c r="H3" s="9"/>
      <c r="I3" s="9"/>
      <c r="J3" s="9"/>
      <c r="K3" s="9"/>
      <c r="L3" s="9"/>
      <c r="M3" s="9"/>
      <c r="N3"/>
    </row>
    <row r="4" spans="1:14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/>
    </row>
    <row r="5" spans="1:14" ht="56.2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/>
    </row>
    <row r="6" spans="1:14" ht="18.75" x14ac:dyDescent="0.3">
      <c r="A6" s="20"/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4" si="0">D6+E6</f>
        <v>566650</v>
      </c>
      <c r="G6" s="34">
        <v>50</v>
      </c>
      <c r="H6" s="32">
        <v>11333</v>
      </c>
      <c r="I6" s="31">
        <v>32</v>
      </c>
      <c r="J6" s="35">
        <f t="shared" ref="J6:J37" si="1">G6-I6</f>
        <v>18</v>
      </c>
      <c r="K6" s="33">
        <f t="shared" ref="K6:K13" si="2">H6*I6</f>
        <v>362656</v>
      </c>
      <c r="L6" s="36">
        <f t="shared" ref="L6:L37" si="3">F6-K6</f>
        <v>203994</v>
      </c>
      <c r="M6" s="31"/>
      <c r="N6"/>
    </row>
    <row r="7" spans="1:14" ht="18.75" x14ac:dyDescent="0.3">
      <c r="A7" s="20"/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32</v>
      </c>
      <c r="J7" s="35">
        <f t="shared" si="1"/>
        <v>18</v>
      </c>
      <c r="K7" s="33">
        <f t="shared" si="2"/>
        <v>362656</v>
      </c>
      <c r="L7" s="36">
        <f t="shared" si="3"/>
        <v>203994</v>
      </c>
      <c r="M7" s="31"/>
      <c r="N7"/>
    </row>
    <row r="8" spans="1:14" ht="18.75" x14ac:dyDescent="0.3">
      <c r="A8" s="20"/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47</v>
      </c>
      <c r="J8" s="35">
        <f t="shared" si="1"/>
        <v>3</v>
      </c>
      <c r="K8" s="36">
        <f t="shared" si="2"/>
        <v>532651</v>
      </c>
      <c r="L8" s="32">
        <f t="shared" si="3"/>
        <v>33999</v>
      </c>
      <c r="M8" s="31"/>
      <c r="N8"/>
    </row>
    <row r="9" spans="1:14" ht="18.75" x14ac:dyDescent="0.3">
      <c r="A9" s="20"/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47</v>
      </c>
      <c r="J9" s="35">
        <f t="shared" si="1"/>
        <v>3</v>
      </c>
      <c r="K9" s="36">
        <f t="shared" si="2"/>
        <v>532651</v>
      </c>
      <c r="L9" s="32">
        <f t="shared" si="3"/>
        <v>33999</v>
      </c>
      <c r="M9" s="31"/>
      <c r="N9"/>
    </row>
    <row r="10" spans="1:14" ht="18.75" x14ac:dyDescent="0.3">
      <c r="A10" s="20"/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47</v>
      </c>
      <c r="J10" s="35">
        <f t="shared" si="1"/>
        <v>3</v>
      </c>
      <c r="K10" s="36">
        <f t="shared" si="2"/>
        <v>532651</v>
      </c>
      <c r="L10" s="32">
        <f t="shared" si="3"/>
        <v>33999</v>
      </c>
      <c r="M10" s="31"/>
      <c r="N10"/>
    </row>
    <row r="11" spans="1:14" ht="18.75" x14ac:dyDescent="0.3">
      <c r="A11" s="20"/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32</v>
      </c>
      <c r="J11" s="35">
        <f t="shared" si="1"/>
        <v>18</v>
      </c>
      <c r="K11" s="36">
        <f t="shared" si="2"/>
        <v>362656</v>
      </c>
      <c r="L11" s="36">
        <f t="shared" si="3"/>
        <v>203994</v>
      </c>
      <c r="M11" s="31"/>
      <c r="N11"/>
    </row>
    <row r="12" spans="1:14" ht="18.75" x14ac:dyDescent="0.3">
      <c r="A12" s="20"/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31</v>
      </c>
      <c r="J12" s="35">
        <f t="shared" si="1"/>
        <v>19</v>
      </c>
      <c r="K12" s="36">
        <f t="shared" si="2"/>
        <v>351323</v>
      </c>
      <c r="L12" s="36">
        <f t="shared" si="3"/>
        <v>215327</v>
      </c>
      <c r="M12" s="31"/>
      <c r="N12"/>
    </row>
    <row r="13" spans="1:14" ht="18.75" x14ac:dyDescent="0.3">
      <c r="A13" s="20"/>
      <c r="B13" s="34">
        <v>8</v>
      </c>
      <c r="C13" s="31" t="s">
        <v>123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32</v>
      </c>
      <c r="J13" s="35">
        <f t="shared" si="1"/>
        <v>18</v>
      </c>
      <c r="K13" s="36">
        <f t="shared" si="2"/>
        <v>362656</v>
      </c>
      <c r="L13" s="36">
        <f t="shared" si="3"/>
        <v>203994</v>
      </c>
      <c r="M13" s="31"/>
      <c r="N13"/>
    </row>
    <row r="14" spans="1:14" ht="18.75" x14ac:dyDescent="0.3">
      <c r="A14" s="20"/>
      <c r="B14" s="34">
        <v>9</v>
      </c>
      <c r="C14" s="31" t="s">
        <v>144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27</v>
      </c>
      <c r="J14" s="35">
        <f t="shared" si="1"/>
        <v>23</v>
      </c>
      <c r="K14" s="36">
        <f t="shared" ref="K14:K22" si="4">I14*H14</f>
        <v>305991</v>
      </c>
      <c r="L14" s="36">
        <f t="shared" si="3"/>
        <v>260659</v>
      </c>
      <c r="M14" s="31"/>
      <c r="N14"/>
    </row>
    <row r="15" spans="1:14" ht="18.75" x14ac:dyDescent="0.3">
      <c r="A15" s="20"/>
      <c r="B15" s="34">
        <v>10</v>
      </c>
      <c r="C15" s="31" t="s">
        <v>145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27</v>
      </c>
      <c r="J15" s="35">
        <f t="shared" si="1"/>
        <v>23</v>
      </c>
      <c r="K15" s="36">
        <f t="shared" si="4"/>
        <v>305991</v>
      </c>
      <c r="L15" s="36">
        <f t="shared" si="3"/>
        <v>260659</v>
      </c>
      <c r="M15" s="31"/>
      <c r="N15"/>
    </row>
    <row r="16" spans="1:14" ht="18.75" x14ac:dyDescent="0.3">
      <c r="A16" s="20"/>
      <c r="B16" s="34">
        <v>11</v>
      </c>
      <c r="C16" s="50" t="s">
        <v>154</v>
      </c>
      <c r="D16" s="33">
        <v>500000</v>
      </c>
      <c r="E16" s="33">
        <v>31991.919999999998</v>
      </c>
      <c r="F16" s="32">
        <f t="shared" si="0"/>
        <v>531991.92000000004</v>
      </c>
      <c r="G16" s="34">
        <v>24</v>
      </c>
      <c r="H16" s="32">
        <v>22166.33</v>
      </c>
      <c r="I16" s="50">
        <v>21</v>
      </c>
      <c r="J16" s="35">
        <f t="shared" si="1"/>
        <v>3</v>
      </c>
      <c r="K16" s="36">
        <f t="shared" si="4"/>
        <v>465492.93000000005</v>
      </c>
      <c r="L16" s="36">
        <f t="shared" si="3"/>
        <v>66498.989999999991</v>
      </c>
      <c r="M16" s="31"/>
      <c r="N16"/>
    </row>
    <row r="17" spans="1:14" ht="18.75" x14ac:dyDescent="0.3">
      <c r="A17" s="20"/>
      <c r="B17" s="34">
        <v>12</v>
      </c>
      <c r="C17" s="50" t="s">
        <v>208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50">
        <v>18</v>
      </c>
      <c r="J17" s="35">
        <f t="shared" si="1"/>
        <v>32</v>
      </c>
      <c r="K17" s="36">
        <f t="shared" si="4"/>
        <v>203994</v>
      </c>
      <c r="L17" s="36">
        <f t="shared" si="3"/>
        <v>362656</v>
      </c>
      <c r="M17" s="31"/>
      <c r="N17"/>
    </row>
    <row r="18" spans="1:14" ht="18.75" x14ac:dyDescent="0.3">
      <c r="A18" s="20"/>
      <c r="B18" s="34">
        <v>13</v>
      </c>
      <c r="C18" s="50" t="s">
        <v>14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16</v>
      </c>
      <c r="J18" s="35">
        <f t="shared" si="1"/>
        <v>34</v>
      </c>
      <c r="K18" s="36">
        <f t="shared" si="4"/>
        <v>181328</v>
      </c>
      <c r="L18" s="36">
        <f t="shared" si="3"/>
        <v>385322</v>
      </c>
      <c r="M18" s="31"/>
      <c r="N18"/>
    </row>
    <row r="19" spans="1:14" ht="18.75" x14ac:dyDescent="0.3">
      <c r="A19" s="20"/>
      <c r="B19" s="34">
        <v>14</v>
      </c>
      <c r="C19" s="50" t="s">
        <v>15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16</v>
      </c>
      <c r="J19" s="35">
        <f t="shared" si="1"/>
        <v>34</v>
      </c>
      <c r="K19" s="36">
        <f t="shared" si="4"/>
        <v>181328</v>
      </c>
      <c r="L19" s="36">
        <f t="shared" si="3"/>
        <v>385322</v>
      </c>
      <c r="M19" s="31"/>
      <c r="N19"/>
    </row>
    <row r="20" spans="1:14" ht="18.75" x14ac:dyDescent="0.3">
      <c r="A20" s="20"/>
      <c r="B20" s="34">
        <v>15</v>
      </c>
      <c r="C20" s="50" t="s">
        <v>16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16</v>
      </c>
      <c r="J20" s="35">
        <f t="shared" si="1"/>
        <v>34</v>
      </c>
      <c r="K20" s="36">
        <f t="shared" si="4"/>
        <v>181328</v>
      </c>
      <c r="L20" s="36">
        <f t="shared" si="3"/>
        <v>385322</v>
      </c>
      <c r="M20" s="31"/>
      <c r="N20"/>
    </row>
    <row r="21" spans="1:14" ht="18.75" x14ac:dyDescent="0.3">
      <c r="A21" s="20"/>
      <c r="B21" s="34">
        <v>16</v>
      </c>
      <c r="C21" s="50" t="s">
        <v>232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13</v>
      </c>
      <c r="J21" s="35">
        <f t="shared" si="1"/>
        <v>37</v>
      </c>
      <c r="K21" s="36">
        <f t="shared" si="4"/>
        <v>147329</v>
      </c>
      <c r="L21" s="36">
        <f t="shared" si="3"/>
        <v>419321</v>
      </c>
      <c r="M21" s="31"/>
      <c r="N21"/>
    </row>
    <row r="22" spans="1:14" ht="18.75" x14ac:dyDescent="0.3">
      <c r="A22" s="20"/>
      <c r="B22" s="34">
        <v>17</v>
      </c>
      <c r="C22" s="50" t="s">
        <v>214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13</v>
      </c>
      <c r="J22" s="35">
        <f t="shared" si="1"/>
        <v>37</v>
      </c>
      <c r="K22" s="36">
        <f t="shared" si="4"/>
        <v>147329</v>
      </c>
      <c r="L22" s="36">
        <f t="shared" si="3"/>
        <v>419321</v>
      </c>
      <c r="M22" s="31"/>
      <c r="N22"/>
    </row>
    <row r="23" spans="1:14" ht="18.75" x14ac:dyDescent="0.3">
      <c r="A23" s="20"/>
      <c r="B23" s="34">
        <v>18</v>
      </c>
      <c r="C23" s="31" t="s">
        <v>219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31">
        <v>45</v>
      </c>
      <c r="J23" s="35">
        <f t="shared" si="1"/>
        <v>5</v>
      </c>
      <c r="K23" s="36">
        <f>H23*I23</f>
        <v>509985</v>
      </c>
      <c r="L23" s="32">
        <f t="shared" si="3"/>
        <v>56665</v>
      </c>
      <c r="M23" s="31"/>
      <c r="N23"/>
    </row>
    <row r="24" spans="1:14" ht="18.75" x14ac:dyDescent="0.3">
      <c r="A24" s="20"/>
      <c r="B24" s="34">
        <v>19</v>
      </c>
      <c r="C24" s="50" t="s">
        <v>31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10</v>
      </c>
      <c r="J24" s="35">
        <f t="shared" si="1"/>
        <v>40</v>
      </c>
      <c r="K24" s="36">
        <f t="shared" ref="K24:K37" si="5">I24*H24</f>
        <v>113330</v>
      </c>
      <c r="L24" s="36">
        <f t="shared" si="3"/>
        <v>453320</v>
      </c>
      <c r="M24" s="31"/>
      <c r="N24"/>
    </row>
    <row r="25" spans="1:14" ht="18.75" x14ac:dyDescent="0.3">
      <c r="A25" s="20"/>
      <c r="B25" s="34">
        <v>20</v>
      </c>
      <c r="C25" s="29" t="s">
        <v>161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23</v>
      </c>
      <c r="J25" s="35">
        <f t="shared" si="1"/>
        <v>27</v>
      </c>
      <c r="K25" s="36">
        <f t="shared" si="5"/>
        <v>260659</v>
      </c>
      <c r="L25" s="36">
        <f t="shared" si="3"/>
        <v>305991</v>
      </c>
      <c r="M25" s="31"/>
      <c r="N25"/>
    </row>
    <row r="26" spans="1:14" ht="18.75" x14ac:dyDescent="0.3">
      <c r="A26" s="20"/>
      <c r="B26" s="34">
        <v>21</v>
      </c>
      <c r="C26" s="29" t="s">
        <v>170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32</v>
      </c>
      <c r="J26" s="35">
        <f t="shared" si="1"/>
        <v>18</v>
      </c>
      <c r="K26" s="36">
        <f t="shared" si="5"/>
        <v>362656</v>
      </c>
      <c r="L26" s="36">
        <f t="shared" si="3"/>
        <v>203994</v>
      </c>
      <c r="M26" s="31"/>
      <c r="N26"/>
    </row>
    <row r="27" spans="1:14" ht="18.75" x14ac:dyDescent="0.3">
      <c r="A27" s="20"/>
      <c r="B27" s="34">
        <v>22</v>
      </c>
      <c r="C27" s="29" t="s">
        <v>172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28</v>
      </c>
      <c r="J27" s="35">
        <f t="shared" si="1"/>
        <v>22</v>
      </c>
      <c r="K27" s="36">
        <f t="shared" si="5"/>
        <v>317324</v>
      </c>
      <c r="L27" s="36">
        <f t="shared" si="3"/>
        <v>249326</v>
      </c>
      <c r="M27" s="31"/>
      <c r="N27"/>
    </row>
    <row r="28" spans="1:14" ht="18.75" x14ac:dyDescent="0.3">
      <c r="A28" s="20"/>
      <c r="B28" s="34">
        <v>23</v>
      </c>
      <c r="C28" s="29" t="s">
        <v>46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8</v>
      </c>
      <c r="J28" s="35">
        <f t="shared" si="1"/>
        <v>42</v>
      </c>
      <c r="K28" s="36">
        <f t="shared" si="5"/>
        <v>90664</v>
      </c>
      <c r="L28" s="36">
        <f t="shared" si="3"/>
        <v>475986</v>
      </c>
      <c r="M28" s="31"/>
      <c r="N28"/>
    </row>
    <row r="29" spans="1:14" ht="18.75" x14ac:dyDescent="0.3">
      <c r="A29" s="20"/>
      <c r="B29" s="34">
        <v>24</v>
      </c>
      <c r="C29" s="29" t="s">
        <v>45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8</v>
      </c>
      <c r="J29" s="35">
        <f t="shared" si="1"/>
        <v>42</v>
      </c>
      <c r="K29" s="36">
        <f t="shared" si="5"/>
        <v>90664</v>
      </c>
      <c r="L29" s="36">
        <f t="shared" si="3"/>
        <v>475986</v>
      </c>
      <c r="M29" s="31"/>
      <c r="N29"/>
    </row>
    <row r="30" spans="1:14" ht="18.75" x14ac:dyDescent="0.3">
      <c r="A30" s="20"/>
      <c r="B30" s="34">
        <v>25</v>
      </c>
      <c r="C30" s="29" t="s">
        <v>239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8</v>
      </c>
      <c r="J30" s="35">
        <f t="shared" si="1"/>
        <v>42</v>
      </c>
      <c r="K30" s="36">
        <f t="shared" si="5"/>
        <v>90664</v>
      </c>
      <c r="L30" s="36">
        <f t="shared" si="3"/>
        <v>475986</v>
      </c>
      <c r="M30" s="31"/>
      <c r="N30"/>
    </row>
    <row r="31" spans="1:14" ht="18.75" x14ac:dyDescent="0.3">
      <c r="A31" s="20"/>
      <c r="B31" s="34">
        <v>26</v>
      </c>
      <c r="C31" s="29" t="s">
        <v>44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7</v>
      </c>
      <c r="J31" s="35">
        <f t="shared" si="1"/>
        <v>43</v>
      </c>
      <c r="K31" s="36">
        <f t="shared" si="5"/>
        <v>79331</v>
      </c>
      <c r="L31" s="36">
        <f t="shared" si="3"/>
        <v>487319</v>
      </c>
      <c r="M31" s="31"/>
      <c r="N31"/>
    </row>
    <row r="32" spans="1:14" ht="18.75" x14ac:dyDescent="0.3">
      <c r="A32" s="20"/>
      <c r="B32" s="34">
        <v>27</v>
      </c>
      <c r="C32" s="29" t="s">
        <v>66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6</v>
      </c>
      <c r="J32" s="35">
        <f t="shared" si="1"/>
        <v>44</v>
      </c>
      <c r="K32" s="36">
        <f t="shared" si="5"/>
        <v>67998</v>
      </c>
      <c r="L32" s="36">
        <f t="shared" si="3"/>
        <v>498652</v>
      </c>
      <c r="M32" s="31"/>
      <c r="N32"/>
    </row>
    <row r="33" spans="1:14" ht="18.75" x14ac:dyDescent="0.3">
      <c r="A33" s="20"/>
      <c r="B33" s="34">
        <v>28</v>
      </c>
      <c r="C33" s="29" t="s">
        <v>67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6</v>
      </c>
      <c r="J33" s="35">
        <f t="shared" si="1"/>
        <v>44</v>
      </c>
      <c r="K33" s="36">
        <f t="shared" si="5"/>
        <v>67998</v>
      </c>
      <c r="L33" s="36">
        <f t="shared" si="3"/>
        <v>498652</v>
      </c>
      <c r="M33" s="31"/>
      <c r="N33"/>
    </row>
    <row r="34" spans="1:14" ht="18.75" x14ac:dyDescent="0.3">
      <c r="A34" s="20"/>
      <c r="B34" s="34">
        <v>29</v>
      </c>
      <c r="C34" s="29" t="s">
        <v>68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6</v>
      </c>
      <c r="J34" s="35">
        <f t="shared" si="1"/>
        <v>44</v>
      </c>
      <c r="K34" s="36">
        <f t="shared" si="5"/>
        <v>67998</v>
      </c>
      <c r="L34" s="36">
        <f t="shared" si="3"/>
        <v>498652</v>
      </c>
      <c r="M34" s="31"/>
      <c r="N34"/>
    </row>
    <row r="35" spans="1:14" ht="18.75" x14ac:dyDescent="0.3">
      <c r="A35" s="20"/>
      <c r="B35" s="34">
        <v>30</v>
      </c>
      <c r="C35" s="29" t="s">
        <v>253</v>
      </c>
      <c r="D35" s="33">
        <v>500000</v>
      </c>
      <c r="E35" s="33">
        <v>66650</v>
      </c>
      <c r="F35" s="32">
        <f t="shared" ref="F35:F36" si="6">D35+E35</f>
        <v>566650</v>
      </c>
      <c r="G35" s="34">
        <v>50</v>
      </c>
      <c r="H35" s="32">
        <v>11333</v>
      </c>
      <c r="I35" s="50">
        <v>3</v>
      </c>
      <c r="J35" s="35">
        <f t="shared" si="1"/>
        <v>47</v>
      </c>
      <c r="K35" s="36">
        <f t="shared" si="5"/>
        <v>33999</v>
      </c>
      <c r="L35" s="36">
        <f t="shared" si="3"/>
        <v>532651</v>
      </c>
      <c r="M35" s="31"/>
      <c r="N35"/>
    </row>
    <row r="36" spans="1:14" ht="18.75" x14ac:dyDescent="0.3">
      <c r="A36" s="20"/>
      <c r="B36" s="34">
        <v>31</v>
      </c>
      <c r="C36" s="29" t="s">
        <v>254</v>
      </c>
      <c r="D36" s="33">
        <v>500000</v>
      </c>
      <c r="E36" s="33">
        <v>66650</v>
      </c>
      <c r="F36" s="32">
        <f t="shared" si="6"/>
        <v>566650</v>
      </c>
      <c r="G36" s="34">
        <v>50</v>
      </c>
      <c r="H36" s="32">
        <v>11333</v>
      </c>
      <c r="I36" s="50">
        <v>3</v>
      </c>
      <c r="J36" s="35">
        <f t="shared" si="1"/>
        <v>47</v>
      </c>
      <c r="K36" s="36">
        <f t="shared" si="5"/>
        <v>33999</v>
      </c>
      <c r="L36" s="36">
        <f t="shared" si="3"/>
        <v>532651</v>
      </c>
      <c r="M36" s="31"/>
      <c r="N36"/>
    </row>
    <row r="37" spans="1:14" ht="18.75" x14ac:dyDescent="0.3">
      <c r="A37" s="20"/>
      <c r="B37" s="34">
        <v>32</v>
      </c>
      <c r="C37" s="31" t="s">
        <v>74</v>
      </c>
      <c r="D37" s="33">
        <v>450000</v>
      </c>
      <c r="E37" s="33">
        <v>59985</v>
      </c>
      <c r="F37" s="32">
        <f t="shared" ref="F37:F63" si="7">D37+E37</f>
        <v>509985</v>
      </c>
      <c r="G37" s="34">
        <v>50</v>
      </c>
      <c r="H37" s="32">
        <v>10199.700000000001</v>
      </c>
      <c r="I37" s="31">
        <v>29</v>
      </c>
      <c r="J37" s="35">
        <f t="shared" si="1"/>
        <v>21</v>
      </c>
      <c r="K37" s="32">
        <f t="shared" si="5"/>
        <v>295791.30000000005</v>
      </c>
      <c r="L37" s="33">
        <f t="shared" si="3"/>
        <v>214193.69999999995</v>
      </c>
      <c r="M37" s="31"/>
      <c r="N37"/>
    </row>
    <row r="38" spans="1:14" ht="18.75" x14ac:dyDescent="0.3">
      <c r="A38" s="20"/>
      <c r="B38" s="34">
        <v>33</v>
      </c>
      <c r="C38" s="31" t="s">
        <v>77</v>
      </c>
      <c r="D38" s="33">
        <v>450000</v>
      </c>
      <c r="E38" s="33">
        <v>59985</v>
      </c>
      <c r="F38" s="32">
        <f t="shared" si="7"/>
        <v>509985</v>
      </c>
      <c r="G38" s="34">
        <v>50</v>
      </c>
      <c r="H38" s="32">
        <v>10199.700000000001</v>
      </c>
      <c r="I38" s="52">
        <v>28</v>
      </c>
      <c r="J38" s="35">
        <f t="shared" ref="J38:J69" si="8">G38-I38</f>
        <v>22</v>
      </c>
      <c r="K38" s="32">
        <f t="shared" ref="K38:K44" si="9">H38*I38</f>
        <v>285591.60000000003</v>
      </c>
      <c r="L38" s="33">
        <f t="shared" ref="L38:L69" si="10">F38-K38</f>
        <v>224393.39999999997</v>
      </c>
      <c r="M38" s="31"/>
      <c r="N38"/>
    </row>
    <row r="39" spans="1:14" ht="18.75" x14ac:dyDescent="0.3">
      <c r="A39" s="20"/>
      <c r="B39" s="34">
        <v>34</v>
      </c>
      <c r="C39" s="31" t="s">
        <v>78</v>
      </c>
      <c r="D39" s="33">
        <v>450000</v>
      </c>
      <c r="E39" s="33">
        <v>59985</v>
      </c>
      <c r="F39" s="32">
        <f t="shared" si="7"/>
        <v>509985</v>
      </c>
      <c r="G39" s="34">
        <v>50</v>
      </c>
      <c r="H39" s="32">
        <v>10199.700000000001</v>
      </c>
      <c r="I39" s="52">
        <v>28</v>
      </c>
      <c r="J39" s="35">
        <f t="shared" si="8"/>
        <v>22</v>
      </c>
      <c r="K39" s="32">
        <f t="shared" si="9"/>
        <v>285591.60000000003</v>
      </c>
      <c r="L39" s="32">
        <f t="shared" si="10"/>
        <v>224393.39999999997</v>
      </c>
      <c r="M39" s="31"/>
      <c r="N39"/>
    </row>
    <row r="40" spans="1:14" ht="18.75" x14ac:dyDescent="0.3">
      <c r="A40" s="20"/>
      <c r="B40" s="34">
        <v>35</v>
      </c>
      <c r="C40" s="31" t="s">
        <v>82</v>
      </c>
      <c r="D40" s="33">
        <v>450000</v>
      </c>
      <c r="E40" s="33">
        <v>59985</v>
      </c>
      <c r="F40" s="32">
        <f t="shared" si="7"/>
        <v>509985</v>
      </c>
      <c r="G40" s="34">
        <v>50</v>
      </c>
      <c r="H40" s="32">
        <v>10199.700000000001</v>
      </c>
      <c r="I40" s="31">
        <v>32</v>
      </c>
      <c r="J40" s="35">
        <f t="shared" si="8"/>
        <v>18</v>
      </c>
      <c r="K40" s="36">
        <f t="shared" si="9"/>
        <v>326390.40000000002</v>
      </c>
      <c r="L40" s="36">
        <f t="shared" si="10"/>
        <v>183594.59999999998</v>
      </c>
      <c r="M40" s="31"/>
      <c r="N40"/>
    </row>
    <row r="41" spans="1:14" ht="18.75" x14ac:dyDescent="0.3">
      <c r="A41" s="20"/>
      <c r="B41" s="34">
        <v>36</v>
      </c>
      <c r="C41" s="31" t="s">
        <v>99</v>
      </c>
      <c r="D41" s="33">
        <v>450000</v>
      </c>
      <c r="E41" s="33">
        <v>59985</v>
      </c>
      <c r="F41" s="32">
        <f t="shared" si="7"/>
        <v>509985</v>
      </c>
      <c r="G41" s="34">
        <v>50</v>
      </c>
      <c r="H41" s="36">
        <v>10199.700000000001</v>
      </c>
      <c r="I41" s="31">
        <v>32</v>
      </c>
      <c r="J41" s="35">
        <f t="shared" si="8"/>
        <v>18</v>
      </c>
      <c r="K41" s="36">
        <f t="shared" si="9"/>
        <v>326390.40000000002</v>
      </c>
      <c r="L41" s="36">
        <f t="shared" si="10"/>
        <v>183594.59999999998</v>
      </c>
      <c r="M41" s="31"/>
      <c r="N41"/>
    </row>
    <row r="42" spans="1:14" ht="18.75" x14ac:dyDescent="0.3">
      <c r="A42" s="20"/>
      <c r="B42" s="34">
        <v>37</v>
      </c>
      <c r="C42" s="31" t="s">
        <v>196</v>
      </c>
      <c r="D42" s="33">
        <v>450000</v>
      </c>
      <c r="E42" s="33">
        <v>59985</v>
      </c>
      <c r="F42" s="32">
        <f t="shared" si="7"/>
        <v>509985</v>
      </c>
      <c r="G42" s="34">
        <v>50</v>
      </c>
      <c r="H42" s="32">
        <v>10199.700000000001</v>
      </c>
      <c r="I42" s="31">
        <v>47</v>
      </c>
      <c r="J42" s="35">
        <f t="shared" si="8"/>
        <v>3</v>
      </c>
      <c r="K42" s="36">
        <f t="shared" si="9"/>
        <v>479385.9</v>
      </c>
      <c r="L42" s="32">
        <f t="shared" si="10"/>
        <v>30599.099999999977</v>
      </c>
      <c r="M42" s="31"/>
      <c r="N42"/>
    </row>
    <row r="43" spans="1:14" ht="18.75" x14ac:dyDescent="0.3">
      <c r="A43" s="20"/>
      <c r="B43" s="34">
        <v>38</v>
      </c>
      <c r="C43" s="31" t="s">
        <v>122</v>
      </c>
      <c r="D43" s="33">
        <v>450000</v>
      </c>
      <c r="E43" s="33">
        <v>59985</v>
      </c>
      <c r="F43" s="32">
        <f t="shared" si="7"/>
        <v>509985</v>
      </c>
      <c r="G43" s="34">
        <v>50</v>
      </c>
      <c r="H43" s="36">
        <v>10199.700000000001</v>
      </c>
      <c r="I43" s="31">
        <v>32</v>
      </c>
      <c r="J43" s="35">
        <f t="shared" si="8"/>
        <v>18</v>
      </c>
      <c r="K43" s="36">
        <f t="shared" si="9"/>
        <v>326390.40000000002</v>
      </c>
      <c r="L43" s="36">
        <f t="shared" si="10"/>
        <v>183594.59999999998</v>
      </c>
      <c r="M43" s="31"/>
      <c r="N43"/>
    </row>
    <row r="44" spans="1:14" ht="18.75" x14ac:dyDescent="0.3">
      <c r="A44" s="20"/>
      <c r="B44" s="34">
        <v>39</v>
      </c>
      <c r="C44" s="31" t="s">
        <v>204</v>
      </c>
      <c r="D44" s="33">
        <v>450000</v>
      </c>
      <c r="E44" s="33">
        <v>59985</v>
      </c>
      <c r="F44" s="32">
        <f t="shared" si="7"/>
        <v>509985</v>
      </c>
      <c r="G44" s="34">
        <v>50</v>
      </c>
      <c r="H44" s="32">
        <v>10199.700000000001</v>
      </c>
      <c r="I44" s="31">
        <v>37</v>
      </c>
      <c r="J44" s="35">
        <f t="shared" si="8"/>
        <v>13</v>
      </c>
      <c r="K44" s="36">
        <f t="shared" si="9"/>
        <v>377388.9</v>
      </c>
      <c r="L44" s="32">
        <f t="shared" si="10"/>
        <v>132596.09999999998</v>
      </c>
      <c r="M44" s="31"/>
      <c r="N44"/>
    </row>
    <row r="45" spans="1:14" ht="18.75" x14ac:dyDescent="0.3">
      <c r="A45" s="20"/>
      <c r="B45" s="34">
        <v>40</v>
      </c>
      <c r="C45" s="50" t="s">
        <v>146</v>
      </c>
      <c r="D45" s="33">
        <v>450000</v>
      </c>
      <c r="E45" s="33">
        <v>59985</v>
      </c>
      <c r="F45" s="32">
        <f t="shared" si="7"/>
        <v>509985</v>
      </c>
      <c r="G45" s="34">
        <v>50</v>
      </c>
      <c r="H45" s="32">
        <v>10199.700000000001</v>
      </c>
      <c r="I45" s="50">
        <v>21</v>
      </c>
      <c r="J45" s="35">
        <f t="shared" si="8"/>
        <v>29</v>
      </c>
      <c r="K45" s="36">
        <f t="shared" ref="K45:K54" si="11">I45*H45</f>
        <v>214193.7</v>
      </c>
      <c r="L45" s="36">
        <f t="shared" si="10"/>
        <v>295791.3</v>
      </c>
      <c r="M45" s="31"/>
      <c r="N45"/>
    </row>
    <row r="46" spans="1:14" ht="18.75" x14ac:dyDescent="0.3">
      <c r="A46" s="20"/>
      <c r="B46" s="34">
        <v>41</v>
      </c>
      <c r="C46" s="50" t="s">
        <v>231</v>
      </c>
      <c r="D46" s="33">
        <v>450000</v>
      </c>
      <c r="E46" s="33">
        <v>59985</v>
      </c>
      <c r="F46" s="32">
        <f t="shared" si="7"/>
        <v>509985</v>
      </c>
      <c r="G46" s="34">
        <v>50</v>
      </c>
      <c r="H46" s="32">
        <v>10199.700000000001</v>
      </c>
      <c r="I46" s="50">
        <v>21</v>
      </c>
      <c r="J46" s="35">
        <f t="shared" si="8"/>
        <v>29</v>
      </c>
      <c r="K46" s="36">
        <f t="shared" si="11"/>
        <v>214193.7</v>
      </c>
      <c r="L46" s="36">
        <f t="shared" si="10"/>
        <v>295791.3</v>
      </c>
      <c r="M46" s="31"/>
      <c r="N46"/>
    </row>
    <row r="47" spans="1:14" ht="18.75" x14ac:dyDescent="0.3">
      <c r="A47" s="20"/>
      <c r="B47" s="34">
        <v>42</v>
      </c>
      <c r="C47" s="50" t="s">
        <v>17</v>
      </c>
      <c r="D47" s="33">
        <v>450000</v>
      </c>
      <c r="E47" s="33">
        <v>59985</v>
      </c>
      <c r="F47" s="32">
        <f t="shared" si="7"/>
        <v>509985</v>
      </c>
      <c r="G47" s="34">
        <v>50</v>
      </c>
      <c r="H47" s="32">
        <v>10199.700000000001</v>
      </c>
      <c r="I47" s="50">
        <v>16</v>
      </c>
      <c r="J47" s="35">
        <f t="shared" si="8"/>
        <v>34</v>
      </c>
      <c r="K47" s="36">
        <f t="shared" si="11"/>
        <v>163195.20000000001</v>
      </c>
      <c r="L47" s="36">
        <f t="shared" si="10"/>
        <v>346789.8</v>
      </c>
      <c r="M47" s="31"/>
      <c r="N47"/>
    </row>
    <row r="48" spans="1:14" ht="18.75" x14ac:dyDescent="0.3">
      <c r="A48" s="20"/>
      <c r="B48" s="34">
        <v>43</v>
      </c>
      <c r="C48" s="50" t="s">
        <v>22</v>
      </c>
      <c r="D48" s="33">
        <v>450000</v>
      </c>
      <c r="E48" s="33">
        <v>59985</v>
      </c>
      <c r="F48" s="32">
        <f t="shared" si="7"/>
        <v>509985</v>
      </c>
      <c r="G48" s="34">
        <v>50</v>
      </c>
      <c r="H48" s="32">
        <v>10199.700000000001</v>
      </c>
      <c r="I48" s="50">
        <v>13</v>
      </c>
      <c r="J48" s="35">
        <f t="shared" si="8"/>
        <v>37</v>
      </c>
      <c r="K48" s="36">
        <f t="shared" si="11"/>
        <v>132596.1</v>
      </c>
      <c r="L48" s="36">
        <f t="shared" si="10"/>
        <v>377388.9</v>
      </c>
      <c r="M48" s="31"/>
      <c r="N48"/>
    </row>
    <row r="49" spans="1:14" ht="18.75" x14ac:dyDescent="0.3">
      <c r="A49" s="20"/>
      <c r="B49" s="34">
        <v>44</v>
      </c>
      <c r="C49" s="29" t="s">
        <v>35</v>
      </c>
      <c r="D49" s="33">
        <v>450000</v>
      </c>
      <c r="E49" s="33">
        <v>59985</v>
      </c>
      <c r="F49" s="32">
        <f t="shared" si="7"/>
        <v>509985</v>
      </c>
      <c r="G49" s="34">
        <v>50</v>
      </c>
      <c r="H49" s="32">
        <v>10199.700000000001</v>
      </c>
      <c r="I49" s="50">
        <v>11</v>
      </c>
      <c r="J49" s="35">
        <f t="shared" si="8"/>
        <v>39</v>
      </c>
      <c r="K49" s="36">
        <f t="shared" si="11"/>
        <v>112196.70000000001</v>
      </c>
      <c r="L49" s="36">
        <f t="shared" si="10"/>
        <v>397788.3</v>
      </c>
      <c r="M49" s="31"/>
      <c r="N49"/>
    </row>
    <row r="50" spans="1:14" ht="18.75" x14ac:dyDescent="0.3">
      <c r="A50" s="20"/>
      <c r="B50" s="34">
        <v>45</v>
      </c>
      <c r="C50" s="29" t="s">
        <v>48</v>
      </c>
      <c r="D50" s="33">
        <v>450000</v>
      </c>
      <c r="E50" s="33">
        <v>59985</v>
      </c>
      <c r="F50" s="32">
        <f t="shared" si="7"/>
        <v>509985</v>
      </c>
      <c r="G50" s="34">
        <v>50</v>
      </c>
      <c r="H50" s="32">
        <v>10199.700000000001</v>
      </c>
      <c r="I50" s="50">
        <v>8</v>
      </c>
      <c r="J50" s="35">
        <f t="shared" si="8"/>
        <v>42</v>
      </c>
      <c r="K50" s="36">
        <f t="shared" si="11"/>
        <v>81597.600000000006</v>
      </c>
      <c r="L50" s="36">
        <f t="shared" si="10"/>
        <v>428387.4</v>
      </c>
      <c r="M50" s="31"/>
      <c r="N50"/>
    </row>
    <row r="51" spans="1:14" ht="18.75" x14ac:dyDescent="0.3">
      <c r="A51" s="20"/>
      <c r="B51" s="34">
        <v>46</v>
      </c>
      <c r="C51" s="29" t="s">
        <v>63</v>
      </c>
      <c r="D51" s="33">
        <v>450000</v>
      </c>
      <c r="E51" s="33">
        <v>59985</v>
      </c>
      <c r="F51" s="32">
        <f t="shared" si="7"/>
        <v>509985</v>
      </c>
      <c r="G51" s="34">
        <v>50</v>
      </c>
      <c r="H51" s="32">
        <v>10199.700000000001</v>
      </c>
      <c r="I51" s="50">
        <v>6</v>
      </c>
      <c r="J51" s="35">
        <f t="shared" si="8"/>
        <v>44</v>
      </c>
      <c r="K51" s="36">
        <f t="shared" si="11"/>
        <v>61198.200000000004</v>
      </c>
      <c r="L51" s="36">
        <f t="shared" si="10"/>
        <v>448786.8</v>
      </c>
      <c r="M51" s="31"/>
      <c r="N51"/>
    </row>
    <row r="52" spans="1:14" ht="18.75" x14ac:dyDescent="0.3">
      <c r="A52" s="20"/>
      <c r="B52" s="34">
        <v>47</v>
      </c>
      <c r="C52" s="29" t="s">
        <v>65</v>
      </c>
      <c r="D52" s="33">
        <v>450000</v>
      </c>
      <c r="E52" s="33">
        <v>59985</v>
      </c>
      <c r="F52" s="32">
        <f t="shared" si="7"/>
        <v>509985</v>
      </c>
      <c r="G52" s="34">
        <v>50</v>
      </c>
      <c r="H52" s="32">
        <v>10199.700000000001</v>
      </c>
      <c r="I52" s="50">
        <v>6</v>
      </c>
      <c r="J52" s="35">
        <f t="shared" si="8"/>
        <v>44</v>
      </c>
      <c r="K52" s="36">
        <f t="shared" si="11"/>
        <v>61198.200000000004</v>
      </c>
      <c r="L52" s="36">
        <f t="shared" si="10"/>
        <v>448786.8</v>
      </c>
      <c r="M52" s="31"/>
      <c r="N52"/>
    </row>
    <row r="53" spans="1:14" ht="18.75" x14ac:dyDescent="0.3">
      <c r="A53" s="20"/>
      <c r="B53" s="34">
        <v>48</v>
      </c>
      <c r="C53" s="29" t="s">
        <v>59</v>
      </c>
      <c r="D53" s="33">
        <v>450000</v>
      </c>
      <c r="E53" s="33">
        <v>59985</v>
      </c>
      <c r="F53" s="32">
        <f t="shared" si="7"/>
        <v>509985</v>
      </c>
      <c r="G53" s="34">
        <v>50</v>
      </c>
      <c r="H53" s="32">
        <v>10199.700000000001</v>
      </c>
      <c r="I53" s="50">
        <v>6</v>
      </c>
      <c r="J53" s="35">
        <f t="shared" si="8"/>
        <v>44</v>
      </c>
      <c r="K53" s="36">
        <f t="shared" si="11"/>
        <v>61198.200000000004</v>
      </c>
      <c r="L53" s="36">
        <f t="shared" si="10"/>
        <v>448786.8</v>
      </c>
      <c r="M53" s="31"/>
      <c r="N53"/>
    </row>
    <row r="54" spans="1:14" ht="18.75" x14ac:dyDescent="0.3">
      <c r="A54" s="20"/>
      <c r="B54" s="34">
        <v>49</v>
      </c>
      <c r="C54" s="29" t="s">
        <v>206</v>
      </c>
      <c r="D54" s="33">
        <v>450000</v>
      </c>
      <c r="E54" s="33">
        <v>59985</v>
      </c>
      <c r="F54" s="32">
        <f t="shared" si="7"/>
        <v>509985</v>
      </c>
      <c r="G54" s="34">
        <v>50</v>
      </c>
      <c r="H54" s="32">
        <v>10199.700000000001</v>
      </c>
      <c r="I54" s="50">
        <v>3</v>
      </c>
      <c r="J54" s="35">
        <f t="shared" si="8"/>
        <v>47</v>
      </c>
      <c r="K54" s="36">
        <f t="shared" si="11"/>
        <v>30599.100000000002</v>
      </c>
      <c r="L54" s="36">
        <f t="shared" si="10"/>
        <v>479385.9</v>
      </c>
      <c r="M54" s="31"/>
      <c r="N54"/>
    </row>
    <row r="55" spans="1:14" ht="18.75" x14ac:dyDescent="0.3">
      <c r="A55" s="20"/>
      <c r="B55" s="34">
        <v>50</v>
      </c>
      <c r="C55" s="31" t="s">
        <v>189</v>
      </c>
      <c r="D55" s="32">
        <v>330000</v>
      </c>
      <c r="E55" s="33">
        <v>43989</v>
      </c>
      <c r="F55" s="32">
        <f t="shared" si="7"/>
        <v>373989</v>
      </c>
      <c r="G55" s="34">
        <v>50</v>
      </c>
      <c r="H55" s="32">
        <v>7479.78</v>
      </c>
      <c r="I55" s="31">
        <v>47</v>
      </c>
      <c r="J55" s="35">
        <f t="shared" si="8"/>
        <v>3</v>
      </c>
      <c r="K55" s="33">
        <f>H55*I55</f>
        <v>351549.66</v>
      </c>
      <c r="L55" s="32">
        <f t="shared" si="10"/>
        <v>22439.340000000026</v>
      </c>
      <c r="M55" s="53"/>
      <c r="N55"/>
    </row>
    <row r="56" spans="1:14" ht="18.75" x14ac:dyDescent="0.3">
      <c r="A56" s="20"/>
      <c r="B56" s="34">
        <v>51</v>
      </c>
      <c r="C56" s="31" t="s">
        <v>79</v>
      </c>
      <c r="D56" s="32">
        <v>330000</v>
      </c>
      <c r="E56" s="33">
        <v>43989</v>
      </c>
      <c r="F56" s="32">
        <f t="shared" si="7"/>
        <v>373989</v>
      </c>
      <c r="G56" s="34">
        <v>50</v>
      </c>
      <c r="H56" s="32">
        <v>7479.78</v>
      </c>
      <c r="I56" s="31">
        <v>28</v>
      </c>
      <c r="J56" s="35">
        <f t="shared" si="8"/>
        <v>22</v>
      </c>
      <c r="K56" s="32">
        <f>H56*I56</f>
        <v>209433.84</v>
      </c>
      <c r="L56" s="36">
        <f t="shared" si="10"/>
        <v>164555.16</v>
      </c>
      <c r="M56" s="31"/>
      <c r="N56"/>
    </row>
    <row r="57" spans="1:14" ht="18.75" x14ac:dyDescent="0.3">
      <c r="A57" s="20"/>
      <c r="B57" s="34">
        <v>52</v>
      </c>
      <c r="C57" s="31" t="s">
        <v>95</v>
      </c>
      <c r="D57" s="32">
        <v>330000</v>
      </c>
      <c r="E57" s="33">
        <v>43989</v>
      </c>
      <c r="F57" s="32">
        <f t="shared" si="7"/>
        <v>373989</v>
      </c>
      <c r="G57" s="34">
        <v>50</v>
      </c>
      <c r="H57" s="32">
        <v>7479.78</v>
      </c>
      <c r="I57" s="31">
        <v>28</v>
      </c>
      <c r="J57" s="35">
        <f t="shared" si="8"/>
        <v>22</v>
      </c>
      <c r="K57" s="36">
        <f>H57*I57</f>
        <v>209433.84</v>
      </c>
      <c r="L57" s="32">
        <f t="shared" si="10"/>
        <v>164555.16</v>
      </c>
      <c r="M57" s="31"/>
      <c r="N57"/>
    </row>
    <row r="58" spans="1:14" ht="18.75" x14ac:dyDescent="0.3">
      <c r="A58" s="20"/>
      <c r="B58" s="34">
        <v>53</v>
      </c>
      <c r="C58" s="31" t="s">
        <v>96</v>
      </c>
      <c r="D58" s="32">
        <v>330000</v>
      </c>
      <c r="E58" s="33">
        <v>43989</v>
      </c>
      <c r="F58" s="32">
        <f t="shared" si="7"/>
        <v>373989</v>
      </c>
      <c r="G58" s="34">
        <v>50</v>
      </c>
      <c r="H58" s="36">
        <v>7479.78</v>
      </c>
      <c r="I58" s="31">
        <v>32</v>
      </c>
      <c r="J58" s="35">
        <f t="shared" si="8"/>
        <v>18</v>
      </c>
      <c r="K58" s="36">
        <f>H58*I58</f>
        <v>239352.95999999999</v>
      </c>
      <c r="L58" s="36">
        <f t="shared" si="10"/>
        <v>134636.04</v>
      </c>
      <c r="M58" s="31"/>
      <c r="N58"/>
    </row>
    <row r="59" spans="1:14" ht="18.75" x14ac:dyDescent="0.3">
      <c r="A59" s="20"/>
      <c r="B59" s="34">
        <v>54</v>
      </c>
      <c r="C59" s="50" t="s">
        <v>18</v>
      </c>
      <c r="D59" s="32">
        <v>330000</v>
      </c>
      <c r="E59" s="33">
        <v>43989</v>
      </c>
      <c r="F59" s="32">
        <f t="shared" si="7"/>
        <v>373989</v>
      </c>
      <c r="G59" s="34">
        <v>50</v>
      </c>
      <c r="H59" s="36">
        <v>7479.74</v>
      </c>
      <c r="I59" s="50">
        <v>16</v>
      </c>
      <c r="J59" s="35">
        <f t="shared" si="8"/>
        <v>34</v>
      </c>
      <c r="K59" s="36">
        <f>I59*H59</f>
        <v>119675.84</v>
      </c>
      <c r="L59" s="36">
        <f t="shared" si="10"/>
        <v>254313.16</v>
      </c>
      <c r="M59" s="31"/>
      <c r="N59"/>
    </row>
    <row r="60" spans="1:14" ht="18.75" x14ac:dyDescent="0.3">
      <c r="A60" s="20"/>
      <c r="B60" s="34">
        <v>55</v>
      </c>
      <c r="C60" s="31" t="s">
        <v>233</v>
      </c>
      <c r="D60" s="32">
        <v>330000</v>
      </c>
      <c r="E60" s="33">
        <v>43989</v>
      </c>
      <c r="F60" s="32">
        <f t="shared" si="7"/>
        <v>373989</v>
      </c>
      <c r="G60" s="34">
        <v>50</v>
      </c>
      <c r="H60" s="36">
        <v>7479.78</v>
      </c>
      <c r="I60" s="31">
        <v>32</v>
      </c>
      <c r="J60" s="35">
        <f t="shared" si="8"/>
        <v>18</v>
      </c>
      <c r="K60" s="36">
        <f>H60*I60</f>
        <v>239352.95999999999</v>
      </c>
      <c r="L60" s="36">
        <f t="shared" si="10"/>
        <v>134636.04</v>
      </c>
      <c r="M60" s="31"/>
      <c r="N60"/>
    </row>
    <row r="61" spans="1:14" ht="18.75" x14ac:dyDescent="0.3">
      <c r="A61" s="20"/>
      <c r="B61" s="34">
        <v>56</v>
      </c>
      <c r="C61" s="31" t="s">
        <v>220</v>
      </c>
      <c r="D61" s="32">
        <v>330000</v>
      </c>
      <c r="E61" s="33">
        <v>43989</v>
      </c>
      <c r="F61" s="32">
        <f t="shared" si="7"/>
        <v>373989</v>
      </c>
      <c r="G61" s="34">
        <v>50</v>
      </c>
      <c r="H61" s="32">
        <v>7479.78</v>
      </c>
      <c r="I61" s="31">
        <v>32</v>
      </c>
      <c r="J61" s="35">
        <f t="shared" si="8"/>
        <v>18</v>
      </c>
      <c r="K61" s="36">
        <f>H61*I61</f>
        <v>239352.95999999999</v>
      </c>
      <c r="L61" s="32">
        <f t="shared" si="10"/>
        <v>134636.04</v>
      </c>
      <c r="M61" s="31"/>
      <c r="N61"/>
    </row>
    <row r="62" spans="1:14" ht="18.75" x14ac:dyDescent="0.3">
      <c r="A62" s="20"/>
      <c r="B62" s="34">
        <v>57</v>
      </c>
      <c r="C62" s="31" t="s">
        <v>140</v>
      </c>
      <c r="D62" s="32">
        <v>330000</v>
      </c>
      <c r="E62" s="33">
        <v>43989</v>
      </c>
      <c r="F62" s="32">
        <f t="shared" si="7"/>
        <v>373989</v>
      </c>
      <c r="G62" s="34">
        <v>50</v>
      </c>
      <c r="H62" s="36">
        <v>7479.78</v>
      </c>
      <c r="I62" s="31">
        <v>32</v>
      </c>
      <c r="J62" s="35">
        <f t="shared" si="8"/>
        <v>18</v>
      </c>
      <c r="K62" s="36">
        <f>H62*I62</f>
        <v>239352.95999999999</v>
      </c>
      <c r="L62" s="36">
        <f t="shared" si="10"/>
        <v>134636.04</v>
      </c>
      <c r="M62" s="31"/>
      <c r="N62"/>
    </row>
    <row r="63" spans="1:14" ht="18.75" x14ac:dyDescent="0.3">
      <c r="A63" s="20"/>
      <c r="B63" s="34">
        <v>58</v>
      </c>
      <c r="C63" s="31" t="s">
        <v>175</v>
      </c>
      <c r="D63" s="32">
        <v>330000</v>
      </c>
      <c r="E63" s="33">
        <v>43989</v>
      </c>
      <c r="F63" s="32">
        <f t="shared" si="7"/>
        <v>373989</v>
      </c>
      <c r="G63" s="34">
        <v>50</v>
      </c>
      <c r="H63" s="36">
        <v>7479.78</v>
      </c>
      <c r="I63" s="31">
        <v>27</v>
      </c>
      <c r="J63" s="35">
        <f t="shared" si="8"/>
        <v>23</v>
      </c>
      <c r="K63" s="36">
        <f>H63*I63</f>
        <v>201954.06</v>
      </c>
      <c r="L63" s="36">
        <f t="shared" si="10"/>
        <v>172034.94</v>
      </c>
      <c r="M63" s="31"/>
      <c r="N63"/>
    </row>
    <row r="64" spans="1:14" ht="18.75" x14ac:dyDescent="0.3">
      <c r="A64" s="20"/>
      <c r="B64" s="34">
        <v>59</v>
      </c>
      <c r="C64" s="50" t="s">
        <v>149</v>
      </c>
      <c r="D64" s="33">
        <v>330000</v>
      </c>
      <c r="E64" s="33">
        <v>43989</v>
      </c>
      <c r="F64" s="32">
        <v>373989</v>
      </c>
      <c r="G64" s="34">
        <v>50</v>
      </c>
      <c r="H64" s="32">
        <v>7478.78</v>
      </c>
      <c r="I64" s="50">
        <v>21</v>
      </c>
      <c r="J64" s="35">
        <f t="shared" si="8"/>
        <v>29</v>
      </c>
      <c r="K64" s="36">
        <f t="shared" ref="K64:K88" si="12">I64*H64</f>
        <v>157054.38</v>
      </c>
      <c r="L64" s="36">
        <f t="shared" si="10"/>
        <v>216934.62</v>
      </c>
      <c r="M64" s="31"/>
      <c r="N64"/>
    </row>
    <row r="65" spans="1:14" ht="18.75" x14ac:dyDescent="0.3">
      <c r="A65" s="20"/>
      <c r="B65" s="34">
        <v>60</v>
      </c>
      <c r="C65" s="50" t="s">
        <v>150</v>
      </c>
      <c r="D65" s="33">
        <v>330000</v>
      </c>
      <c r="E65" s="33">
        <v>43989</v>
      </c>
      <c r="F65" s="32">
        <f t="shared" ref="F65:F85" si="13">D65+E65</f>
        <v>373989</v>
      </c>
      <c r="G65" s="34">
        <v>50</v>
      </c>
      <c r="H65" s="32">
        <v>7479.78</v>
      </c>
      <c r="I65" s="50">
        <v>21</v>
      </c>
      <c r="J65" s="35">
        <f t="shared" si="8"/>
        <v>29</v>
      </c>
      <c r="K65" s="36">
        <f t="shared" si="12"/>
        <v>157075.38</v>
      </c>
      <c r="L65" s="36">
        <f t="shared" si="10"/>
        <v>216913.62</v>
      </c>
      <c r="M65" s="31"/>
      <c r="N65"/>
    </row>
    <row r="66" spans="1:14" ht="18.75" x14ac:dyDescent="0.3">
      <c r="A66" s="20"/>
      <c r="B66" s="34">
        <v>61</v>
      </c>
      <c r="C66" s="50" t="s">
        <v>209</v>
      </c>
      <c r="D66" s="33">
        <v>330000</v>
      </c>
      <c r="E66" s="33">
        <v>43989</v>
      </c>
      <c r="F66" s="32">
        <f t="shared" si="13"/>
        <v>373989</v>
      </c>
      <c r="G66" s="34">
        <v>50</v>
      </c>
      <c r="H66" s="32">
        <v>7479.78</v>
      </c>
      <c r="I66" s="50">
        <v>18</v>
      </c>
      <c r="J66" s="35">
        <f t="shared" si="8"/>
        <v>32</v>
      </c>
      <c r="K66" s="36">
        <f t="shared" si="12"/>
        <v>134636.04</v>
      </c>
      <c r="L66" s="36">
        <f t="shared" si="10"/>
        <v>239352.95999999999</v>
      </c>
      <c r="M66" s="31"/>
      <c r="N66"/>
    </row>
    <row r="67" spans="1:14" ht="18.75" x14ac:dyDescent="0.3">
      <c r="A67" s="20"/>
      <c r="B67" s="34">
        <v>62</v>
      </c>
      <c r="C67" s="50" t="s">
        <v>210</v>
      </c>
      <c r="D67" s="33">
        <v>330000</v>
      </c>
      <c r="E67" s="33">
        <v>43989</v>
      </c>
      <c r="F67" s="32">
        <f t="shared" si="13"/>
        <v>373989</v>
      </c>
      <c r="G67" s="34">
        <v>50</v>
      </c>
      <c r="H67" s="32">
        <v>7479.78</v>
      </c>
      <c r="I67" s="50">
        <v>18</v>
      </c>
      <c r="J67" s="35">
        <f t="shared" si="8"/>
        <v>32</v>
      </c>
      <c r="K67" s="36">
        <f t="shared" si="12"/>
        <v>134636.04</v>
      </c>
      <c r="L67" s="36">
        <f t="shared" si="10"/>
        <v>239352.95999999999</v>
      </c>
      <c r="M67" s="31"/>
      <c r="N67"/>
    </row>
    <row r="68" spans="1:14" ht="18.75" x14ac:dyDescent="0.3">
      <c r="A68" s="20"/>
      <c r="B68" s="34">
        <v>63</v>
      </c>
      <c r="C68" s="50" t="s">
        <v>211</v>
      </c>
      <c r="D68" s="33">
        <v>330000</v>
      </c>
      <c r="E68" s="33">
        <v>43989</v>
      </c>
      <c r="F68" s="32">
        <f t="shared" si="13"/>
        <v>373989</v>
      </c>
      <c r="G68" s="34">
        <v>50</v>
      </c>
      <c r="H68" s="32">
        <v>7479.78</v>
      </c>
      <c r="I68" s="50">
        <v>18</v>
      </c>
      <c r="J68" s="35">
        <f t="shared" si="8"/>
        <v>32</v>
      </c>
      <c r="K68" s="36">
        <f t="shared" si="12"/>
        <v>134636.04</v>
      </c>
      <c r="L68" s="36">
        <f t="shared" si="10"/>
        <v>239352.95999999999</v>
      </c>
      <c r="M68" s="31"/>
      <c r="N68"/>
    </row>
    <row r="69" spans="1:14" ht="18.75" x14ac:dyDescent="0.3">
      <c r="A69" s="20"/>
      <c r="B69" s="34">
        <v>64</v>
      </c>
      <c r="C69" s="50" t="s">
        <v>212</v>
      </c>
      <c r="D69" s="33">
        <v>330000</v>
      </c>
      <c r="E69" s="33">
        <v>43989</v>
      </c>
      <c r="F69" s="32">
        <f t="shared" si="13"/>
        <v>373989</v>
      </c>
      <c r="G69" s="34">
        <v>50</v>
      </c>
      <c r="H69" s="32">
        <v>7479.78</v>
      </c>
      <c r="I69" s="50">
        <v>17</v>
      </c>
      <c r="J69" s="35">
        <f t="shared" si="8"/>
        <v>33</v>
      </c>
      <c r="K69" s="36">
        <f t="shared" si="12"/>
        <v>127156.26</v>
      </c>
      <c r="L69" s="36">
        <f t="shared" si="10"/>
        <v>246832.74</v>
      </c>
      <c r="M69" s="31"/>
      <c r="N69"/>
    </row>
    <row r="70" spans="1:14" ht="18.75" x14ac:dyDescent="0.3">
      <c r="A70" s="20"/>
      <c r="B70" s="34">
        <v>65</v>
      </c>
      <c r="C70" s="50" t="s">
        <v>13</v>
      </c>
      <c r="D70" s="33">
        <v>330000</v>
      </c>
      <c r="E70" s="33">
        <v>43989</v>
      </c>
      <c r="F70" s="32">
        <f t="shared" si="13"/>
        <v>373989</v>
      </c>
      <c r="G70" s="34">
        <v>50</v>
      </c>
      <c r="H70" s="32">
        <v>7479.78</v>
      </c>
      <c r="I70" s="50">
        <v>18</v>
      </c>
      <c r="J70" s="35">
        <f t="shared" ref="J70:J101" si="14">G70-I70</f>
        <v>32</v>
      </c>
      <c r="K70" s="36">
        <f t="shared" si="12"/>
        <v>134636.04</v>
      </c>
      <c r="L70" s="36">
        <f t="shared" ref="L70:L101" si="15">F70-K70</f>
        <v>239352.95999999999</v>
      </c>
      <c r="M70" s="31"/>
      <c r="N70"/>
    </row>
    <row r="71" spans="1:14" ht="18.75" x14ac:dyDescent="0.3">
      <c r="A71" s="20"/>
      <c r="B71" s="34">
        <v>66</v>
      </c>
      <c r="C71" s="50" t="s">
        <v>19</v>
      </c>
      <c r="D71" s="32">
        <v>330000</v>
      </c>
      <c r="E71" s="33">
        <v>43989</v>
      </c>
      <c r="F71" s="32">
        <f t="shared" si="13"/>
        <v>373989</v>
      </c>
      <c r="G71" s="34">
        <v>50</v>
      </c>
      <c r="H71" s="36">
        <v>7479.74</v>
      </c>
      <c r="I71" s="50">
        <v>16</v>
      </c>
      <c r="J71" s="35">
        <f t="shared" si="14"/>
        <v>34</v>
      </c>
      <c r="K71" s="36">
        <f t="shared" si="12"/>
        <v>119675.84</v>
      </c>
      <c r="L71" s="36">
        <f t="shared" si="15"/>
        <v>254313.16</v>
      </c>
      <c r="M71" s="31"/>
      <c r="N71"/>
    </row>
    <row r="72" spans="1:14" ht="18.75" x14ac:dyDescent="0.3">
      <c r="A72" s="20"/>
      <c r="B72" s="34">
        <v>67</v>
      </c>
      <c r="C72" s="50" t="s">
        <v>215</v>
      </c>
      <c r="D72" s="32">
        <v>330000</v>
      </c>
      <c r="E72" s="33">
        <v>43989</v>
      </c>
      <c r="F72" s="32">
        <f t="shared" si="13"/>
        <v>373989</v>
      </c>
      <c r="G72" s="34">
        <v>50</v>
      </c>
      <c r="H72" s="36">
        <v>7479.78</v>
      </c>
      <c r="I72" s="50">
        <v>13</v>
      </c>
      <c r="J72" s="35">
        <f t="shared" si="14"/>
        <v>37</v>
      </c>
      <c r="K72" s="36">
        <f t="shared" si="12"/>
        <v>97237.14</v>
      </c>
      <c r="L72" s="36">
        <f t="shared" si="15"/>
        <v>276751.86</v>
      </c>
      <c r="M72" s="31"/>
      <c r="N72"/>
    </row>
    <row r="73" spans="1:14" ht="18.75" x14ac:dyDescent="0.3">
      <c r="A73" s="20"/>
      <c r="B73" s="34">
        <v>68</v>
      </c>
      <c r="C73" s="50" t="s">
        <v>25</v>
      </c>
      <c r="D73" s="32">
        <v>330000</v>
      </c>
      <c r="E73" s="33">
        <v>43989</v>
      </c>
      <c r="F73" s="32">
        <f t="shared" si="13"/>
        <v>373989</v>
      </c>
      <c r="G73" s="34">
        <v>50</v>
      </c>
      <c r="H73" s="36">
        <v>7479.78</v>
      </c>
      <c r="I73" s="50">
        <v>11</v>
      </c>
      <c r="J73" s="35">
        <f t="shared" si="14"/>
        <v>39</v>
      </c>
      <c r="K73" s="36">
        <f t="shared" si="12"/>
        <v>82277.58</v>
      </c>
      <c r="L73" s="36">
        <f t="shared" si="15"/>
        <v>291711.42</v>
      </c>
      <c r="M73" s="31"/>
      <c r="N73"/>
    </row>
    <row r="74" spans="1:14" ht="18.75" x14ac:dyDescent="0.3">
      <c r="A74" s="20"/>
      <c r="B74" s="34">
        <v>69</v>
      </c>
      <c r="C74" s="50" t="s">
        <v>26</v>
      </c>
      <c r="D74" s="32">
        <v>330000</v>
      </c>
      <c r="E74" s="33">
        <v>43989</v>
      </c>
      <c r="F74" s="32">
        <f t="shared" si="13"/>
        <v>373989</v>
      </c>
      <c r="G74" s="34">
        <v>50</v>
      </c>
      <c r="H74" s="36">
        <v>7479.78</v>
      </c>
      <c r="I74" s="50">
        <v>11</v>
      </c>
      <c r="J74" s="35">
        <f t="shared" si="14"/>
        <v>39</v>
      </c>
      <c r="K74" s="36">
        <f t="shared" si="12"/>
        <v>82277.58</v>
      </c>
      <c r="L74" s="36">
        <f t="shared" si="15"/>
        <v>291711.42</v>
      </c>
      <c r="M74" s="31"/>
      <c r="N74"/>
    </row>
    <row r="75" spans="1:14" ht="18.75" x14ac:dyDescent="0.3">
      <c r="A75" s="20"/>
      <c r="B75" s="34">
        <v>70</v>
      </c>
      <c r="C75" s="50" t="s">
        <v>30</v>
      </c>
      <c r="D75" s="32">
        <v>330000</v>
      </c>
      <c r="E75" s="33">
        <v>43989</v>
      </c>
      <c r="F75" s="32">
        <f t="shared" si="13"/>
        <v>373989</v>
      </c>
      <c r="G75" s="34">
        <v>50</v>
      </c>
      <c r="H75" s="36">
        <v>7479.78</v>
      </c>
      <c r="I75" s="50">
        <v>10</v>
      </c>
      <c r="J75" s="35">
        <f t="shared" si="14"/>
        <v>40</v>
      </c>
      <c r="K75" s="36">
        <f t="shared" si="12"/>
        <v>74797.8</v>
      </c>
      <c r="L75" s="36">
        <f t="shared" si="15"/>
        <v>299191.2</v>
      </c>
      <c r="M75" s="31"/>
      <c r="N75"/>
    </row>
    <row r="76" spans="1:14" ht="18.75" x14ac:dyDescent="0.3">
      <c r="A76" s="20"/>
      <c r="B76" s="34">
        <v>71</v>
      </c>
      <c r="C76" s="29" t="s">
        <v>36</v>
      </c>
      <c r="D76" s="32">
        <v>330000</v>
      </c>
      <c r="E76" s="33">
        <v>43989</v>
      </c>
      <c r="F76" s="32">
        <f t="shared" si="13"/>
        <v>373989</v>
      </c>
      <c r="G76" s="34">
        <v>50</v>
      </c>
      <c r="H76" s="36">
        <v>7479.78</v>
      </c>
      <c r="I76" s="50">
        <v>10</v>
      </c>
      <c r="J76" s="35">
        <f t="shared" si="14"/>
        <v>40</v>
      </c>
      <c r="K76" s="36">
        <f t="shared" si="12"/>
        <v>74797.8</v>
      </c>
      <c r="L76" s="36">
        <f t="shared" si="15"/>
        <v>299191.2</v>
      </c>
      <c r="M76" s="31"/>
      <c r="N76"/>
    </row>
    <row r="77" spans="1:14" ht="18.75" x14ac:dyDescent="0.3">
      <c r="A77" s="20"/>
      <c r="B77" s="34">
        <v>72</v>
      </c>
      <c r="C77" s="29" t="s">
        <v>37</v>
      </c>
      <c r="D77" s="32">
        <v>330000</v>
      </c>
      <c r="E77" s="33">
        <v>43989</v>
      </c>
      <c r="F77" s="32">
        <f t="shared" si="13"/>
        <v>373989</v>
      </c>
      <c r="G77" s="34">
        <v>50</v>
      </c>
      <c r="H77" s="36">
        <v>7479.78</v>
      </c>
      <c r="I77" s="50">
        <v>11</v>
      </c>
      <c r="J77" s="35">
        <f t="shared" si="14"/>
        <v>39</v>
      </c>
      <c r="K77" s="36">
        <f t="shared" si="12"/>
        <v>82277.58</v>
      </c>
      <c r="L77" s="36">
        <f t="shared" si="15"/>
        <v>291711.42</v>
      </c>
      <c r="M77" s="31"/>
      <c r="N77"/>
    </row>
    <row r="78" spans="1:14" ht="18.75" x14ac:dyDescent="0.3">
      <c r="A78" s="20"/>
      <c r="B78" s="34">
        <v>73</v>
      </c>
      <c r="C78" s="29" t="s">
        <v>40</v>
      </c>
      <c r="D78" s="32">
        <v>330000</v>
      </c>
      <c r="E78" s="33">
        <v>43989</v>
      </c>
      <c r="F78" s="32">
        <f t="shared" si="13"/>
        <v>373989</v>
      </c>
      <c r="G78" s="34">
        <v>50</v>
      </c>
      <c r="H78" s="36">
        <v>7479.78</v>
      </c>
      <c r="I78" s="50">
        <v>33</v>
      </c>
      <c r="J78" s="35">
        <f t="shared" si="14"/>
        <v>17</v>
      </c>
      <c r="K78" s="36">
        <f t="shared" si="12"/>
        <v>246832.74</v>
      </c>
      <c r="L78" s="36">
        <f t="shared" si="15"/>
        <v>127156.26000000001</v>
      </c>
      <c r="M78" s="31"/>
      <c r="N78"/>
    </row>
    <row r="79" spans="1:14" ht="18.75" x14ac:dyDescent="0.3">
      <c r="A79" s="20"/>
      <c r="B79" s="34">
        <v>74</v>
      </c>
      <c r="C79" s="29" t="s">
        <v>173</v>
      </c>
      <c r="D79" s="32">
        <v>330000</v>
      </c>
      <c r="E79" s="33">
        <v>43989</v>
      </c>
      <c r="F79" s="32">
        <f t="shared" si="13"/>
        <v>373989</v>
      </c>
      <c r="G79" s="34">
        <v>50</v>
      </c>
      <c r="H79" s="32">
        <v>7479.78</v>
      </c>
      <c r="I79" s="50">
        <v>22</v>
      </c>
      <c r="J79" s="35">
        <f t="shared" si="14"/>
        <v>28</v>
      </c>
      <c r="K79" s="36">
        <f t="shared" si="12"/>
        <v>164555.16</v>
      </c>
      <c r="L79" s="36">
        <f t="shared" si="15"/>
        <v>209433.84</v>
      </c>
      <c r="M79" s="31"/>
      <c r="N79"/>
    </row>
    <row r="80" spans="1:14" ht="18.75" x14ac:dyDescent="0.3">
      <c r="A80" s="20"/>
      <c r="B80" s="34">
        <v>75</v>
      </c>
      <c r="C80" s="29" t="s">
        <v>49</v>
      </c>
      <c r="D80" s="32">
        <v>330000</v>
      </c>
      <c r="E80" s="33">
        <v>43989</v>
      </c>
      <c r="F80" s="32">
        <f t="shared" si="13"/>
        <v>373989</v>
      </c>
      <c r="G80" s="34">
        <v>50</v>
      </c>
      <c r="H80" s="32">
        <v>7479.78</v>
      </c>
      <c r="I80" s="50">
        <v>8</v>
      </c>
      <c r="J80" s="35">
        <f t="shared" si="14"/>
        <v>42</v>
      </c>
      <c r="K80" s="36">
        <f t="shared" si="12"/>
        <v>59838.239999999998</v>
      </c>
      <c r="L80" s="36">
        <f t="shared" si="15"/>
        <v>314150.76</v>
      </c>
      <c r="M80" s="31"/>
      <c r="N80"/>
    </row>
    <row r="81" spans="1:14" ht="18.75" x14ac:dyDescent="0.3">
      <c r="A81" s="20"/>
      <c r="B81" s="34">
        <v>76</v>
      </c>
      <c r="C81" s="29" t="s">
        <v>50</v>
      </c>
      <c r="D81" s="32">
        <v>330000</v>
      </c>
      <c r="E81" s="33">
        <v>43989</v>
      </c>
      <c r="F81" s="32">
        <f t="shared" si="13"/>
        <v>373989</v>
      </c>
      <c r="G81" s="34">
        <v>50</v>
      </c>
      <c r="H81" s="32">
        <v>7479.78</v>
      </c>
      <c r="I81" s="50">
        <v>8</v>
      </c>
      <c r="J81" s="35">
        <f t="shared" si="14"/>
        <v>42</v>
      </c>
      <c r="K81" s="36">
        <f t="shared" si="12"/>
        <v>59838.239999999998</v>
      </c>
      <c r="L81" s="36">
        <f t="shared" si="15"/>
        <v>314150.76</v>
      </c>
      <c r="M81" s="31"/>
      <c r="N81"/>
    </row>
    <row r="82" spans="1:14" ht="18.75" x14ac:dyDescent="0.3">
      <c r="A82" s="20"/>
      <c r="B82" s="34">
        <v>77</v>
      </c>
      <c r="C82" s="29" t="s">
        <v>70</v>
      </c>
      <c r="D82" s="32">
        <v>330000</v>
      </c>
      <c r="E82" s="33">
        <v>43989</v>
      </c>
      <c r="F82" s="32">
        <f t="shared" si="13"/>
        <v>373989</v>
      </c>
      <c r="G82" s="34">
        <v>50</v>
      </c>
      <c r="H82" s="32">
        <v>7479.78</v>
      </c>
      <c r="I82" s="50">
        <v>6</v>
      </c>
      <c r="J82" s="35">
        <f t="shared" si="14"/>
        <v>44</v>
      </c>
      <c r="K82" s="36">
        <f t="shared" si="12"/>
        <v>44878.68</v>
      </c>
      <c r="L82" s="36">
        <f t="shared" si="15"/>
        <v>329110.32</v>
      </c>
      <c r="M82" s="31"/>
      <c r="N82"/>
    </row>
    <row r="83" spans="1:14" ht="18.75" x14ac:dyDescent="0.3">
      <c r="A83" s="20"/>
      <c r="B83" s="34">
        <v>78</v>
      </c>
      <c r="C83" s="29" t="s">
        <v>69</v>
      </c>
      <c r="D83" s="32">
        <v>330000</v>
      </c>
      <c r="E83" s="33">
        <v>43989</v>
      </c>
      <c r="F83" s="32">
        <f t="shared" si="13"/>
        <v>373989</v>
      </c>
      <c r="G83" s="34">
        <v>50</v>
      </c>
      <c r="H83" s="32">
        <v>7479.78</v>
      </c>
      <c r="I83" s="50">
        <v>6</v>
      </c>
      <c r="J83" s="35">
        <f t="shared" si="14"/>
        <v>44</v>
      </c>
      <c r="K83" s="36">
        <f t="shared" si="12"/>
        <v>44878.68</v>
      </c>
      <c r="L83" s="36">
        <f t="shared" si="15"/>
        <v>329110.32</v>
      </c>
      <c r="M83" s="31"/>
      <c r="N83"/>
    </row>
    <row r="84" spans="1:14" ht="18.75" x14ac:dyDescent="0.3">
      <c r="A84" s="20"/>
      <c r="B84" s="34">
        <v>79</v>
      </c>
      <c r="C84" s="29" t="s">
        <v>62</v>
      </c>
      <c r="D84" s="32">
        <v>330000</v>
      </c>
      <c r="E84" s="33">
        <v>43989</v>
      </c>
      <c r="F84" s="32">
        <f t="shared" si="13"/>
        <v>373989</v>
      </c>
      <c r="G84" s="34">
        <v>50</v>
      </c>
      <c r="H84" s="32">
        <v>7479.78</v>
      </c>
      <c r="I84" s="50">
        <v>6</v>
      </c>
      <c r="J84" s="35">
        <f t="shared" si="14"/>
        <v>44</v>
      </c>
      <c r="K84" s="36">
        <f t="shared" si="12"/>
        <v>44878.68</v>
      </c>
      <c r="L84" s="36">
        <f t="shared" si="15"/>
        <v>329110.32</v>
      </c>
      <c r="M84" s="31"/>
      <c r="N84"/>
    </row>
    <row r="85" spans="1:14" ht="18.75" x14ac:dyDescent="0.3">
      <c r="A85" s="20"/>
      <c r="B85" s="34">
        <v>80</v>
      </c>
      <c r="C85" s="29" t="s">
        <v>64</v>
      </c>
      <c r="D85" s="32">
        <v>330000</v>
      </c>
      <c r="E85" s="33">
        <v>43989</v>
      </c>
      <c r="F85" s="32">
        <f t="shared" si="13"/>
        <v>373989</v>
      </c>
      <c r="G85" s="34">
        <v>50</v>
      </c>
      <c r="H85" s="32">
        <v>7479.78</v>
      </c>
      <c r="I85" s="50">
        <v>6</v>
      </c>
      <c r="J85" s="35">
        <f t="shared" si="14"/>
        <v>44</v>
      </c>
      <c r="K85" s="36">
        <f t="shared" si="12"/>
        <v>44878.68</v>
      </c>
      <c r="L85" s="36">
        <f t="shared" si="15"/>
        <v>329110.32</v>
      </c>
      <c r="M85" s="31"/>
      <c r="N85"/>
    </row>
    <row r="86" spans="1:14" ht="18.75" x14ac:dyDescent="0.3">
      <c r="A86" s="20"/>
      <c r="B86" s="34">
        <v>81</v>
      </c>
      <c r="C86" s="29" t="s">
        <v>257</v>
      </c>
      <c r="D86" s="32">
        <v>330000</v>
      </c>
      <c r="E86" s="33">
        <v>43989</v>
      </c>
      <c r="F86" s="32">
        <f t="shared" ref="F86:F87" si="16">D86+E86</f>
        <v>373989</v>
      </c>
      <c r="G86" s="34">
        <v>50</v>
      </c>
      <c r="H86" s="32">
        <v>7479.78</v>
      </c>
      <c r="I86" s="50">
        <v>3</v>
      </c>
      <c r="J86" s="35">
        <f t="shared" si="14"/>
        <v>47</v>
      </c>
      <c r="K86" s="36">
        <f t="shared" si="12"/>
        <v>22439.34</v>
      </c>
      <c r="L86" s="36">
        <f t="shared" si="15"/>
        <v>351549.66</v>
      </c>
      <c r="M86" s="31"/>
      <c r="N86"/>
    </row>
    <row r="87" spans="1:14" ht="18.75" x14ac:dyDescent="0.3">
      <c r="A87" s="20"/>
      <c r="B87" s="34">
        <v>82</v>
      </c>
      <c r="C87" s="29" t="s">
        <v>256</v>
      </c>
      <c r="D87" s="32">
        <v>330000</v>
      </c>
      <c r="E87" s="33">
        <v>43989</v>
      </c>
      <c r="F87" s="32">
        <f t="shared" si="16"/>
        <v>373989</v>
      </c>
      <c r="G87" s="34">
        <v>50</v>
      </c>
      <c r="H87" s="32">
        <v>7479.78</v>
      </c>
      <c r="I87" s="50">
        <v>3</v>
      </c>
      <c r="J87" s="35">
        <f t="shared" si="14"/>
        <v>47</v>
      </c>
      <c r="K87" s="36">
        <f t="shared" si="12"/>
        <v>22439.34</v>
      </c>
      <c r="L87" s="36">
        <f t="shared" si="15"/>
        <v>351549.66</v>
      </c>
      <c r="M87" s="31"/>
      <c r="N87"/>
    </row>
    <row r="88" spans="1:14" ht="18.75" x14ac:dyDescent="0.3">
      <c r="A88" s="20"/>
      <c r="B88" s="34">
        <v>83</v>
      </c>
      <c r="C88" s="66" t="s">
        <v>260</v>
      </c>
      <c r="D88" s="33">
        <v>150000</v>
      </c>
      <c r="E88" s="33">
        <v>19995</v>
      </c>
      <c r="F88" s="32">
        <f t="shared" ref="F88:F119" si="17">D88+E88</f>
        <v>169995</v>
      </c>
      <c r="G88" s="34">
        <v>37</v>
      </c>
      <c r="H88" s="32">
        <v>4566.57</v>
      </c>
      <c r="I88" s="50">
        <v>2</v>
      </c>
      <c r="J88" s="35">
        <f t="shared" si="14"/>
        <v>35</v>
      </c>
      <c r="K88" s="36">
        <f t="shared" si="12"/>
        <v>9133.14</v>
      </c>
      <c r="L88" s="36">
        <f t="shared" si="15"/>
        <v>160861.85999999999</v>
      </c>
      <c r="M88" s="31"/>
      <c r="N88"/>
    </row>
    <row r="89" spans="1:14" ht="18.75" x14ac:dyDescent="0.3">
      <c r="A89" s="20"/>
      <c r="B89" s="34">
        <v>84</v>
      </c>
      <c r="C89" s="31" t="s">
        <v>73</v>
      </c>
      <c r="D89" s="33">
        <v>150000</v>
      </c>
      <c r="E89" s="33">
        <v>19995</v>
      </c>
      <c r="F89" s="32">
        <f t="shared" si="17"/>
        <v>169995</v>
      </c>
      <c r="G89" s="34">
        <v>50</v>
      </c>
      <c r="H89" s="32">
        <v>3399.9</v>
      </c>
      <c r="I89" s="52">
        <v>32</v>
      </c>
      <c r="J89" s="35">
        <f t="shared" si="14"/>
        <v>18</v>
      </c>
      <c r="K89" s="32">
        <f t="shared" ref="K89:K113" si="18">H89*I89</f>
        <v>108796.8</v>
      </c>
      <c r="L89" s="33">
        <f t="shared" si="15"/>
        <v>61198.2</v>
      </c>
      <c r="M89" s="31"/>
      <c r="N89"/>
    </row>
    <row r="90" spans="1:14" ht="18.75" x14ac:dyDescent="0.3">
      <c r="A90" s="20"/>
      <c r="B90" s="34">
        <v>85</v>
      </c>
      <c r="C90" s="31" t="s">
        <v>76</v>
      </c>
      <c r="D90" s="33">
        <v>150000</v>
      </c>
      <c r="E90" s="33">
        <v>19995</v>
      </c>
      <c r="F90" s="32">
        <f t="shared" si="17"/>
        <v>169995</v>
      </c>
      <c r="G90" s="34">
        <v>50</v>
      </c>
      <c r="H90" s="32">
        <v>3399.9</v>
      </c>
      <c r="I90" s="52">
        <v>32</v>
      </c>
      <c r="J90" s="35">
        <f t="shared" si="14"/>
        <v>18</v>
      </c>
      <c r="K90" s="32">
        <f t="shared" si="18"/>
        <v>108796.8</v>
      </c>
      <c r="L90" s="32">
        <f t="shared" si="15"/>
        <v>61198.2</v>
      </c>
      <c r="M90" s="31"/>
      <c r="N90"/>
    </row>
    <row r="91" spans="1:14" ht="18.75" x14ac:dyDescent="0.3">
      <c r="A91" s="20"/>
      <c r="B91" s="34">
        <v>86</v>
      </c>
      <c r="C91" s="31" t="s">
        <v>190</v>
      </c>
      <c r="D91" s="33">
        <v>150000</v>
      </c>
      <c r="E91" s="33">
        <v>19995</v>
      </c>
      <c r="F91" s="32">
        <f t="shared" si="17"/>
        <v>169995</v>
      </c>
      <c r="G91" s="34">
        <v>50</v>
      </c>
      <c r="H91" s="32">
        <v>3399.9</v>
      </c>
      <c r="I91" s="52">
        <v>47</v>
      </c>
      <c r="J91" s="35">
        <f t="shared" si="14"/>
        <v>3</v>
      </c>
      <c r="K91" s="32">
        <f t="shared" si="18"/>
        <v>159795.30000000002</v>
      </c>
      <c r="L91" s="33">
        <f t="shared" si="15"/>
        <v>10199.699999999983</v>
      </c>
      <c r="M91" s="31"/>
      <c r="N91"/>
    </row>
    <row r="92" spans="1:14" ht="18.75" x14ac:dyDescent="0.3">
      <c r="A92" s="20"/>
      <c r="B92" s="34">
        <v>87</v>
      </c>
      <c r="C92" s="31" t="s">
        <v>81</v>
      </c>
      <c r="D92" s="33">
        <v>150000</v>
      </c>
      <c r="E92" s="33">
        <v>19995</v>
      </c>
      <c r="F92" s="32">
        <f t="shared" si="17"/>
        <v>169995</v>
      </c>
      <c r="G92" s="34">
        <v>50</v>
      </c>
      <c r="H92" s="32">
        <v>3399.9</v>
      </c>
      <c r="I92" s="31">
        <v>32</v>
      </c>
      <c r="J92" s="35">
        <f t="shared" si="14"/>
        <v>18</v>
      </c>
      <c r="K92" s="36">
        <f t="shared" si="18"/>
        <v>108796.8</v>
      </c>
      <c r="L92" s="32">
        <f t="shared" si="15"/>
        <v>61198.2</v>
      </c>
      <c r="M92" s="31"/>
      <c r="N92"/>
    </row>
    <row r="93" spans="1:14" ht="18.75" x14ac:dyDescent="0.3">
      <c r="A93" s="20"/>
      <c r="B93" s="34">
        <v>88</v>
      </c>
      <c r="C93" s="31" t="s">
        <v>84</v>
      </c>
      <c r="D93" s="33">
        <v>150000</v>
      </c>
      <c r="E93" s="33">
        <v>19995</v>
      </c>
      <c r="F93" s="32">
        <f t="shared" si="17"/>
        <v>169995</v>
      </c>
      <c r="G93" s="34">
        <v>50</v>
      </c>
      <c r="H93" s="32">
        <v>3399.9</v>
      </c>
      <c r="I93" s="31">
        <v>32</v>
      </c>
      <c r="J93" s="35">
        <f t="shared" si="14"/>
        <v>18</v>
      </c>
      <c r="K93" s="36">
        <f t="shared" si="18"/>
        <v>108796.8</v>
      </c>
      <c r="L93" s="32">
        <f t="shared" si="15"/>
        <v>61198.2</v>
      </c>
      <c r="M93" s="31"/>
      <c r="N93"/>
    </row>
    <row r="94" spans="1:14" ht="18.75" x14ac:dyDescent="0.3">
      <c r="A94" s="20"/>
      <c r="B94" s="34">
        <v>89</v>
      </c>
      <c r="C94" s="31" t="s">
        <v>86</v>
      </c>
      <c r="D94" s="33">
        <v>150000</v>
      </c>
      <c r="E94" s="33">
        <v>19995</v>
      </c>
      <c r="F94" s="32">
        <f t="shared" si="17"/>
        <v>169995</v>
      </c>
      <c r="G94" s="34">
        <v>50</v>
      </c>
      <c r="H94" s="32">
        <v>3399.9</v>
      </c>
      <c r="I94" s="31">
        <v>47</v>
      </c>
      <c r="J94" s="35">
        <f t="shared" si="14"/>
        <v>3</v>
      </c>
      <c r="K94" s="36">
        <f t="shared" si="18"/>
        <v>159795.30000000002</v>
      </c>
      <c r="L94" s="32">
        <f t="shared" si="15"/>
        <v>10199.699999999983</v>
      </c>
      <c r="M94" s="31"/>
      <c r="N94"/>
    </row>
    <row r="95" spans="1:14" ht="18.75" x14ac:dyDescent="0.3">
      <c r="A95" s="20"/>
      <c r="B95" s="34">
        <v>90</v>
      </c>
      <c r="C95" s="31" t="s">
        <v>87</v>
      </c>
      <c r="D95" s="33">
        <v>150000</v>
      </c>
      <c r="E95" s="33">
        <v>19995</v>
      </c>
      <c r="F95" s="32">
        <f t="shared" si="17"/>
        <v>169995</v>
      </c>
      <c r="G95" s="34">
        <v>50</v>
      </c>
      <c r="H95" s="32">
        <v>3399.9</v>
      </c>
      <c r="I95" s="31">
        <v>47</v>
      </c>
      <c r="J95" s="35">
        <f t="shared" si="14"/>
        <v>3</v>
      </c>
      <c r="K95" s="36">
        <f t="shared" si="18"/>
        <v>159795.30000000002</v>
      </c>
      <c r="L95" s="32">
        <f t="shared" si="15"/>
        <v>10199.699999999983</v>
      </c>
      <c r="M95" s="31"/>
      <c r="N95"/>
    </row>
    <row r="96" spans="1:14" ht="18.75" x14ac:dyDescent="0.3">
      <c r="A96" s="20"/>
      <c r="B96" s="34">
        <v>91</v>
      </c>
      <c r="C96" s="31" t="s">
        <v>89</v>
      </c>
      <c r="D96" s="33">
        <v>150000</v>
      </c>
      <c r="E96" s="33">
        <v>19995</v>
      </c>
      <c r="F96" s="32">
        <f t="shared" si="17"/>
        <v>169995</v>
      </c>
      <c r="G96" s="34">
        <v>50</v>
      </c>
      <c r="H96" s="32">
        <v>3399.9</v>
      </c>
      <c r="I96" s="31">
        <v>32</v>
      </c>
      <c r="J96" s="35">
        <f t="shared" si="14"/>
        <v>18</v>
      </c>
      <c r="K96" s="36">
        <f t="shared" si="18"/>
        <v>108796.8</v>
      </c>
      <c r="L96" s="32">
        <f t="shared" si="15"/>
        <v>61198.2</v>
      </c>
      <c r="M96" s="31"/>
      <c r="N96"/>
    </row>
    <row r="97" spans="1:14" ht="18.75" x14ac:dyDescent="0.3">
      <c r="A97" s="20"/>
      <c r="B97" s="34">
        <v>92</v>
      </c>
      <c r="C97" s="31" t="s">
        <v>91</v>
      </c>
      <c r="D97" s="33">
        <v>150000</v>
      </c>
      <c r="E97" s="33">
        <v>19995</v>
      </c>
      <c r="F97" s="32">
        <f t="shared" si="17"/>
        <v>169995</v>
      </c>
      <c r="G97" s="34">
        <v>50</v>
      </c>
      <c r="H97" s="32">
        <v>3399.9</v>
      </c>
      <c r="I97" s="31">
        <v>47</v>
      </c>
      <c r="J97" s="35">
        <f t="shared" si="14"/>
        <v>3</v>
      </c>
      <c r="K97" s="36">
        <f t="shared" si="18"/>
        <v>159795.30000000002</v>
      </c>
      <c r="L97" s="32">
        <f t="shared" si="15"/>
        <v>10199.699999999983</v>
      </c>
      <c r="M97" s="31"/>
      <c r="N97"/>
    </row>
    <row r="98" spans="1:14" ht="18.75" x14ac:dyDescent="0.3">
      <c r="A98" s="20"/>
      <c r="B98" s="34">
        <v>93</v>
      </c>
      <c r="C98" s="31" t="s">
        <v>94</v>
      </c>
      <c r="D98" s="33">
        <v>150000</v>
      </c>
      <c r="E98" s="33">
        <v>19995</v>
      </c>
      <c r="F98" s="32">
        <f t="shared" si="17"/>
        <v>169995</v>
      </c>
      <c r="G98" s="34">
        <v>50</v>
      </c>
      <c r="H98" s="32">
        <v>3399.9</v>
      </c>
      <c r="I98" s="31">
        <v>32</v>
      </c>
      <c r="J98" s="35">
        <f t="shared" si="14"/>
        <v>18</v>
      </c>
      <c r="K98" s="36">
        <f t="shared" si="18"/>
        <v>108796.8</v>
      </c>
      <c r="L98" s="32">
        <f t="shared" si="15"/>
        <v>61198.2</v>
      </c>
      <c r="M98" s="31"/>
      <c r="N98"/>
    </row>
    <row r="99" spans="1:14" ht="18.75" x14ac:dyDescent="0.3">
      <c r="A99" s="20"/>
      <c r="B99" s="34">
        <v>94</v>
      </c>
      <c r="C99" s="31" t="s">
        <v>224</v>
      </c>
      <c r="D99" s="33">
        <v>150000</v>
      </c>
      <c r="E99" s="33">
        <v>19995</v>
      </c>
      <c r="F99" s="32">
        <f t="shared" si="17"/>
        <v>169995</v>
      </c>
      <c r="G99" s="34">
        <v>50</v>
      </c>
      <c r="H99" s="32">
        <v>3399.9</v>
      </c>
      <c r="I99" s="31">
        <v>47</v>
      </c>
      <c r="J99" s="35">
        <f t="shared" si="14"/>
        <v>3</v>
      </c>
      <c r="K99" s="36">
        <f t="shared" si="18"/>
        <v>159795.30000000002</v>
      </c>
      <c r="L99" s="32">
        <f t="shared" si="15"/>
        <v>10199.699999999983</v>
      </c>
      <c r="M99" s="31"/>
      <c r="N99"/>
    </row>
    <row r="100" spans="1:14" ht="18.75" x14ac:dyDescent="0.3">
      <c r="A100" s="20"/>
      <c r="B100" s="34">
        <v>95</v>
      </c>
      <c r="C100" s="31" t="s">
        <v>193</v>
      </c>
      <c r="D100" s="33">
        <v>150000</v>
      </c>
      <c r="E100" s="33">
        <v>19995</v>
      </c>
      <c r="F100" s="32">
        <f t="shared" si="17"/>
        <v>169995</v>
      </c>
      <c r="G100" s="34">
        <v>50</v>
      </c>
      <c r="H100" s="32">
        <v>3399.9</v>
      </c>
      <c r="I100" s="31">
        <v>32</v>
      </c>
      <c r="J100" s="35">
        <f t="shared" si="14"/>
        <v>18</v>
      </c>
      <c r="K100" s="36">
        <f t="shared" si="18"/>
        <v>108796.8</v>
      </c>
      <c r="L100" s="32">
        <f t="shared" si="15"/>
        <v>61198.2</v>
      </c>
      <c r="M100" s="31"/>
      <c r="N100"/>
    </row>
    <row r="101" spans="1:14" ht="18.75" x14ac:dyDescent="0.3">
      <c r="A101" s="20"/>
      <c r="B101" s="34">
        <v>96</v>
      </c>
      <c r="C101" s="31" t="s">
        <v>101</v>
      </c>
      <c r="D101" s="33">
        <v>150000</v>
      </c>
      <c r="E101" s="33">
        <v>19995</v>
      </c>
      <c r="F101" s="32">
        <f t="shared" si="17"/>
        <v>169995</v>
      </c>
      <c r="G101" s="34">
        <v>50</v>
      </c>
      <c r="H101" s="32">
        <v>3399.9</v>
      </c>
      <c r="I101" s="31">
        <v>30</v>
      </c>
      <c r="J101" s="35">
        <f t="shared" si="14"/>
        <v>20</v>
      </c>
      <c r="K101" s="36">
        <f t="shared" si="18"/>
        <v>101997</v>
      </c>
      <c r="L101" s="32">
        <f t="shared" si="15"/>
        <v>67998</v>
      </c>
      <c r="M101" s="31"/>
      <c r="N101"/>
    </row>
    <row r="102" spans="1:14" ht="18.75" x14ac:dyDescent="0.3">
      <c r="A102" s="20"/>
      <c r="B102" s="34">
        <v>97</v>
      </c>
      <c r="C102" s="31" t="s">
        <v>102</v>
      </c>
      <c r="D102" s="33">
        <v>150000</v>
      </c>
      <c r="E102" s="33">
        <v>19995</v>
      </c>
      <c r="F102" s="32">
        <f t="shared" si="17"/>
        <v>169995</v>
      </c>
      <c r="G102" s="34">
        <v>50</v>
      </c>
      <c r="H102" s="32">
        <v>3399.9</v>
      </c>
      <c r="I102" s="31">
        <v>32</v>
      </c>
      <c r="J102" s="35">
        <f t="shared" ref="J102:J133" si="19">G102-I102</f>
        <v>18</v>
      </c>
      <c r="K102" s="36">
        <f t="shared" si="18"/>
        <v>108796.8</v>
      </c>
      <c r="L102" s="32">
        <f t="shared" ref="L102:L129" si="20">F102-K102</f>
        <v>61198.2</v>
      </c>
      <c r="M102" s="31"/>
      <c r="N102"/>
    </row>
    <row r="103" spans="1:14" ht="18.75" x14ac:dyDescent="0.3">
      <c r="A103" s="20"/>
      <c r="B103" s="34">
        <v>98</v>
      </c>
      <c r="C103" s="31" t="s">
        <v>104</v>
      </c>
      <c r="D103" s="33">
        <v>150000</v>
      </c>
      <c r="E103" s="33">
        <v>19995</v>
      </c>
      <c r="F103" s="32">
        <f t="shared" si="17"/>
        <v>169995</v>
      </c>
      <c r="G103" s="34">
        <v>50</v>
      </c>
      <c r="H103" s="32">
        <v>3399.9</v>
      </c>
      <c r="I103" s="31">
        <v>47</v>
      </c>
      <c r="J103" s="35">
        <f t="shared" si="19"/>
        <v>3</v>
      </c>
      <c r="K103" s="36">
        <f t="shared" si="18"/>
        <v>159795.30000000002</v>
      </c>
      <c r="L103" s="32">
        <f t="shared" si="20"/>
        <v>10199.699999999983</v>
      </c>
      <c r="M103" s="31"/>
      <c r="N103"/>
    </row>
    <row r="104" spans="1:14" ht="18.75" x14ac:dyDescent="0.3">
      <c r="A104" s="20"/>
      <c r="B104" s="34">
        <v>99</v>
      </c>
      <c r="C104" s="31" t="s">
        <v>110</v>
      </c>
      <c r="D104" s="33">
        <v>150000</v>
      </c>
      <c r="E104" s="33">
        <v>19995</v>
      </c>
      <c r="F104" s="32">
        <f t="shared" si="17"/>
        <v>169995</v>
      </c>
      <c r="G104" s="34">
        <v>50</v>
      </c>
      <c r="H104" s="32">
        <v>3399.9</v>
      </c>
      <c r="I104" s="31">
        <v>32</v>
      </c>
      <c r="J104" s="35">
        <f t="shared" si="19"/>
        <v>18</v>
      </c>
      <c r="K104" s="36">
        <f t="shared" si="18"/>
        <v>108796.8</v>
      </c>
      <c r="L104" s="32">
        <f t="shared" si="20"/>
        <v>61198.2</v>
      </c>
      <c r="M104" s="31"/>
      <c r="N104"/>
    </row>
    <row r="105" spans="1:14" ht="18.75" x14ac:dyDescent="0.3">
      <c r="A105" s="20"/>
      <c r="B105" s="34">
        <v>100</v>
      </c>
      <c r="C105" s="31" t="s">
        <v>225</v>
      </c>
      <c r="D105" s="33">
        <v>150000</v>
      </c>
      <c r="E105" s="33">
        <v>19995</v>
      </c>
      <c r="F105" s="32">
        <f t="shared" si="17"/>
        <v>169995</v>
      </c>
      <c r="G105" s="34">
        <v>50</v>
      </c>
      <c r="H105" s="32">
        <v>3399.9</v>
      </c>
      <c r="I105" s="31">
        <v>47</v>
      </c>
      <c r="J105" s="35">
        <f t="shared" si="19"/>
        <v>3</v>
      </c>
      <c r="K105" s="36">
        <f t="shared" si="18"/>
        <v>159795.30000000002</v>
      </c>
      <c r="L105" s="32">
        <f t="shared" si="20"/>
        <v>10199.699999999983</v>
      </c>
      <c r="M105" s="31"/>
      <c r="N105"/>
    </row>
    <row r="106" spans="1:14" ht="18.75" x14ac:dyDescent="0.3">
      <c r="A106" s="20"/>
      <c r="B106" s="34">
        <v>101</v>
      </c>
      <c r="C106" s="31" t="s">
        <v>113</v>
      </c>
      <c r="D106" s="33">
        <v>150000</v>
      </c>
      <c r="E106" s="33">
        <v>19995</v>
      </c>
      <c r="F106" s="32">
        <f t="shared" si="17"/>
        <v>169995</v>
      </c>
      <c r="G106" s="34">
        <v>50</v>
      </c>
      <c r="H106" s="32">
        <v>3399.9</v>
      </c>
      <c r="I106" s="31">
        <v>47</v>
      </c>
      <c r="J106" s="35">
        <f t="shared" si="19"/>
        <v>3</v>
      </c>
      <c r="K106" s="36">
        <f t="shared" si="18"/>
        <v>159795.30000000002</v>
      </c>
      <c r="L106" s="32">
        <f t="shared" si="20"/>
        <v>10199.699999999983</v>
      </c>
      <c r="M106" s="31"/>
      <c r="N106"/>
    </row>
    <row r="107" spans="1:14" ht="18.75" x14ac:dyDescent="0.3">
      <c r="A107" s="20"/>
      <c r="B107" s="34">
        <v>102</v>
      </c>
      <c r="C107" s="31" t="s">
        <v>114</v>
      </c>
      <c r="D107" s="33">
        <v>150000</v>
      </c>
      <c r="E107" s="33">
        <v>19995</v>
      </c>
      <c r="F107" s="32">
        <f t="shared" si="17"/>
        <v>169995</v>
      </c>
      <c r="G107" s="34">
        <v>50</v>
      </c>
      <c r="H107" s="32">
        <v>3399.9</v>
      </c>
      <c r="I107" s="31">
        <v>32</v>
      </c>
      <c r="J107" s="35">
        <f t="shared" si="19"/>
        <v>18</v>
      </c>
      <c r="K107" s="36">
        <f t="shared" si="18"/>
        <v>108796.8</v>
      </c>
      <c r="L107" s="32">
        <f t="shared" si="20"/>
        <v>61198.2</v>
      </c>
      <c r="M107" s="31"/>
      <c r="N107"/>
    </row>
    <row r="108" spans="1:14" ht="18.75" x14ac:dyDescent="0.3">
      <c r="A108" s="20"/>
      <c r="B108" s="34">
        <v>103</v>
      </c>
      <c r="C108" s="31" t="s">
        <v>236</v>
      </c>
      <c r="D108" s="33">
        <v>150000</v>
      </c>
      <c r="E108" s="33">
        <v>19995</v>
      </c>
      <c r="F108" s="32">
        <f t="shared" si="17"/>
        <v>169995</v>
      </c>
      <c r="G108" s="34">
        <v>50</v>
      </c>
      <c r="H108" s="32">
        <v>3399.9</v>
      </c>
      <c r="I108" s="31">
        <v>32</v>
      </c>
      <c r="J108" s="35">
        <f t="shared" si="19"/>
        <v>18</v>
      </c>
      <c r="K108" s="36">
        <f t="shared" si="18"/>
        <v>108796.8</v>
      </c>
      <c r="L108" s="32">
        <f t="shared" si="20"/>
        <v>61198.2</v>
      </c>
      <c r="M108" s="31"/>
      <c r="N108"/>
    </row>
    <row r="109" spans="1:14" ht="18.75" x14ac:dyDescent="0.3">
      <c r="A109" s="20"/>
      <c r="B109" s="34">
        <v>104</v>
      </c>
      <c r="C109" s="31" t="s">
        <v>117</v>
      </c>
      <c r="D109" s="33">
        <v>150000</v>
      </c>
      <c r="E109" s="33">
        <v>19995</v>
      </c>
      <c r="F109" s="32">
        <f t="shared" si="17"/>
        <v>169995</v>
      </c>
      <c r="G109" s="34">
        <v>50</v>
      </c>
      <c r="H109" s="32">
        <v>3399.9</v>
      </c>
      <c r="I109" s="31">
        <v>47</v>
      </c>
      <c r="J109" s="35">
        <f t="shared" si="19"/>
        <v>3</v>
      </c>
      <c r="K109" s="36">
        <f t="shared" si="18"/>
        <v>159795.30000000002</v>
      </c>
      <c r="L109" s="32">
        <f t="shared" si="20"/>
        <v>10199.699999999983</v>
      </c>
      <c r="M109" s="31"/>
      <c r="N109"/>
    </row>
    <row r="110" spans="1:14" ht="18.75" x14ac:dyDescent="0.3">
      <c r="A110" s="20"/>
      <c r="B110" s="34">
        <v>105</v>
      </c>
      <c r="C110" s="31" t="s">
        <v>155</v>
      </c>
      <c r="D110" s="33">
        <v>150000</v>
      </c>
      <c r="E110" s="33">
        <v>19995</v>
      </c>
      <c r="F110" s="32">
        <f t="shared" si="17"/>
        <v>169995</v>
      </c>
      <c r="G110" s="34">
        <v>50</v>
      </c>
      <c r="H110" s="32">
        <v>3399.9</v>
      </c>
      <c r="I110" s="31">
        <v>32</v>
      </c>
      <c r="J110" s="35">
        <f t="shared" si="19"/>
        <v>18</v>
      </c>
      <c r="K110" s="36">
        <f t="shared" si="18"/>
        <v>108796.8</v>
      </c>
      <c r="L110" s="32">
        <f t="shared" si="20"/>
        <v>61198.2</v>
      </c>
      <c r="M110" s="31"/>
      <c r="N110"/>
    </row>
    <row r="111" spans="1:14" ht="18.75" x14ac:dyDescent="0.3">
      <c r="A111" s="20"/>
      <c r="B111" s="34">
        <v>106</v>
      </c>
      <c r="C111" s="31" t="s">
        <v>176</v>
      </c>
      <c r="D111" s="33">
        <v>150000</v>
      </c>
      <c r="E111" s="33">
        <v>19995</v>
      </c>
      <c r="F111" s="32">
        <f t="shared" si="17"/>
        <v>169995</v>
      </c>
      <c r="G111" s="34">
        <v>50</v>
      </c>
      <c r="H111" s="32">
        <v>3399.9</v>
      </c>
      <c r="I111" s="31">
        <v>47</v>
      </c>
      <c r="J111" s="35">
        <f t="shared" si="19"/>
        <v>3</v>
      </c>
      <c r="K111" s="36">
        <f t="shared" si="18"/>
        <v>159795.30000000002</v>
      </c>
      <c r="L111" s="32">
        <f t="shared" si="20"/>
        <v>10199.699999999983</v>
      </c>
      <c r="M111" s="31"/>
      <c r="N111"/>
    </row>
    <row r="112" spans="1:14" ht="18.75" x14ac:dyDescent="0.3">
      <c r="A112" s="20"/>
      <c r="B112" s="34">
        <v>107</v>
      </c>
      <c r="C112" s="31" t="s">
        <v>120</v>
      </c>
      <c r="D112" s="33">
        <v>150000</v>
      </c>
      <c r="E112" s="33">
        <v>19995</v>
      </c>
      <c r="F112" s="32">
        <f t="shared" si="17"/>
        <v>169995</v>
      </c>
      <c r="G112" s="34">
        <v>50</v>
      </c>
      <c r="H112" s="32">
        <v>3399.9</v>
      </c>
      <c r="I112" s="31">
        <v>32</v>
      </c>
      <c r="J112" s="35">
        <f t="shared" si="19"/>
        <v>18</v>
      </c>
      <c r="K112" s="36">
        <f t="shared" si="18"/>
        <v>108796.8</v>
      </c>
      <c r="L112" s="32">
        <f t="shared" si="20"/>
        <v>61198.2</v>
      </c>
      <c r="M112" s="31"/>
      <c r="N112"/>
    </row>
    <row r="113" spans="1:14" ht="18.75" x14ac:dyDescent="0.3">
      <c r="A113" s="20"/>
      <c r="B113" s="34">
        <v>108</v>
      </c>
      <c r="C113" s="31" t="s">
        <v>197</v>
      </c>
      <c r="D113" s="33">
        <v>150000</v>
      </c>
      <c r="E113" s="33">
        <v>19995</v>
      </c>
      <c r="F113" s="32">
        <f t="shared" si="17"/>
        <v>169995</v>
      </c>
      <c r="G113" s="34">
        <v>50</v>
      </c>
      <c r="H113" s="32">
        <v>3399.9</v>
      </c>
      <c r="I113" s="31">
        <v>32</v>
      </c>
      <c r="J113" s="35">
        <f t="shared" si="19"/>
        <v>18</v>
      </c>
      <c r="K113" s="36">
        <f t="shared" si="18"/>
        <v>108796.8</v>
      </c>
      <c r="L113" s="32">
        <f t="shared" si="20"/>
        <v>61198.2</v>
      </c>
      <c r="M113" s="31"/>
      <c r="N113"/>
    </row>
    <row r="114" spans="1:14" ht="18.75" x14ac:dyDescent="0.3">
      <c r="A114" s="20"/>
      <c r="B114" s="34">
        <v>109</v>
      </c>
      <c r="C114" s="31" t="s">
        <v>124</v>
      </c>
      <c r="D114" s="33">
        <v>150000</v>
      </c>
      <c r="E114" s="33">
        <v>19995</v>
      </c>
      <c r="F114" s="32">
        <f t="shared" si="17"/>
        <v>169995</v>
      </c>
      <c r="G114" s="34">
        <v>50</v>
      </c>
      <c r="H114" s="32">
        <v>3399.9</v>
      </c>
      <c r="I114" s="31">
        <v>32</v>
      </c>
      <c r="J114" s="35">
        <f t="shared" si="19"/>
        <v>18</v>
      </c>
      <c r="K114" s="36">
        <f>I114*H114</f>
        <v>108796.8</v>
      </c>
      <c r="L114" s="32">
        <f t="shared" si="20"/>
        <v>61198.2</v>
      </c>
      <c r="M114" s="31"/>
      <c r="N114"/>
    </row>
    <row r="115" spans="1:14" ht="18.75" x14ac:dyDescent="0.3">
      <c r="A115" s="20"/>
      <c r="B115" s="34">
        <v>110</v>
      </c>
      <c r="C115" s="31" t="s">
        <v>127</v>
      </c>
      <c r="D115" s="33">
        <v>150000</v>
      </c>
      <c r="E115" s="33">
        <v>19995</v>
      </c>
      <c r="F115" s="32">
        <f t="shared" si="17"/>
        <v>169995</v>
      </c>
      <c r="G115" s="34">
        <v>50</v>
      </c>
      <c r="H115" s="32">
        <v>3399.9</v>
      </c>
      <c r="I115" s="31">
        <v>47</v>
      </c>
      <c r="J115" s="35">
        <f t="shared" si="19"/>
        <v>3</v>
      </c>
      <c r="K115" s="36">
        <f t="shared" ref="K115:K129" si="21">H115*I115</f>
        <v>159795.30000000002</v>
      </c>
      <c r="L115" s="32">
        <f t="shared" si="20"/>
        <v>10199.699999999983</v>
      </c>
      <c r="M115" s="31"/>
      <c r="N115"/>
    </row>
    <row r="116" spans="1:14" ht="18.75" x14ac:dyDescent="0.3">
      <c r="A116" s="20"/>
      <c r="B116" s="34">
        <v>111</v>
      </c>
      <c r="C116" s="31" t="s">
        <v>200</v>
      </c>
      <c r="D116" s="33">
        <v>150000</v>
      </c>
      <c r="E116" s="33">
        <v>19995</v>
      </c>
      <c r="F116" s="32">
        <f t="shared" si="17"/>
        <v>169995</v>
      </c>
      <c r="G116" s="34">
        <v>50</v>
      </c>
      <c r="H116" s="32">
        <v>3399.9</v>
      </c>
      <c r="I116" s="31">
        <v>47</v>
      </c>
      <c r="J116" s="35">
        <f t="shared" si="19"/>
        <v>3</v>
      </c>
      <c r="K116" s="36">
        <f t="shared" si="21"/>
        <v>159795.30000000002</v>
      </c>
      <c r="L116" s="32">
        <f t="shared" si="20"/>
        <v>10199.699999999983</v>
      </c>
      <c r="M116" s="31"/>
      <c r="N116"/>
    </row>
    <row r="117" spans="1:14" ht="18.75" x14ac:dyDescent="0.3">
      <c r="A117" s="20"/>
      <c r="B117" s="34">
        <v>112</v>
      </c>
      <c r="C117" s="31" t="s">
        <v>199</v>
      </c>
      <c r="D117" s="33">
        <v>150000</v>
      </c>
      <c r="E117" s="33">
        <v>19995</v>
      </c>
      <c r="F117" s="32">
        <f t="shared" si="17"/>
        <v>169995</v>
      </c>
      <c r="G117" s="34">
        <v>50</v>
      </c>
      <c r="H117" s="32">
        <v>3399.9</v>
      </c>
      <c r="I117" s="31">
        <v>47</v>
      </c>
      <c r="J117" s="35">
        <f t="shared" si="19"/>
        <v>3</v>
      </c>
      <c r="K117" s="36">
        <f t="shared" si="21"/>
        <v>159795.30000000002</v>
      </c>
      <c r="L117" s="32">
        <f t="shared" si="20"/>
        <v>10199.699999999983</v>
      </c>
      <c r="M117" s="31"/>
      <c r="N117"/>
    </row>
    <row r="118" spans="1:14" ht="18.75" x14ac:dyDescent="0.3">
      <c r="A118" s="20"/>
      <c r="B118" s="34">
        <v>113</v>
      </c>
      <c r="C118" s="31" t="s">
        <v>129</v>
      </c>
      <c r="D118" s="33">
        <v>150000</v>
      </c>
      <c r="E118" s="33">
        <v>19995</v>
      </c>
      <c r="F118" s="32">
        <f t="shared" si="17"/>
        <v>169995</v>
      </c>
      <c r="G118" s="34">
        <v>50</v>
      </c>
      <c r="H118" s="32">
        <v>3399.9</v>
      </c>
      <c r="I118" s="31">
        <v>30</v>
      </c>
      <c r="J118" s="35">
        <f t="shared" si="19"/>
        <v>20</v>
      </c>
      <c r="K118" s="36">
        <f t="shared" si="21"/>
        <v>101997</v>
      </c>
      <c r="L118" s="32">
        <f t="shared" si="20"/>
        <v>67998</v>
      </c>
      <c r="M118" s="31"/>
      <c r="N118"/>
    </row>
    <row r="119" spans="1:14" ht="18.75" x14ac:dyDescent="0.3">
      <c r="A119" s="20"/>
      <c r="B119" s="34">
        <v>114</v>
      </c>
      <c r="C119" s="31" t="s">
        <v>130</v>
      </c>
      <c r="D119" s="33">
        <v>150000</v>
      </c>
      <c r="E119" s="33">
        <v>19995</v>
      </c>
      <c r="F119" s="32">
        <f t="shared" si="17"/>
        <v>169995</v>
      </c>
      <c r="G119" s="34">
        <v>50</v>
      </c>
      <c r="H119" s="32">
        <v>3399.9</v>
      </c>
      <c r="I119" s="31">
        <v>31</v>
      </c>
      <c r="J119" s="35">
        <f t="shared" si="19"/>
        <v>19</v>
      </c>
      <c r="K119" s="36">
        <f t="shared" si="21"/>
        <v>105396.90000000001</v>
      </c>
      <c r="L119" s="32">
        <f t="shared" si="20"/>
        <v>64598.099999999991</v>
      </c>
      <c r="M119" s="31"/>
      <c r="N119"/>
    </row>
    <row r="120" spans="1:14" ht="18.75" x14ac:dyDescent="0.3">
      <c r="A120" s="20"/>
      <c r="B120" s="34">
        <v>115</v>
      </c>
      <c r="C120" s="31" t="s">
        <v>131</v>
      </c>
      <c r="D120" s="33">
        <v>150000</v>
      </c>
      <c r="E120" s="33">
        <v>19995</v>
      </c>
      <c r="F120" s="32">
        <f t="shared" ref="F120:F151" si="22">D120+E120</f>
        <v>169995</v>
      </c>
      <c r="G120" s="34">
        <v>50</v>
      </c>
      <c r="H120" s="32">
        <v>3399.9</v>
      </c>
      <c r="I120" s="31">
        <v>32</v>
      </c>
      <c r="J120" s="35">
        <f t="shared" si="19"/>
        <v>18</v>
      </c>
      <c r="K120" s="36">
        <f t="shared" si="21"/>
        <v>108796.8</v>
      </c>
      <c r="L120" s="32">
        <f t="shared" si="20"/>
        <v>61198.2</v>
      </c>
      <c r="M120" s="31"/>
      <c r="N120"/>
    </row>
    <row r="121" spans="1:14" ht="18.75" x14ac:dyDescent="0.3">
      <c r="A121" s="20"/>
      <c r="B121" s="34">
        <v>116</v>
      </c>
      <c r="C121" s="31" t="s">
        <v>201</v>
      </c>
      <c r="D121" s="33">
        <v>150000</v>
      </c>
      <c r="E121" s="33">
        <v>19995</v>
      </c>
      <c r="F121" s="32">
        <f t="shared" si="22"/>
        <v>169995</v>
      </c>
      <c r="G121" s="34">
        <v>50</v>
      </c>
      <c r="H121" s="32">
        <v>3399.9</v>
      </c>
      <c r="I121" s="31">
        <v>32</v>
      </c>
      <c r="J121" s="35">
        <f t="shared" si="19"/>
        <v>18</v>
      </c>
      <c r="K121" s="36">
        <f t="shared" si="21"/>
        <v>108796.8</v>
      </c>
      <c r="L121" s="32">
        <f t="shared" si="20"/>
        <v>61198.2</v>
      </c>
      <c r="M121" s="31"/>
      <c r="N121"/>
    </row>
    <row r="122" spans="1:14" ht="18.75" x14ac:dyDescent="0.3">
      <c r="A122" s="20"/>
      <c r="B122" s="34">
        <v>117</v>
      </c>
      <c r="C122" s="31" t="s">
        <v>133</v>
      </c>
      <c r="D122" s="33">
        <v>150000</v>
      </c>
      <c r="E122" s="33">
        <v>19995</v>
      </c>
      <c r="F122" s="32">
        <f t="shared" si="22"/>
        <v>169995</v>
      </c>
      <c r="G122" s="34">
        <v>50</v>
      </c>
      <c r="H122" s="32">
        <v>3399.9</v>
      </c>
      <c r="I122" s="31">
        <v>32</v>
      </c>
      <c r="J122" s="35">
        <f t="shared" si="19"/>
        <v>18</v>
      </c>
      <c r="K122" s="36">
        <f t="shared" si="21"/>
        <v>108796.8</v>
      </c>
      <c r="L122" s="32">
        <f t="shared" si="20"/>
        <v>61198.2</v>
      </c>
      <c r="M122" s="31"/>
      <c r="N122"/>
    </row>
    <row r="123" spans="1:14" ht="18.75" x14ac:dyDescent="0.3">
      <c r="A123" s="20"/>
      <c r="B123" s="34">
        <v>118</v>
      </c>
      <c r="C123" s="31" t="s">
        <v>134</v>
      </c>
      <c r="D123" s="33">
        <v>150000</v>
      </c>
      <c r="E123" s="33">
        <v>19995</v>
      </c>
      <c r="F123" s="32">
        <f t="shared" si="22"/>
        <v>169995</v>
      </c>
      <c r="G123" s="34">
        <v>50</v>
      </c>
      <c r="H123" s="32">
        <v>3399.9</v>
      </c>
      <c r="I123" s="31">
        <v>47</v>
      </c>
      <c r="J123" s="35">
        <f t="shared" si="19"/>
        <v>3</v>
      </c>
      <c r="K123" s="36">
        <f t="shared" si="21"/>
        <v>159795.30000000002</v>
      </c>
      <c r="L123" s="32">
        <f t="shared" si="20"/>
        <v>10199.699999999983</v>
      </c>
      <c r="M123" s="31"/>
      <c r="N123"/>
    </row>
    <row r="124" spans="1:14" ht="18.75" x14ac:dyDescent="0.3">
      <c r="A124" s="20"/>
      <c r="B124" s="34">
        <v>119</v>
      </c>
      <c r="C124" s="31" t="s">
        <v>203</v>
      </c>
      <c r="D124" s="33">
        <v>150000</v>
      </c>
      <c r="E124" s="33">
        <v>19995</v>
      </c>
      <c r="F124" s="32">
        <f t="shared" si="22"/>
        <v>169995</v>
      </c>
      <c r="G124" s="34">
        <v>50</v>
      </c>
      <c r="H124" s="32">
        <v>3399.9</v>
      </c>
      <c r="I124" s="31">
        <v>47</v>
      </c>
      <c r="J124" s="35">
        <f t="shared" si="19"/>
        <v>3</v>
      </c>
      <c r="K124" s="36">
        <f t="shared" si="21"/>
        <v>159795.30000000002</v>
      </c>
      <c r="L124" s="32">
        <f t="shared" si="20"/>
        <v>10199.699999999983</v>
      </c>
      <c r="M124" s="31"/>
      <c r="N124"/>
    </row>
    <row r="125" spans="1:14" ht="18.75" x14ac:dyDescent="0.3">
      <c r="A125" s="20"/>
      <c r="B125" s="34">
        <v>120</v>
      </c>
      <c r="C125" s="31" t="s">
        <v>136</v>
      </c>
      <c r="D125" s="33">
        <v>150000</v>
      </c>
      <c r="E125" s="33">
        <v>19995</v>
      </c>
      <c r="F125" s="32">
        <f t="shared" si="22"/>
        <v>169995</v>
      </c>
      <c r="G125" s="34">
        <v>50</v>
      </c>
      <c r="H125" s="32">
        <v>3399.9</v>
      </c>
      <c r="I125" s="31">
        <v>47</v>
      </c>
      <c r="J125" s="35">
        <f t="shared" si="19"/>
        <v>3</v>
      </c>
      <c r="K125" s="36">
        <f t="shared" si="21"/>
        <v>159795.30000000002</v>
      </c>
      <c r="L125" s="32">
        <f t="shared" si="20"/>
        <v>10199.699999999983</v>
      </c>
      <c r="M125" s="31"/>
      <c r="N125"/>
    </row>
    <row r="126" spans="1:14" ht="18.75" x14ac:dyDescent="0.3">
      <c r="A126" s="20"/>
      <c r="B126" s="34">
        <v>121</v>
      </c>
      <c r="C126" s="31" t="s">
        <v>137</v>
      </c>
      <c r="D126" s="33">
        <v>150000</v>
      </c>
      <c r="E126" s="33">
        <v>19995</v>
      </c>
      <c r="F126" s="32">
        <f t="shared" si="22"/>
        <v>169995</v>
      </c>
      <c r="G126" s="34">
        <v>50</v>
      </c>
      <c r="H126" s="32">
        <v>3399.9</v>
      </c>
      <c r="I126" s="31">
        <v>32</v>
      </c>
      <c r="J126" s="35">
        <f t="shared" si="19"/>
        <v>18</v>
      </c>
      <c r="K126" s="36">
        <f t="shared" si="21"/>
        <v>108796.8</v>
      </c>
      <c r="L126" s="32">
        <f t="shared" si="20"/>
        <v>61198.2</v>
      </c>
      <c r="M126" s="31"/>
      <c r="N126"/>
    </row>
    <row r="127" spans="1:14" ht="18.75" x14ac:dyDescent="0.3">
      <c r="A127" s="20"/>
      <c r="B127" s="34">
        <v>122</v>
      </c>
      <c r="C127" s="31" t="s">
        <v>230</v>
      </c>
      <c r="D127" s="33">
        <v>150000</v>
      </c>
      <c r="E127" s="33">
        <v>19995</v>
      </c>
      <c r="F127" s="32">
        <f t="shared" si="22"/>
        <v>169995</v>
      </c>
      <c r="G127" s="34">
        <v>50</v>
      </c>
      <c r="H127" s="32">
        <v>3399.9</v>
      </c>
      <c r="I127" s="31">
        <v>37</v>
      </c>
      <c r="J127" s="35">
        <f t="shared" si="19"/>
        <v>13</v>
      </c>
      <c r="K127" s="36">
        <f t="shared" si="21"/>
        <v>125796.3</v>
      </c>
      <c r="L127" s="32">
        <f t="shared" si="20"/>
        <v>44198.7</v>
      </c>
      <c r="M127" s="31"/>
      <c r="N127"/>
    </row>
    <row r="128" spans="1:14" ht="18.75" x14ac:dyDescent="0.3">
      <c r="A128" s="20"/>
      <c r="B128" s="34">
        <v>123</v>
      </c>
      <c r="C128" s="31" t="s">
        <v>139</v>
      </c>
      <c r="D128" s="33">
        <v>150000</v>
      </c>
      <c r="E128" s="33">
        <v>19995</v>
      </c>
      <c r="F128" s="32">
        <f t="shared" si="22"/>
        <v>169995</v>
      </c>
      <c r="G128" s="34">
        <v>50</v>
      </c>
      <c r="H128" s="32">
        <v>3399.9</v>
      </c>
      <c r="I128" s="31">
        <v>32</v>
      </c>
      <c r="J128" s="35">
        <f t="shared" si="19"/>
        <v>18</v>
      </c>
      <c r="K128" s="36">
        <f t="shared" si="21"/>
        <v>108796.8</v>
      </c>
      <c r="L128" s="32">
        <f t="shared" si="20"/>
        <v>61198.2</v>
      </c>
      <c r="M128" s="31"/>
      <c r="N128"/>
    </row>
    <row r="129" spans="1:14" ht="18.75" x14ac:dyDescent="0.3">
      <c r="A129" s="20"/>
      <c r="B129" s="34">
        <v>124</v>
      </c>
      <c r="C129" s="31" t="s">
        <v>229</v>
      </c>
      <c r="D129" s="33">
        <v>150000</v>
      </c>
      <c r="E129" s="33">
        <v>19995</v>
      </c>
      <c r="F129" s="32">
        <f t="shared" si="22"/>
        <v>169995</v>
      </c>
      <c r="G129" s="34">
        <v>50</v>
      </c>
      <c r="H129" s="32">
        <v>3399.9</v>
      </c>
      <c r="I129" s="31">
        <v>27</v>
      </c>
      <c r="J129" s="35">
        <f t="shared" si="19"/>
        <v>23</v>
      </c>
      <c r="K129" s="36">
        <f t="shared" si="21"/>
        <v>91797.3</v>
      </c>
      <c r="L129" s="36">
        <f t="shared" si="20"/>
        <v>78197.7</v>
      </c>
      <c r="M129" s="31"/>
      <c r="N129"/>
    </row>
    <row r="130" spans="1:14" ht="18.75" x14ac:dyDescent="0.3">
      <c r="A130" s="20"/>
      <c r="B130" s="34">
        <v>125</v>
      </c>
      <c r="C130" s="31" t="s">
        <v>207</v>
      </c>
      <c r="D130" s="33">
        <v>150000</v>
      </c>
      <c r="E130" s="33">
        <v>19995</v>
      </c>
      <c r="F130" s="32">
        <f t="shared" si="22"/>
        <v>169995</v>
      </c>
      <c r="G130" s="34">
        <v>50</v>
      </c>
      <c r="H130" s="32">
        <v>3399.9</v>
      </c>
      <c r="I130" s="31">
        <v>27</v>
      </c>
      <c r="J130" s="35">
        <f t="shared" si="19"/>
        <v>23</v>
      </c>
      <c r="K130" s="36">
        <f t="shared" ref="K130:K158" si="23">I130*H130</f>
        <v>91797.3</v>
      </c>
      <c r="L130" s="36">
        <f>F130-H130</f>
        <v>166595.1</v>
      </c>
      <c r="M130" s="31"/>
      <c r="N130"/>
    </row>
    <row r="131" spans="1:14" ht="18.75" x14ac:dyDescent="0.3">
      <c r="A131" s="20"/>
      <c r="B131" s="34">
        <v>126</v>
      </c>
      <c r="C131" s="50" t="s">
        <v>147</v>
      </c>
      <c r="D131" s="33">
        <v>150000</v>
      </c>
      <c r="E131" s="33">
        <v>19995</v>
      </c>
      <c r="F131" s="32">
        <f t="shared" si="22"/>
        <v>169995</v>
      </c>
      <c r="G131" s="34">
        <v>50</v>
      </c>
      <c r="H131" s="32">
        <v>3399.9</v>
      </c>
      <c r="I131" s="50">
        <v>21</v>
      </c>
      <c r="J131" s="35">
        <f t="shared" si="19"/>
        <v>29</v>
      </c>
      <c r="K131" s="36">
        <f t="shared" si="23"/>
        <v>71397.900000000009</v>
      </c>
      <c r="L131" s="36">
        <f t="shared" ref="L131:L158" si="24">F131-K131</f>
        <v>98597.099999999991</v>
      </c>
      <c r="M131" s="31"/>
      <c r="N131"/>
    </row>
    <row r="132" spans="1:14" ht="18.75" x14ac:dyDescent="0.3">
      <c r="A132" s="20"/>
      <c r="B132" s="34">
        <v>127</v>
      </c>
      <c r="C132" s="50" t="s">
        <v>151</v>
      </c>
      <c r="D132" s="33">
        <v>150000</v>
      </c>
      <c r="E132" s="33">
        <v>19995</v>
      </c>
      <c r="F132" s="32">
        <f t="shared" si="22"/>
        <v>169995</v>
      </c>
      <c r="G132" s="34">
        <v>50</v>
      </c>
      <c r="H132" s="32">
        <v>3399.9</v>
      </c>
      <c r="I132" s="50">
        <v>21</v>
      </c>
      <c r="J132" s="35">
        <f t="shared" si="19"/>
        <v>29</v>
      </c>
      <c r="K132" s="36">
        <f t="shared" si="23"/>
        <v>71397.900000000009</v>
      </c>
      <c r="L132" s="36">
        <f t="shared" si="24"/>
        <v>98597.099999999991</v>
      </c>
      <c r="M132" s="31"/>
      <c r="N132"/>
    </row>
    <row r="133" spans="1:14" ht="18.75" x14ac:dyDescent="0.3">
      <c r="A133" s="20"/>
      <c r="B133" s="34">
        <v>128</v>
      </c>
      <c r="C133" s="50" t="s">
        <v>152</v>
      </c>
      <c r="D133" s="33">
        <v>150000</v>
      </c>
      <c r="E133" s="33">
        <v>19995</v>
      </c>
      <c r="F133" s="32">
        <f t="shared" si="22"/>
        <v>169995</v>
      </c>
      <c r="G133" s="34">
        <v>50</v>
      </c>
      <c r="H133" s="32">
        <v>3399.9</v>
      </c>
      <c r="I133" s="50">
        <v>21</v>
      </c>
      <c r="J133" s="35">
        <f t="shared" si="19"/>
        <v>29</v>
      </c>
      <c r="K133" s="36">
        <f t="shared" si="23"/>
        <v>71397.900000000009</v>
      </c>
      <c r="L133" s="36">
        <f t="shared" si="24"/>
        <v>98597.099999999991</v>
      </c>
      <c r="M133" s="31"/>
      <c r="N133"/>
    </row>
    <row r="134" spans="1:14" ht="18.75" x14ac:dyDescent="0.3">
      <c r="A134" s="20"/>
      <c r="B134" s="34">
        <v>129</v>
      </c>
      <c r="C134" s="50" t="s">
        <v>153</v>
      </c>
      <c r="D134" s="33">
        <v>150000</v>
      </c>
      <c r="E134" s="33">
        <v>19995</v>
      </c>
      <c r="F134" s="32">
        <f t="shared" si="22"/>
        <v>169995</v>
      </c>
      <c r="G134" s="34">
        <v>50</v>
      </c>
      <c r="H134" s="32">
        <v>3399.9</v>
      </c>
      <c r="I134" s="50">
        <v>21</v>
      </c>
      <c r="J134" s="35">
        <f t="shared" ref="J134:J158" si="25">G134-I134</f>
        <v>29</v>
      </c>
      <c r="K134" s="36">
        <f t="shared" si="23"/>
        <v>71397.900000000009</v>
      </c>
      <c r="L134" s="36">
        <f t="shared" si="24"/>
        <v>98597.099999999991</v>
      </c>
      <c r="M134" s="31"/>
      <c r="N134"/>
    </row>
    <row r="135" spans="1:14" ht="18.75" x14ac:dyDescent="0.3">
      <c r="A135" s="20"/>
      <c r="B135" s="34">
        <v>130</v>
      </c>
      <c r="C135" s="50" t="s">
        <v>216</v>
      </c>
      <c r="D135" s="33">
        <v>150000</v>
      </c>
      <c r="E135" s="33">
        <v>19995</v>
      </c>
      <c r="F135" s="32">
        <f t="shared" si="22"/>
        <v>169995</v>
      </c>
      <c r="G135" s="34">
        <v>50</v>
      </c>
      <c r="H135" s="32">
        <v>3399.9</v>
      </c>
      <c r="I135" s="50">
        <v>13</v>
      </c>
      <c r="J135" s="35">
        <f t="shared" si="25"/>
        <v>37</v>
      </c>
      <c r="K135" s="36">
        <f t="shared" si="23"/>
        <v>44198.700000000004</v>
      </c>
      <c r="L135" s="36">
        <f t="shared" si="24"/>
        <v>125796.29999999999</v>
      </c>
      <c r="M135" s="31"/>
      <c r="N135"/>
    </row>
    <row r="136" spans="1:14" ht="18.75" x14ac:dyDescent="0.3">
      <c r="A136" s="20"/>
      <c r="B136" s="34">
        <v>131</v>
      </c>
      <c r="C136" s="50" t="s">
        <v>213</v>
      </c>
      <c r="D136" s="33">
        <v>150000</v>
      </c>
      <c r="E136" s="33">
        <v>19995</v>
      </c>
      <c r="F136" s="32">
        <f t="shared" si="22"/>
        <v>169995</v>
      </c>
      <c r="G136" s="34">
        <v>50</v>
      </c>
      <c r="H136" s="32">
        <v>3399.9</v>
      </c>
      <c r="I136" s="50">
        <v>13</v>
      </c>
      <c r="J136" s="35">
        <f t="shared" si="25"/>
        <v>37</v>
      </c>
      <c r="K136" s="36">
        <f t="shared" si="23"/>
        <v>44198.700000000004</v>
      </c>
      <c r="L136" s="36">
        <f t="shared" si="24"/>
        <v>125796.29999999999</v>
      </c>
      <c r="M136" s="31"/>
      <c r="N136"/>
    </row>
    <row r="137" spans="1:14" ht="18.75" x14ac:dyDescent="0.3">
      <c r="A137" s="20"/>
      <c r="B137" s="34">
        <v>132</v>
      </c>
      <c r="C137" s="50" t="s">
        <v>23</v>
      </c>
      <c r="D137" s="33">
        <v>150000</v>
      </c>
      <c r="E137" s="33">
        <v>19995</v>
      </c>
      <c r="F137" s="32">
        <f t="shared" si="22"/>
        <v>169995</v>
      </c>
      <c r="G137" s="34">
        <v>50</v>
      </c>
      <c r="H137" s="32">
        <v>3399.9</v>
      </c>
      <c r="I137" s="50">
        <v>13</v>
      </c>
      <c r="J137" s="35">
        <f t="shared" si="25"/>
        <v>37</v>
      </c>
      <c r="K137" s="36">
        <f t="shared" si="23"/>
        <v>44198.700000000004</v>
      </c>
      <c r="L137" s="36">
        <f t="shared" si="24"/>
        <v>125796.29999999999</v>
      </c>
      <c r="M137" s="31"/>
      <c r="N137"/>
    </row>
    <row r="138" spans="1:14" ht="18.75" x14ac:dyDescent="0.3">
      <c r="A138" s="20"/>
      <c r="B138" s="34">
        <v>133</v>
      </c>
      <c r="C138" s="50" t="s">
        <v>24</v>
      </c>
      <c r="D138" s="33">
        <v>150000</v>
      </c>
      <c r="E138" s="33">
        <v>19995</v>
      </c>
      <c r="F138" s="32">
        <f t="shared" si="22"/>
        <v>169995</v>
      </c>
      <c r="G138" s="34">
        <v>50</v>
      </c>
      <c r="H138" s="32">
        <v>3399.9</v>
      </c>
      <c r="I138" s="50">
        <v>13</v>
      </c>
      <c r="J138" s="35">
        <f t="shared" si="25"/>
        <v>37</v>
      </c>
      <c r="K138" s="36">
        <f t="shared" si="23"/>
        <v>44198.700000000004</v>
      </c>
      <c r="L138" s="36">
        <f t="shared" si="24"/>
        <v>125796.29999999999</v>
      </c>
      <c r="M138" s="31"/>
      <c r="N138"/>
    </row>
    <row r="139" spans="1:14" ht="18.75" x14ac:dyDescent="0.3">
      <c r="A139" s="20"/>
      <c r="B139" s="34">
        <v>134</v>
      </c>
      <c r="C139" s="50" t="s">
        <v>27</v>
      </c>
      <c r="D139" s="33">
        <v>150000</v>
      </c>
      <c r="E139" s="33">
        <v>19995</v>
      </c>
      <c r="F139" s="32">
        <f t="shared" si="22"/>
        <v>169995</v>
      </c>
      <c r="G139" s="34">
        <v>50</v>
      </c>
      <c r="H139" s="32">
        <v>3399.9</v>
      </c>
      <c r="I139" s="50">
        <v>11</v>
      </c>
      <c r="J139" s="35">
        <f t="shared" si="25"/>
        <v>39</v>
      </c>
      <c r="K139" s="36">
        <f t="shared" si="23"/>
        <v>37398.9</v>
      </c>
      <c r="L139" s="36">
        <f t="shared" si="24"/>
        <v>132596.1</v>
      </c>
      <c r="M139" s="31"/>
      <c r="N139"/>
    </row>
    <row r="140" spans="1:14" ht="18.75" x14ac:dyDescent="0.3">
      <c r="A140" s="20"/>
      <c r="B140" s="34">
        <v>135</v>
      </c>
      <c r="C140" s="29" t="s">
        <v>32</v>
      </c>
      <c r="D140" s="33">
        <v>150000</v>
      </c>
      <c r="E140" s="33">
        <v>19995</v>
      </c>
      <c r="F140" s="32">
        <f t="shared" si="22"/>
        <v>169995</v>
      </c>
      <c r="G140" s="34">
        <v>50</v>
      </c>
      <c r="H140" s="32">
        <v>3399.9</v>
      </c>
      <c r="I140" s="50">
        <v>11</v>
      </c>
      <c r="J140" s="35">
        <f t="shared" si="25"/>
        <v>39</v>
      </c>
      <c r="K140" s="36">
        <f t="shared" si="23"/>
        <v>37398.9</v>
      </c>
      <c r="L140" s="36">
        <f t="shared" si="24"/>
        <v>132596.1</v>
      </c>
      <c r="M140" s="31"/>
      <c r="N140"/>
    </row>
    <row r="141" spans="1:14" ht="18.75" x14ac:dyDescent="0.3">
      <c r="A141" s="20"/>
      <c r="B141" s="34">
        <v>136</v>
      </c>
      <c r="C141" s="29" t="s">
        <v>33</v>
      </c>
      <c r="D141" s="33">
        <v>150000</v>
      </c>
      <c r="E141" s="33">
        <v>19995</v>
      </c>
      <c r="F141" s="32">
        <f t="shared" si="22"/>
        <v>169995</v>
      </c>
      <c r="G141" s="34">
        <v>50</v>
      </c>
      <c r="H141" s="32">
        <v>3399.9</v>
      </c>
      <c r="I141" s="50">
        <v>11</v>
      </c>
      <c r="J141" s="35">
        <f t="shared" si="25"/>
        <v>39</v>
      </c>
      <c r="K141" s="36">
        <f t="shared" si="23"/>
        <v>37398.9</v>
      </c>
      <c r="L141" s="36">
        <f t="shared" si="24"/>
        <v>132596.1</v>
      </c>
      <c r="M141" s="31"/>
      <c r="N141"/>
    </row>
    <row r="142" spans="1:14" ht="18.75" x14ac:dyDescent="0.3">
      <c r="A142" s="20"/>
      <c r="B142" s="34">
        <v>137</v>
      </c>
      <c r="C142" s="29" t="s">
        <v>34</v>
      </c>
      <c r="D142" s="33">
        <v>150000</v>
      </c>
      <c r="E142" s="33">
        <v>19995</v>
      </c>
      <c r="F142" s="32">
        <f t="shared" si="22"/>
        <v>169995</v>
      </c>
      <c r="G142" s="34">
        <v>50</v>
      </c>
      <c r="H142" s="32">
        <v>3399.9</v>
      </c>
      <c r="I142" s="50">
        <v>11</v>
      </c>
      <c r="J142" s="35">
        <f t="shared" si="25"/>
        <v>39</v>
      </c>
      <c r="K142" s="36">
        <f t="shared" si="23"/>
        <v>37398.9</v>
      </c>
      <c r="L142" s="36">
        <f t="shared" si="24"/>
        <v>132596.1</v>
      </c>
      <c r="M142" s="31"/>
      <c r="N142"/>
    </row>
    <row r="143" spans="1:14" ht="18.75" x14ac:dyDescent="0.3">
      <c r="B143" s="34">
        <v>138</v>
      </c>
      <c r="C143" s="29" t="s">
        <v>41</v>
      </c>
      <c r="D143" s="33">
        <v>150000</v>
      </c>
      <c r="E143" s="33">
        <v>19995</v>
      </c>
      <c r="F143" s="32">
        <f t="shared" si="22"/>
        <v>169995</v>
      </c>
      <c r="G143" s="34">
        <v>50</v>
      </c>
      <c r="H143" s="32">
        <v>3399.9</v>
      </c>
      <c r="I143" s="50">
        <v>7</v>
      </c>
      <c r="J143" s="35">
        <f t="shared" si="25"/>
        <v>43</v>
      </c>
      <c r="K143" s="36">
        <f t="shared" si="23"/>
        <v>23799.3</v>
      </c>
      <c r="L143" s="36">
        <f t="shared" si="24"/>
        <v>146195.70000000001</v>
      </c>
      <c r="M143" s="31"/>
      <c r="N143"/>
    </row>
    <row r="144" spans="1:14" ht="18.75" x14ac:dyDescent="0.3">
      <c r="B144" s="34">
        <v>139</v>
      </c>
      <c r="C144" s="29" t="s">
        <v>157</v>
      </c>
      <c r="D144" s="33">
        <v>150000</v>
      </c>
      <c r="E144" s="33">
        <v>19995</v>
      </c>
      <c r="F144" s="32">
        <f t="shared" si="22"/>
        <v>169995</v>
      </c>
      <c r="G144" s="34">
        <v>50</v>
      </c>
      <c r="H144" s="32">
        <v>3399</v>
      </c>
      <c r="I144" s="50">
        <v>23</v>
      </c>
      <c r="J144" s="35">
        <f t="shared" si="25"/>
        <v>27</v>
      </c>
      <c r="K144" s="36">
        <f t="shared" si="23"/>
        <v>78177</v>
      </c>
      <c r="L144" s="36">
        <f t="shared" si="24"/>
        <v>91818</v>
      </c>
      <c r="M144" s="31"/>
      <c r="N144"/>
    </row>
    <row r="145" spans="2:14" ht="18.75" x14ac:dyDescent="0.3">
      <c r="B145" s="34">
        <v>140</v>
      </c>
      <c r="C145" s="29" t="s">
        <v>158</v>
      </c>
      <c r="D145" s="33">
        <v>150000</v>
      </c>
      <c r="E145" s="33">
        <v>19995</v>
      </c>
      <c r="F145" s="32">
        <f t="shared" si="22"/>
        <v>169995</v>
      </c>
      <c r="G145" s="34">
        <v>50</v>
      </c>
      <c r="H145" s="32">
        <v>3399.9</v>
      </c>
      <c r="I145" s="31">
        <v>47</v>
      </c>
      <c r="J145" s="35">
        <f t="shared" si="25"/>
        <v>3</v>
      </c>
      <c r="K145" s="36">
        <f t="shared" si="23"/>
        <v>159795.30000000002</v>
      </c>
      <c r="L145" s="36">
        <f t="shared" si="24"/>
        <v>10199.699999999983</v>
      </c>
      <c r="M145" s="31"/>
      <c r="N145"/>
    </row>
    <row r="146" spans="2:14" ht="18.75" x14ac:dyDescent="0.3">
      <c r="B146" s="34">
        <v>141</v>
      </c>
      <c r="C146" s="29" t="s">
        <v>165</v>
      </c>
      <c r="D146" s="33">
        <v>150000</v>
      </c>
      <c r="E146" s="33">
        <v>19995</v>
      </c>
      <c r="F146" s="32">
        <f t="shared" si="22"/>
        <v>169995</v>
      </c>
      <c r="G146" s="34">
        <v>50</v>
      </c>
      <c r="H146" s="32">
        <v>3399</v>
      </c>
      <c r="I146" s="50">
        <v>23</v>
      </c>
      <c r="J146" s="35">
        <f t="shared" si="25"/>
        <v>27</v>
      </c>
      <c r="K146" s="36">
        <f t="shared" si="23"/>
        <v>78177</v>
      </c>
      <c r="L146" s="36">
        <f t="shared" si="24"/>
        <v>91818</v>
      </c>
      <c r="M146" s="31"/>
      <c r="N146"/>
    </row>
    <row r="147" spans="2:14" ht="18.75" x14ac:dyDescent="0.3">
      <c r="B147" s="34">
        <v>142</v>
      </c>
      <c r="C147" s="29" t="s">
        <v>168</v>
      </c>
      <c r="D147" s="33">
        <v>150000</v>
      </c>
      <c r="E147" s="33">
        <v>19995</v>
      </c>
      <c r="F147" s="32">
        <f t="shared" si="22"/>
        <v>169995</v>
      </c>
      <c r="G147" s="34">
        <v>50</v>
      </c>
      <c r="H147" s="32">
        <v>3399</v>
      </c>
      <c r="I147" s="50">
        <v>23</v>
      </c>
      <c r="J147" s="35">
        <f t="shared" si="25"/>
        <v>27</v>
      </c>
      <c r="K147" s="36">
        <f t="shared" si="23"/>
        <v>78177</v>
      </c>
      <c r="L147" s="36">
        <f t="shared" si="24"/>
        <v>91818</v>
      </c>
      <c r="M147" s="31"/>
      <c r="N147"/>
    </row>
    <row r="148" spans="2:14" ht="18.75" x14ac:dyDescent="0.3">
      <c r="B148" s="34">
        <v>143</v>
      </c>
      <c r="C148" s="29" t="s">
        <v>181</v>
      </c>
      <c r="D148" s="33">
        <v>150000</v>
      </c>
      <c r="E148" s="33">
        <v>19995</v>
      </c>
      <c r="F148" s="32">
        <f t="shared" si="22"/>
        <v>169995</v>
      </c>
      <c r="G148" s="34">
        <v>50</v>
      </c>
      <c r="H148" s="32">
        <v>3399</v>
      </c>
      <c r="I148" s="50">
        <v>21</v>
      </c>
      <c r="J148" s="35">
        <f t="shared" si="25"/>
        <v>29</v>
      </c>
      <c r="K148" s="36">
        <f t="shared" si="23"/>
        <v>71379</v>
      </c>
      <c r="L148" s="36">
        <f t="shared" si="24"/>
        <v>98616</v>
      </c>
      <c r="M148" s="31"/>
      <c r="N148"/>
    </row>
    <row r="149" spans="2:14" ht="18.75" x14ac:dyDescent="0.3">
      <c r="B149" s="34">
        <v>144</v>
      </c>
      <c r="C149" s="29" t="s">
        <v>52</v>
      </c>
      <c r="D149" s="33">
        <v>150000</v>
      </c>
      <c r="E149" s="33">
        <v>19995</v>
      </c>
      <c r="F149" s="32">
        <f t="shared" si="22"/>
        <v>169995</v>
      </c>
      <c r="G149" s="34">
        <v>50</v>
      </c>
      <c r="H149" s="32">
        <v>3399.9</v>
      </c>
      <c r="I149" s="50">
        <v>8</v>
      </c>
      <c r="J149" s="35">
        <f t="shared" si="25"/>
        <v>42</v>
      </c>
      <c r="K149" s="36">
        <f t="shared" si="23"/>
        <v>27199.200000000001</v>
      </c>
      <c r="L149" s="36">
        <f t="shared" si="24"/>
        <v>142795.79999999999</v>
      </c>
      <c r="M149" s="31"/>
      <c r="N149"/>
    </row>
    <row r="150" spans="2:14" ht="18.75" x14ac:dyDescent="0.3">
      <c r="B150" s="34">
        <v>145</v>
      </c>
      <c r="C150" s="29" t="s">
        <v>53</v>
      </c>
      <c r="D150" s="33">
        <v>150000</v>
      </c>
      <c r="E150" s="33">
        <v>19995</v>
      </c>
      <c r="F150" s="32">
        <f t="shared" si="22"/>
        <v>169995</v>
      </c>
      <c r="G150" s="34">
        <v>50</v>
      </c>
      <c r="H150" s="32">
        <v>3399.9</v>
      </c>
      <c r="I150" s="50">
        <v>8</v>
      </c>
      <c r="J150" s="35">
        <f t="shared" si="25"/>
        <v>42</v>
      </c>
      <c r="K150" s="36">
        <f t="shared" si="23"/>
        <v>27199.200000000001</v>
      </c>
      <c r="L150" s="36">
        <f t="shared" si="24"/>
        <v>142795.79999999999</v>
      </c>
      <c r="M150" s="31"/>
      <c r="N150"/>
    </row>
    <row r="151" spans="2:14" ht="18.75" x14ac:dyDescent="0.3">
      <c r="B151" s="34">
        <v>146</v>
      </c>
      <c r="C151" s="29" t="s">
        <v>250</v>
      </c>
      <c r="D151" s="33">
        <v>150000</v>
      </c>
      <c r="E151" s="33">
        <v>19995</v>
      </c>
      <c r="F151" s="32">
        <f t="shared" si="22"/>
        <v>169995</v>
      </c>
      <c r="G151" s="34">
        <v>50</v>
      </c>
      <c r="H151" s="32">
        <v>3399.9</v>
      </c>
      <c r="I151" s="50">
        <v>8</v>
      </c>
      <c r="J151" s="35">
        <f t="shared" si="25"/>
        <v>42</v>
      </c>
      <c r="K151" s="36">
        <f t="shared" si="23"/>
        <v>27199.200000000001</v>
      </c>
      <c r="L151" s="36">
        <f t="shared" si="24"/>
        <v>142795.79999999999</v>
      </c>
      <c r="M151" s="31"/>
      <c r="N151"/>
    </row>
    <row r="152" spans="2:14" ht="18.75" x14ac:dyDescent="0.3">
      <c r="B152" s="34">
        <v>147</v>
      </c>
      <c r="C152" s="29" t="s">
        <v>51</v>
      </c>
      <c r="D152" s="33">
        <v>150000</v>
      </c>
      <c r="E152" s="33">
        <v>19995</v>
      </c>
      <c r="F152" s="32">
        <f t="shared" ref="F152:F157" si="26">D152+E152</f>
        <v>169995</v>
      </c>
      <c r="G152" s="34">
        <v>50</v>
      </c>
      <c r="H152" s="32">
        <v>3339.9</v>
      </c>
      <c r="I152" s="50">
        <v>8</v>
      </c>
      <c r="J152" s="35">
        <f t="shared" si="25"/>
        <v>42</v>
      </c>
      <c r="K152" s="36">
        <f t="shared" si="23"/>
        <v>26719.200000000001</v>
      </c>
      <c r="L152" s="36">
        <f t="shared" si="24"/>
        <v>143275.79999999999</v>
      </c>
      <c r="M152" s="31"/>
      <c r="N152"/>
    </row>
    <row r="153" spans="2:14" ht="18.75" x14ac:dyDescent="0.3">
      <c r="B153" s="34">
        <v>148</v>
      </c>
      <c r="C153" s="29" t="s">
        <v>58</v>
      </c>
      <c r="D153" s="33">
        <v>150000</v>
      </c>
      <c r="E153" s="33">
        <v>19995</v>
      </c>
      <c r="F153" s="32">
        <f t="shared" si="26"/>
        <v>169995</v>
      </c>
      <c r="G153" s="34">
        <v>50</v>
      </c>
      <c r="H153" s="32">
        <v>3399.9</v>
      </c>
      <c r="I153" s="50">
        <v>6</v>
      </c>
      <c r="J153" s="35">
        <f t="shared" si="25"/>
        <v>44</v>
      </c>
      <c r="K153" s="36">
        <f t="shared" si="23"/>
        <v>20399.400000000001</v>
      </c>
      <c r="L153" s="36">
        <f t="shared" si="24"/>
        <v>149595.6</v>
      </c>
      <c r="M153" s="31"/>
      <c r="N153"/>
    </row>
    <row r="154" spans="2:14" ht="18.75" x14ac:dyDescent="0.3">
      <c r="B154" s="34">
        <v>149</v>
      </c>
      <c r="C154" s="29" t="s">
        <v>61</v>
      </c>
      <c r="D154" s="33">
        <v>150000</v>
      </c>
      <c r="E154" s="33">
        <v>19995</v>
      </c>
      <c r="F154" s="32">
        <f t="shared" si="26"/>
        <v>169995</v>
      </c>
      <c r="G154" s="34">
        <v>50</v>
      </c>
      <c r="H154" s="32">
        <v>3399.9</v>
      </c>
      <c r="I154" s="50">
        <v>6</v>
      </c>
      <c r="J154" s="35">
        <f t="shared" si="25"/>
        <v>44</v>
      </c>
      <c r="K154" s="36">
        <f t="shared" si="23"/>
        <v>20399.400000000001</v>
      </c>
      <c r="L154" s="36">
        <f t="shared" si="24"/>
        <v>149595.6</v>
      </c>
      <c r="M154" s="31"/>
      <c r="N154"/>
    </row>
    <row r="155" spans="2:14" ht="18.75" x14ac:dyDescent="0.3">
      <c r="B155" s="34">
        <v>150</v>
      </c>
      <c r="C155" s="29" t="s">
        <v>60</v>
      </c>
      <c r="D155" s="33">
        <v>150000</v>
      </c>
      <c r="E155" s="33">
        <v>19995</v>
      </c>
      <c r="F155" s="32">
        <f t="shared" si="26"/>
        <v>169995</v>
      </c>
      <c r="G155" s="34">
        <v>50</v>
      </c>
      <c r="H155" s="32">
        <v>3399.9</v>
      </c>
      <c r="I155" s="50">
        <v>6</v>
      </c>
      <c r="J155" s="35">
        <f t="shared" si="25"/>
        <v>44</v>
      </c>
      <c r="K155" s="36">
        <f t="shared" si="23"/>
        <v>20399.400000000001</v>
      </c>
      <c r="L155" s="36">
        <f t="shared" si="24"/>
        <v>149595.6</v>
      </c>
      <c r="M155" s="31"/>
      <c r="N155"/>
    </row>
    <row r="156" spans="2:14" ht="18.75" x14ac:dyDescent="0.3">
      <c r="B156" s="34">
        <v>151</v>
      </c>
      <c r="C156" s="29" t="s">
        <v>258</v>
      </c>
      <c r="D156" s="33">
        <v>150000</v>
      </c>
      <c r="E156" s="33">
        <v>19995</v>
      </c>
      <c r="F156" s="32">
        <f t="shared" si="26"/>
        <v>169995</v>
      </c>
      <c r="G156" s="34">
        <v>50</v>
      </c>
      <c r="H156" s="32">
        <v>3399.9</v>
      </c>
      <c r="I156" s="50">
        <v>3</v>
      </c>
      <c r="J156" s="35">
        <f t="shared" si="25"/>
        <v>47</v>
      </c>
      <c r="K156" s="36">
        <f t="shared" si="23"/>
        <v>10199.700000000001</v>
      </c>
      <c r="L156" s="36">
        <f t="shared" si="24"/>
        <v>159795.29999999999</v>
      </c>
      <c r="M156" s="31"/>
      <c r="N156"/>
    </row>
    <row r="157" spans="2:14" ht="18.75" x14ac:dyDescent="0.3">
      <c r="B157" s="34">
        <v>152</v>
      </c>
      <c r="C157" s="66" t="s">
        <v>262</v>
      </c>
      <c r="D157" s="33">
        <v>150000</v>
      </c>
      <c r="E157" s="33">
        <v>19995</v>
      </c>
      <c r="F157" s="32">
        <f t="shared" si="26"/>
        <v>169995</v>
      </c>
      <c r="G157" s="34">
        <v>50</v>
      </c>
      <c r="H157" s="32">
        <v>3399.9</v>
      </c>
      <c r="I157" s="50">
        <v>1</v>
      </c>
      <c r="J157" s="35">
        <f t="shared" si="25"/>
        <v>49</v>
      </c>
      <c r="K157" s="36">
        <f t="shared" si="23"/>
        <v>3399.9</v>
      </c>
      <c r="L157" s="36">
        <f t="shared" si="24"/>
        <v>166595.1</v>
      </c>
      <c r="M157" s="31" t="s">
        <v>266</v>
      </c>
      <c r="N157"/>
    </row>
    <row r="158" spans="2:14" ht="18.75" x14ac:dyDescent="0.3">
      <c r="B158" s="34">
        <v>153</v>
      </c>
      <c r="C158" s="66" t="s">
        <v>263</v>
      </c>
      <c r="D158" s="32">
        <v>330000</v>
      </c>
      <c r="E158" s="33">
        <v>43989</v>
      </c>
      <c r="F158" s="32">
        <f t="shared" ref="F158:F159" si="27">D158+E158</f>
        <v>373989</v>
      </c>
      <c r="G158" s="34">
        <v>50</v>
      </c>
      <c r="H158" s="32">
        <v>14959.56</v>
      </c>
      <c r="I158" s="50">
        <v>6</v>
      </c>
      <c r="J158" s="35">
        <f t="shared" si="25"/>
        <v>44</v>
      </c>
      <c r="K158" s="36">
        <f t="shared" si="23"/>
        <v>89757.36</v>
      </c>
      <c r="L158" s="36">
        <f t="shared" si="24"/>
        <v>284231.64</v>
      </c>
      <c r="M158" s="31" t="s">
        <v>267</v>
      </c>
      <c r="N158"/>
    </row>
    <row r="159" spans="2:14" ht="18.75" x14ac:dyDescent="0.3">
      <c r="B159" s="34">
        <v>154</v>
      </c>
      <c r="C159" s="66" t="s">
        <v>264</v>
      </c>
      <c r="D159" s="32">
        <v>330000</v>
      </c>
      <c r="E159" s="33">
        <v>43989</v>
      </c>
      <c r="F159" s="32">
        <f t="shared" si="27"/>
        <v>373989</v>
      </c>
      <c r="G159" s="34">
        <v>50</v>
      </c>
      <c r="H159" s="32">
        <v>14959.56</v>
      </c>
      <c r="I159" s="50">
        <v>6</v>
      </c>
      <c r="J159" s="35">
        <f t="shared" ref="J159:J160" si="28">G159-I159</f>
        <v>44</v>
      </c>
      <c r="K159" s="36">
        <f t="shared" ref="K159:K160" si="29">I159*H159</f>
        <v>89757.36</v>
      </c>
      <c r="L159" s="36">
        <f t="shared" ref="L159:L160" si="30">F159-K159</f>
        <v>284231.64</v>
      </c>
      <c r="M159" s="31" t="s">
        <v>267</v>
      </c>
      <c r="N159"/>
    </row>
    <row r="160" spans="2:14" ht="18.75" x14ac:dyDescent="0.3">
      <c r="B160" s="34">
        <v>155</v>
      </c>
      <c r="C160" s="66" t="s">
        <v>265</v>
      </c>
      <c r="D160" s="33">
        <v>450000</v>
      </c>
      <c r="E160" s="33">
        <v>59985</v>
      </c>
      <c r="F160" s="32">
        <f>D160+E160</f>
        <v>509985</v>
      </c>
      <c r="G160" s="34">
        <v>50</v>
      </c>
      <c r="H160" s="32">
        <v>20399.400000000001</v>
      </c>
      <c r="I160" s="50">
        <v>6</v>
      </c>
      <c r="J160" s="35">
        <f t="shared" si="28"/>
        <v>44</v>
      </c>
      <c r="K160" s="36">
        <f t="shared" si="29"/>
        <v>122396.40000000001</v>
      </c>
      <c r="L160" s="36">
        <f t="shared" si="30"/>
        <v>387588.6</v>
      </c>
      <c r="M160" s="31" t="s">
        <v>267</v>
      </c>
      <c r="N160"/>
    </row>
    <row r="161" spans="2:14" s="75" customFormat="1" ht="18.75" x14ac:dyDescent="0.3">
      <c r="B161" s="71"/>
      <c r="C161" s="30" t="s">
        <v>296</v>
      </c>
      <c r="D161" s="76">
        <f>SUM(D6:D160)</f>
        <v>46100000</v>
      </c>
      <c r="E161" s="76">
        <f t="shared" ref="E161:F161" si="31">SUM(E6:E160)</f>
        <v>6110471.9199999999</v>
      </c>
      <c r="F161" s="76">
        <f t="shared" si="31"/>
        <v>52210471.920000002</v>
      </c>
      <c r="G161" s="71"/>
      <c r="H161" s="76">
        <f>SUM(H6:H160)</f>
        <v>1081997.1800000023</v>
      </c>
      <c r="I161" s="73"/>
      <c r="J161" s="74"/>
      <c r="K161" s="76">
        <f t="shared" ref="K161:L161" si="32">SUM(K6:K160)</f>
        <v>22887543.550000001</v>
      </c>
      <c r="L161" s="76">
        <f t="shared" si="32"/>
        <v>29411325.770000011</v>
      </c>
      <c r="M161" s="53"/>
    </row>
    <row r="162" spans="2:14" ht="18.75" x14ac:dyDescent="0.3">
      <c r="B162" s="34"/>
      <c r="C162" s="30"/>
      <c r="D162" s="43"/>
      <c r="E162" s="44"/>
      <c r="F162" s="43"/>
      <c r="G162" s="41"/>
      <c r="H162" s="43"/>
      <c r="I162" s="46"/>
      <c r="J162" s="47"/>
      <c r="K162" s="45"/>
      <c r="L162" s="45"/>
      <c r="M162" s="49"/>
      <c r="N162"/>
    </row>
    <row r="163" spans="2:14" ht="18.75" x14ac:dyDescent="0.3">
      <c r="B163" s="9"/>
      <c r="C163" s="8" t="s">
        <v>217</v>
      </c>
      <c r="D163" s="9"/>
      <c r="E163" s="9"/>
      <c r="F163" s="9"/>
      <c r="G163" s="9"/>
      <c r="H163" s="9"/>
      <c r="I163" s="9"/>
      <c r="J163" s="9"/>
      <c r="K163" s="9"/>
      <c r="L163" s="9"/>
      <c r="M163" s="49"/>
      <c r="N163"/>
    </row>
    <row r="164" spans="2:14" ht="18.75" x14ac:dyDescent="0.3">
      <c r="B164" s="34">
        <v>1</v>
      </c>
      <c r="C164" s="9" t="s">
        <v>160</v>
      </c>
      <c r="D164" s="12">
        <v>500000</v>
      </c>
      <c r="E164" s="12">
        <v>66650</v>
      </c>
      <c r="F164" s="12">
        <v>566650</v>
      </c>
      <c r="G164" s="14">
        <v>50</v>
      </c>
      <c r="H164" s="12">
        <v>11333</v>
      </c>
      <c r="I164" s="14">
        <v>27</v>
      </c>
      <c r="J164" s="35">
        <f t="shared" ref="J164:J175" si="33">G164-I164</f>
        <v>23</v>
      </c>
      <c r="K164" s="36">
        <f t="shared" ref="K164:K175" si="34">H164*I164</f>
        <v>305991</v>
      </c>
      <c r="L164" s="32">
        <f t="shared" ref="L164:L175" si="35">F164-K164</f>
        <v>260659</v>
      </c>
      <c r="M164" s="49"/>
      <c r="N164"/>
    </row>
    <row r="165" spans="2:14" ht="18.75" x14ac:dyDescent="0.3">
      <c r="B165" s="34">
        <v>2</v>
      </c>
      <c r="C165" s="9" t="s">
        <v>164</v>
      </c>
      <c r="D165" s="12">
        <v>450000</v>
      </c>
      <c r="E165" s="12">
        <v>59985</v>
      </c>
      <c r="F165" s="12">
        <v>509985</v>
      </c>
      <c r="G165" s="14">
        <v>50</v>
      </c>
      <c r="H165" s="12">
        <v>10199.700000000001</v>
      </c>
      <c r="I165" s="14">
        <v>32</v>
      </c>
      <c r="J165" s="35">
        <f t="shared" si="33"/>
        <v>18</v>
      </c>
      <c r="K165" s="36">
        <f t="shared" si="34"/>
        <v>326390.40000000002</v>
      </c>
      <c r="L165" s="32">
        <f t="shared" si="35"/>
        <v>183594.59999999998</v>
      </c>
      <c r="M165" s="49"/>
      <c r="N165"/>
    </row>
    <row r="166" spans="2:14" ht="18.75" x14ac:dyDescent="0.3">
      <c r="B166" s="34">
        <v>3</v>
      </c>
      <c r="C166" s="9" t="s">
        <v>184</v>
      </c>
      <c r="D166" s="12">
        <v>330000</v>
      </c>
      <c r="E166" s="12">
        <v>43989</v>
      </c>
      <c r="F166" s="12">
        <v>373989</v>
      </c>
      <c r="G166" s="14">
        <v>50</v>
      </c>
      <c r="H166" s="12">
        <v>7479.78</v>
      </c>
      <c r="I166" s="14">
        <v>45</v>
      </c>
      <c r="J166" s="35">
        <f t="shared" si="33"/>
        <v>5</v>
      </c>
      <c r="K166" s="36">
        <f t="shared" si="34"/>
        <v>336590.1</v>
      </c>
      <c r="L166" s="32">
        <f t="shared" si="35"/>
        <v>37398.900000000023</v>
      </c>
      <c r="M166" s="49"/>
      <c r="N166"/>
    </row>
    <row r="167" spans="2:14" ht="18.75" x14ac:dyDescent="0.3">
      <c r="B167" s="34">
        <v>4</v>
      </c>
      <c r="C167" s="9" t="s">
        <v>180</v>
      </c>
      <c r="D167" s="12">
        <v>330000</v>
      </c>
      <c r="E167" s="12">
        <v>43989</v>
      </c>
      <c r="F167" s="12">
        <v>373989</v>
      </c>
      <c r="G167" s="14">
        <v>50</v>
      </c>
      <c r="H167" s="12">
        <v>7479.78</v>
      </c>
      <c r="I167" s="14">
        <v>27</v>
      </c>
      <c r="J167" s="35">
        <f t="shared" si="33"/>
        <v>23</v>
      </c>
      <c r="K167" s="36">
        <f t="shared" si="34"/>
        <v>201954.06</v>
      </c>
      <c r="L167" s="32">
        <f t="shared" si="35"/>
        <v>172034.94</v>
      </c>
      <c r="M167" s="49"/>
      <c r="N167"/>
    </row>
    <row r="168" spans="2:14" ht="18.75" x14ac:dyDescent="0.3">
      <c r="B168" s="34">
        <v>5</v>
      </c>
      <c r="C168" s="9" t="s">
        <v>162</v>
      </c>
      <c r="D168" s="12">
        <v>150000</v>
      </c>
      <c r="E168" s="12">
        <v>19995</v>
      </c>
      <c r="F168" s="12">
        <v>169995</v>
      </c>
      <c r="G168" s="14">
        <v>50</v>
      </c>
      <c r="H168" s="12">
        <v>3399.9</v>
      </c>
      <c r="I168" s="14">
        <v>27</v>
      </c>
      <c r="J168" s="35">
        <f t="shared" si="33"/>
        <v>23</v>
      </c>
      <c r="K168" s="36">
        <f t="shared" si="34"/>
        <v>91797.3</v>
      </c>
      <c r="L168" s="32">
        <f t="shared" si="35"/>
        <v>78197.7</v>
      </c>
      <c r="M168" s="49"/>
      <c r="N168"/>
    </row>
    <row r="169" spans="2:14" ht="18.75" x14ac:dyDescent="0.3">
      <c r="B169" s="34">
        <v>6</v>
      </c>
      <c r="C169" s="9" t="s">
        <v>163</v>
      </c>
      <c r="D169" s="12">
        <v>150000</v>
      </c>
      <c r="E169" s="12">
        <v>19995</v>
      </c>
      <c r="F169" s="12">
        <v>169995</v>
      </c>
      <c r="G169" s="14">
        <v>50</v>
      </c>
      <c r="H169" s="12">
        <v>3399.9</v>
      </c>
      <c r="I169" s="14">
        <v>27</v>
      </c>
      <c r="J169" s="35">
        <f t="shared" si="33"/>
        <v>23</v>
      </c>
      <c r="K169" s="36">
        <f t="shared" si="34"/>
        <v>91797.3</v>
      </c>
      <c r="L169" s="32">
        <f t="shared" si="35"/>
        <v>78197.7</v>
      </c>
      <c r="M169" s="49"/>
      <c r="N169"/>
    </row>
    <row r="170" spans="2:14" ht="18.75" x14ac:dyDescent="0.3">
      <c r="B170" s="34">
        <v>7</v>
      </c>
      <c r="C170" s="9" t="s">
        <v>167</v>
      </c>
      <c r="D170" s="12">
        <v>150000</v>
      </c>
      <c r="E170" s="12">
        <v>19995</v>
      </c>
      <c r="F170" s="12">
        <v>169995</v>
      </c>
      <c r="G170" s="14">
        <v>50</v>
      </c>
      <c r="H170" s="12">
        <v>3399.9</v>
      </c>
      <c r="I170" s="14">
        <v>27</v>
      </c>
      <c r="J170" s="35">
        <f t="shared" si="33"/>
        <v>23</v>
      </c>
      <c r="K170" s="36">
        <f t="shared" si="34"/>
        <v>91797.3</v>
      </c>
      <c r="L170" s="32">
        <f t="shared" si="35"/>
        <v>78197.7</v>
      </c>
      <c r="M170" s="49"/>
      <c r="N170"/>
    </row>
    <row r="171" spans="2:14" ht="18.75" x14ac:dyDescent="0.3">
      <c r="B171" s="34">
        <v>8</v>
      </c>
      <c r="C171" s="9" t="s">
        <v>186</v>
      </c>
      <c r="D171" s="12">
        <v>150000</v>
      </c>
      <c r="E171" s="12">
        <v>19995</v>
      </c>
      <c r="F171" s="12">
        <v>169995</v>
      </c>
      <c r="G171" s="14">
        <v>50</v>
      </c>
      <c r="H171" s="12">
        <v>3399.9</v>
      </c>
      <c r="I171" s="14">
        <v>27</v>
      </c>
      <c r="J171" s="35">
        <f t="shared" si="33"/>
        <v>23</v>
      </c>
      <c r="K171" s="36">
        <f t="shared" si="34"/>
        <v>91797.3</v>
      </c>
      <c r="L171" s="32">
        <f t="shared" si="35"/>
        <v>78197.7</v>
      </c>
      <c r="M171" s="49"/>
      <c r="N171"/>
    </row>
    <row r="172" spans="2:14" ht="18.75" x14ac:dyDescent="0.3">
      <c r="B172" s="34">
        <v>9</v>
      </c>
      <c r="C172" s="9" t="s">
        <v>188</v>
      </c>
      <c r="D172" s="12">
        <v>150000</v>
      </c>
      <c r="E172" s="12">
        <v>19995</v>
      </c>
      <c r="F172" s="12">
        <v>169995</v>
      </c>
      <c r="G172" s="14">
        <v>50</v>
      </c>
      <c r="H172" s="12">
        <v>3399.9</v>
      </c>
      <c r="I172" s="14">
        <v>27</v>
      </c>
      <c r="J172" s="35">
        <f t="shared" si="33"/>
        <v>23</v>
      </c>
      <c r="K172" s="36">
        <f t="shared" si="34"/>
        <v>91797.3</v>
      </c>
      <c r="L172" s="32">
        <f t="shared" si="35"/>
        <v>78197.7</v>
      </c>
      <c r="M172" s="42"/>
      <c r="N172"/>
    </row>
    <row r="173" spans="2:14" ht="18.75" x14ac:dyDescent="0.3">
      <c r="B173" s="34">
        <v>10</v>
      </c>
      <c r="C173" s="9" t="s">
        <v>166</v>
      </c>
      <c r="D173" s="12">
        <v>150000</v>
      </c>
      <c r="E173" s="12">
        <v>19995</v>
      </c>
      <c r="F173" s="12">
        <v>169995</v>
      </c>
      <c r="G173" s="14">
        <v>50</v>
      </c>
      <c r="H173" s="12">
        <v>3399.9</v>
      </c>
      <c r="I173" s="14">
        <v>27</v>
      </c>
      <c r="J173" s="35">
        <f t="shared" si="33"/>
        <v>23</v>
      </c>
      <c r="K173" s="36">
        <f t="shared" si="34"/>
        <v>91797.3</v>
      </c>
      <c r="L173" s="32">
        <f t="shared" si="35"/>
        <v>78197.7</v>
      </c>
      <c r="M173" s="42"/>
      <c r="N173"/>
    </row>
    <row r="174" spans="2:14" ht="18.75" x14ac:dyDescent="0.3">
      <c r="B174" s="34">
        <v>11</v>
      </c>
      <c r="C174" s="9" t="s">
        <v>57</v>
      </c>
      <c r="D174" s="12">
        <v>450000</v>
      </c>
      <c r="E174" s="12">
        <v>59985</v>
      </c>
      <c r="F174" s="12">
        <v>509985</v>
      </c>
      <c r="G174" s="14">
        <v>50</v>
      </c>
      <c r="H174" s="12">
        <v>10199.700000000001</v>
      </c>
      <c r="I174" s="14">
        <v>6</v>
      </c>
      <c r="J174" s="35">
        <f t="shared" si="33"/>
        <v>44</v>
      </c>
      <c r="K174" s="36">
        <f t="shared" si="34"/>
        <v>61198.200000000004</v>
      </c>
      <c r="L174" s="32">
        <f t="shared" si="35"/>
        <v>448786.8</v>
      </c>
      <c r="M174" s="42"/>
      <c r="N174"/>
    </row>
    <row r="175" spans="2:14" ht="18.75" x14ac:dyDescent="0.3">
      <c r="B175" s="34">
        <v>12</v>
      </c>
      <c r="C175" s="29" t="s">
        <v>179</v>
      </c>
      <c r="D175" s="33">
        <v>500000</v>
      </c>
      <c r="E175" s="33">
        <v>66650</v>
      </c>
      <c r="F175" s="32">
        <f t="shared" ref="F175" si="36">D175+E175</f>
        <v>566650</v>
      </c>
      <c r="G175" s="34">
        <v>50</v>
      </c>
      <c r="H175" s="32">
        <v>11333</v>
      </c>
      <c r="I175" s="81">
        <v>2</v>
      </c>
      <c r="J175" s="35">
        <f t="shared" si="33"/>
        <v>48</v>
      </c>
      <c r="K175" s="36">
        <f t="shared" si="34"/>
        <v>22666</v>
      </c>
      <c r="L175" s="32">
        <f t="shared" si="35"/>
        <v>543984</v>
      </c>
      <c r="M175" s="31"/>
      <c r="N175" s="23"/>
    </row>
    <row r="176" spans="2:14" s="75" customFormat="1" ht="18.75" x14ac:dyDescent="0.3">
      <c r="B176" s="71"/>
      <c r="C176" s="30" t="s">
        <v>296</v>
      </c>
      <c r="D176" s="72">
        <f>SUM(D164:D175)</f>
        <v>3460000</v>
      </c>
      <c r="E176" s="72">
        <f t="shared" ref="E176:F176" si="37">SUM(E164:E175)</f>
        <v>461218</v>
      </c>
      <c r="F176" s="72">
        <f t="shared" si="37"/>
        <v>3921218</v>
      </c>
      <c r="G176" s="71"/>
      <c r="H176" s="72">
        <f>SUM(H164:H175)</f>
        <v>78424.360000000015</v>
      </c>
      <c r="I176" s="73"/>
      <c r="J176" s="74"/>
      <c r="K176" s="72">
        <f t="shared" ref="K176:L176" si="38">SUM(K164:K175)</f>
        <v>1805573.5600000003</v>
      </c>
      <c r="L176" s="72">
        <f t="shared" si="38"/>
        <v>2115644.4399999995</v>
      </c>
      <c r="M176" s="53"/>
    </row>
    <row r="177" spans="1:14" ht="18.75" x14ac:dyDescent="0.3">
      <c r="B177" s="41"/>
      <c r="C177" s="56"/>
      <c r="D177" s="44"/>
      <c r="E177" s="44"/>
      <c r="F177" s="43"/>
      <c r="G177" s="41"/>
      <c r="H177" s="43"/>
      <c r="I177" s="46"/>
      <c r="J177" s="47"/>
      <c r="K177" s="45"/>
      <c r="L177" s="45"/>
      <c r="M177" s="42"/>
      <c r="N177" s="23"/>
    </row>
    <row r="178" spans="1:14" ht="18.75" x14ac:dyDescent="0.3">
      <c r="B178" s="41"/>
      <c r="C178" s="29"/>
      <c r="D178" s="33"/>
      <c r="E178" s="33"/>
      <c r="F178" s="32"/>
      <c r="G178" s="34"/>
      <c r="H178" s="32"/>
      <c r="I178" s="50"/>
      <c r="J178" s="35"/>
      <c r="K178" s="36"/>
      <c r="L178" s="36"/>
      <c r="M178" s="31"/>
      <c r="N178"/>
    </row>
    <row r="179" spans="1:14" ht="18.75" x14ac:dyDescent="0.3">
      <c r="B179" s="7">
        <f>B175+B160</f>
        <v>167</v>
      </c>
      <c r="C179" s="30" t="s">
        <v>38</v>
      </c>
      <c r="D179" s="17">
        <f>D176+D161</f>
        <v>49560000</v>
      </c>
      <c r="E179" s="17">
        <f t="shared" ref="E179:F179" si="39">E176+E161</f>
        <v>6571689.9199999999</v>
      </c>
      <c r="F179" s="17">
        <f t="shared" si="39"/>
        <v>56131689.920000002</v>
      </c>
      <c r="G179" s="17"/>
      <c r="H179" s="17">
        <f>H176+H161</f>
        <v>1160421.5400000024</v>
      </c>
      <c r="I179" s="17"/>
      <c r="J179" s="17"/>
      <c r="K179" s="17">
        <f t="shared" ref="K179:L179" si="40">K176+K161</f>
        <v>24693117.109999999</v>
      </c>
      <c r="L179" s="17">
        <f t="shared" si="40"/>
        <v>31526970.210000008</v>
      </c>
      <c r="M179" s="9"/>
      <c r="N179"/>
    </row>
    <row r="180" spans="1:14" ht="18.75" x14ac:dyDescent="0.3">
      <c r="B180" s="7"/>
      <c r="C180" s="30"/>
      <c r="D180" s="17"/>
      <c r="E180" s="17"/>
      <c r="F180" s="17"/>
      <c r="G180" s="17"/>
      <c r="H180" s="17"/>
      <c r="I180" s="17"/>
      <c r="J180" s="17"/>
      <c r="K180" s="17"/>
      <c r="L180" s="17"/>
      <c r="M180" s="9"/>
      <c r="N180"/>
    </row>
    <row r="181" spans="1:14" ht="18.75" x14ac:dyDescent="0.3">
      <c r="B181" s="7"/>
      <c r="C181" s="30"/>
      <c r="D181" s="17"/>
      <c r="E181" s="17"/>
      <c r="F181" s="17"/>
      <c r="G181" s="17"/>
      <c r="H181" s="17"/>
      <c r="I181" s="17"/>
      <c r="J181" s="17"/>
      <c r="K181" s="17"/>
      <c r="L181" s="17"/>
      <c r="M181" s="9"/>
      <c r="N181"/>
    </row>
    <row r="182" spans="1:14" ht="18.75" x14ac:dyDescent="0.3">
      <c r="B182" s="1"/>
      <c r="C182" s="8" t="s">
        <v>280</v>
      </c>
      <c r="D182" s="12"/>
      <c r="E182" s="12"/>
      <c r="F182" s="12"/>
      <c r="G182" s="12"/>
      <c r="H182" s="12"/>
      <c r="I182" s="12"/>
      <c r="J182" s="12"/>
      <c r="K182" s="12"/>
      <c r="L182" s="12"/>
      <c r="M182" s="1"/>
      <c r="N182"/>
    </row>
    <row r="183" spans="1:14" ht="35.25" customHeight="1" x14ac:dyDescent="0.3">
      <c r="B183" s="7" t="s">
        <v>2</v>
      </c>
      <c r="C183" s="7" t="s">
        <v>0</v>
      </c>
      <c r="D183" s="8" t="s">
        <v>3</v>
      </c>
      <c r="E183" s="8" t="s">
        <v>4</v>
      </c>
      <c r="F183" s="8" t="s">
        <v>1</v>
      </c>
      <c r="G183" s="10" t="s">
        <v>11</v>
      </c>
      <c r="H183" s="10" t="s">
        <v>10</v>
      </c>
      <c r="I183" s="11" t="s">
        <v>5</v>
      </c>
      <c r="J183" s="11" t="s">
        <v>6</v>
      </c>
      <c r="K183" s="10" t="s">
        <v>7</v>
      </c>
      <c r="L183" s="10" t="s">
        <v>8</v>
      </c>
      <c r="M183" s="10" t="s">
        <v>9</v>
      </c>
      <c r="N183"/>
    </row>
    <row r="184" spans="1:14" ht="18.75" x14ac:dyDescent="0.3">
      <c r="B184" s="88">
        <v>1</v>
      </c>
      <c r="C184" s="66" t="s">
        <v>281</v>
      </c>
      <c r="D184" s="33">
        <v>450000</v>
      </c>
      <c r="E184" s="33">
        <v>59985</v>
      </c>
      <c r="F184" s="32">
        <f>D184+E184</f>
        <v>509985</v>
      </c>
      <c r="G184" s="34">
        <v>50</v>
      </c>
      <c r="H184" s="87">
        <v>10199.700000000001</v>
      </c>
      <c r="I184" s="9">
        <v>48</v>
      </c>
      <c r="J184" s="9">
        <f>G184-I184</f>
        <v>2</v>
      </c>
      <c r="K184" s="92">
        <f>H184*I184</f>
        <v>489585.60000000003</v>
      </c>
      <c r="L184" s="32">
        <f t="shared" ref="L184:L185" si="41">F184-K184</f>
        <v>20399.399999999965</v>
      </c>
      <c r="M184" s="9"/>
      <c r="N184"/>
    </row>
    <row r="185" spans="1:14" ht="18.75" x14ac:dyDescent="0.3">
      <c r="B185" s="88">
        <v>2</v>
      </c>
      <c r="C185" s="66" t="s">
        <v>295</v>
      </c>
      <c r="D185" s="12">
        <v>150000</v>
      </c>
      <c r="E185" s="12">
        <v>19995</v>
      </c>
      <c r="F185" s="12">
        <v>169995</v>
      </c>
      <c r="G185" s="14">
        <v>50</v>
      </c>
      <c r="H185" s="90">
        <v>3399.9</v>
      </c>
      <c r="I185" s="9">
        <v>32</v>
      </c>
      <c r="J185" s="9">
        <f>G185-I185</f>
        <v>18</v>
      </c>
      <c r="K185" s="92">
        <f>H185*I185</f>
        <v>108796.8</v>
      </c>
      <c r="L185" s="32">
        <f t="shared" si="41"/>
        <v>61198.2</v>
      </c>
      <c r="M185" s="89"/>
      <c r="N185"/>
    </row>
    <row r="186" spans="1:14" ht="18.75" x14ac:dyDescent="0.3">
      <c r="B186" s="7"/>
      <c r="C186" s="30" t="s">
        <v>38</v>
      </c>
      <c r="D186" s="17">
        <f>SUM(D184:D185)</f>
        <v>600000</v>
      </c>
      <c r="E186" s="17">
        <f t="shared" ref="E186:F186" si="42">SUM(E184:E185)</f>
        <v>79980</v>
      </c>
      <c r="F186" s="17">
        <f t="shared" si="42"/>
        <v>679980</v>
      </c>
      <c r="G186" s="17"/>
      <c r="H186" s="17">
        <f>SUM(H184:H185)</f>
        <v>13599.6</v>
      </c>
      <c r="I186" s="17"/>
      <c r="J186" s="17"/>
      <c r="K186" s="17">
        <f t="shared" ref="K186:L186" si="43">SUM(K184:K185)</f>
        <v>598382.4</v>
      </c>
      <c r="L186" s="17">
        <f t="shared" si="43"/>
        <v>81597.599999999962</v>
      </c>
      <c r="M186" s="9"/>
      <c r="N186"/>
    </row>
    <row r="187" spans="1:14" ht="18.75" x14ac:dyDescent="0.3">
      <c r="B187" s="7"/>
      <c r="C187" s="30"/>
      <c r="D187" s="17"/>
      <c r="E187" s="17"/>
      <c r="F187" s="17"/>
      <c r="G187" s="17"/>
      <c r="H187" s="17"/>
      <c r="I187" s="17"/>
      <c r="J187" s="17"/>
      <c r="K187" s="17"/>
      <c r="L187" s="17"/>
      <c r="M187" s="9"/>
      <c r="N187"/>
    </row>
    <row r="188" spans="1:14" ht="18.75" x14ac:dyDescent="0.3">
      <c r="B188" s="7"/>
      <c r="C188" s="30" t="s">
        <v>279</v>
      </c>
      <c r="D188" s="17">
        <f>D186+D179</f>
        <v>50160000</v>
      </c>
      <c r="E188" s="17">
        <f t="shared" ref="E188:F188" si="44">E186+E179</f>
        <v>6651669.9199999999</v>
      </c>
      <c r="F188" s="17">
        <f t="shared" si="44"/>
        <v>56811669.920000002</v>
      </c>
      <c r="G188" s="17"/>
      <c r="H188" s="17">
        <f>H186+H179</f>
        <v>1174021.1400000025</v>
      </c>
      <c r="I188" s="17"/>
      <c r="J188" s="17"/>
      <c r="K188" s="17">
        <f t="shared" ref="K188:L188" si="45">K186+K179</f>
        <v>25291499.509999998</v>
      </c>
      <c r="L188" s="17">
        <f t="shared" si="45"/>
        <v>31608567.81000001</v>
      </c>
      <c r="M188" s="9"/>
      <c r="N188"/>
    </row>
    <row r="189" spans="1:14" ht="18.75" x14ac:dyDescent="0.3">
      <c r="B189" s="7"/>
      <c r="C189" s="30"/>
      <c r="D189" s="17"/>
      <c r="E189" s="17"/>
      <c r="F189" s="17"/>
      <c r="G189" s="17"/>
      <c r="H189" s="17"/>
      <c r="I189" s="17"/>
      <c r="J189" s="17"/>
      <c r="K189" s="17"/>
      <c r="L189" s="17"/>
      <c r="M189" s="9"/>
      <c r="N189"/>
    </row>
    <row r="190" spans="1:14" ht="18.75" x14ac:dyDescent="0.3">
      <c r="B190" s="108"/>
      <c r="C190" s="8" t="s">
        <v>227</v>
      </c>
      <c r="D190" s="108"/>
      <c r="E190" s="108"/>
      <c r="F190" s="108"/>
      <c r="G190" s="108"/>
      <c r="H190" s="108"/>
      <c r="I190" s="108"/>
      <c r="J190" s="108"/>
      <c r="K190" s="108"/>
      <c r="L190" s="108"/>
      <c r="M190" s="108"/>
    </row>
    <row r="191" spans="1:14" ht="18.75" x14ac:dyDescent="0.3">
      <c r="A191" s="20"/>
      <c r="B191" s="34">
        <v>1</v>
      </c>
      <c r="C191" s="50" t="s">
        <v>20</v>
      </c>
      <c r="D191" s="33">
        <v>500000</v>
      </c>
      <c r="E191" s="33">
        <v>66650</v>
      </c>
      <c r="F191" s="32">
        <f>D191+E191</f>
        <v>566650</v>
      </c>
      <c r="G191" s="34">
        <v>50</v>
      </c>
      <c r="H191" s="32">
        <v>11333</v>
      </c>
      <c r="I191" s="50">
        <v>42</v>
      </c>
      <c r="J191" s="35">
        <f>G191-I191</f>
        <v>8</v>
      </c>
      <c r="K191" s="36">
        <f>I191*H191</f>
        <v>475986</v>
      </c>
      <c r="L191" s="36">
        <f>F191-K191</f>
        <v>90664</v>
      </c>
      <c r="M191" s="53" t="s">
        <v>234</v>
      </c>
      <c r="N191"/>
    </row>
    <row r="192" spans="1:14" x14ac:dyDescent="0.25">
      <c r="B192" s="108"/>
      <c r="C192" s="108"/>
      <c r="D192" s="108"/>
      <c r="E192" s="108"/>
      <c r="F192" s="108"/>
      <c r="G192" s="108"/>
      <c r="H192" s="108"/>
      <c r="I192" s="108"/>
      <c r="J192" s="108"/>
      <c r="K192" s="108"/>
      <c r="L192" s="108"/>
      <c r="M192" s="108"/>
    </row>
    <row r="196" spans="8:8" x14ac:dyDescent="0.25">
      <c r="H196" s="68"/>
    </row>
    <row r="198" spans="8:8" x14ac:dyDescent="0.25">
      <c r="H198" s="67"/>
    </row>
  </sheetData>
  <pageMargins left="0.7" right="0.7" top="0.75" bottom="0.75" header="0.3" footer="0.3"/>
  <pageSetup paperSize="5" scale="55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199"/>
  <sheetViews>
    <sheetView topLeftCell="H1" zoomScaleNormal="100" workbookViewId="0">
      <selection activeCell="B2" sqref="B2:N196"/>
    </sheetView>
  </sheetViews>
  <sheetFormatPr defaultRowHeight="15" x14ac:dyDescent="0.25"/>
  <cols>
    <col min="3" max="3" width="45.7109375" customWidth="1"/>
    <col min="4" max="4" width="19.7109375" bestFit="1" customWidth="1"/>
    <col min="5" max="5" width="18.28515625" bestFit="1" customWidth="1"/>
    <col min="6" max="6" width="19.7109375" bestFit="1" customWidth="1"/>
    <col min="7" max="7" width="12.28515625" customWidth="1"/>
    <col min="8" max="8" width="18.28515625" bestFit="1" customWidth="1"/>
    <col min="9" max="9" width="16.140625" customWidth="1"/>
    <col min="10" max="10" width="17.28515625" customWidth="1"/>
    <col min="11" max="12" width="19.7109375" bestFit="1" customWidth="1"/>
    <col min="13" max="13" width="22.5703125" customWidth="1"/>
  </cols>
  <sheetData>
    <row r="2" spans="1:14" ht="21" x14ac:dyDescent="0.35">
      <c r="B2" s="98"/>
      <c r="C2" s="99" t="s">
        <v>12</v>
      </c>
      <c r="D2" s="98"/>
      <c r="E2" s="99"/>
      <c r="F2" s="99"/>
      <c r="G2" s="98"/>
      <c r="H2" s="9"/>
      <c r="I2" s="9"/>
      <c r="J2" s="9"/>
      <c r="K2" s="9"/>
      <c r="L2" s="9"/>
      <c r="M2" s="9"/>
      <c r="N2" s="1"/>
    </row>
    <row r="3" spans="1:14" ht="21" x14ac:dyDescent="0.35">
      <c r="B3" s="98"/>
      <c r="C3" s="99" t="s">
        <v>268</v>
      </c>
      <c r="D3" s="98"/>
      <c r="E3" s="99"/>
      <c r="F3" s="99"/>
      <c r="G3" s="99"/>
      <c r="H3" s="9"/>
      <c r="I3" s="9"/>
      <c r="J3" s="9"/>
      <c r="K3" s="9"/>
      <c r="L3" s="9"/>
      <c r="M3" s="9"/>
      <c r="N3" s="1"/>
    </row>
    <row r="4" spans="1:14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1"/>
    </row>
    <row r="5" spans="1:14" ht="37.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  <c r="N5" s="1"/>
    </row>
    <row r="6" spans="1:14" ht="18.75" x14ac:dyDescent="0.3">
      <c r="A6" s="18"/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3" si="0">D6+E6</f>
        <v>566650</v>
      </c>
      <c r="G6" s="34">
        <v>50</v>
      </c>
      <c r="H6" s="32">
        <v>11333</v>
      </c>
      <c r="I6" s="31">
        <v>33</v>
      </c>
      <c r="J6" s="35">
        <f t="shared" ref="J6:J37" si="1">G6-I6</f>
        <v>17</v>
      </c>
      <c r="K6" s="33">
        <f t="shared" ref="K6:K13" si="2">H6*I6</f>
        <v>373989</v>
      </c>
      <c r="L6" s="36">
        <f t="shared" ref="L6:L37" si="3">F6-K6</f>
        <v>192661</v>
      </c>
      <c r="M6" s="31"/>
      <c r="N6" s="1"/>
    </row>
    <row r="7" spans="1:14" ht="18.75" x14ac:dyDescent="0.3">
      <c r="A7" s="18"/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33</v>
      </c>
      <c r="J7" s="35">
        <f t="shared" si="1"/>
        <v>17</v>
      </c>
      <c r="K7" s="33">
        <f t="shared" si="2"/>
        <v>373989</v>
      </c>
      <c r="L7" s="36">
        <f t="shared" si="3"/>
        <v>192661</v>
      </c>
      <c r="M7" s="31"/>
      <c r="N7" s="1"/>
    </row>
    <row r="8" spans="1:14" ht="18.75" x14ac:dyDescent="0.3">
      <c r="A8" s="18"/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48</v>
      </c>
      <c r="J8" s="35">
        <f t="shared" si="1"/>
        <v>2</v>
      </c>
      <c r="K8" s="36">
        <f t="shared" si="2"/>
        <v>543984</v>
      </c>
      <c r="L8" s="32">
        <f t="shared" si="3"/>
        <v>22666</v>
      </c>
      <c r="M8" s="31"/>
      <c r="N8" s="1"/>
    </row>
    <row r="9" spans="1:14" ht="18.75" x14ac:dyDescent="0.3">
      <c r="A9" s="18"/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48</v>
      </c>
      <c r="J9" s="35">
        <f t="shared" si="1"/>
        <v>2</v>
      </c>
      <c r="K9" s="36">
        <f t="shared" si="2"/>
        <v>543984</v>
      </c>
      <c r="L9" s="32">
        <f t="shared" si="3"/>
        <v>22666</v>
      </c>
      <c r="M9" s="31"/>
      <c r="N9" s="1"/>
    </row>
    <row r="10" spans="1:14" ht="18.75" x14ac:dyDescent="0.3">
      <c r="A10" s="18"/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48</v>
      </c>
      <c r="J10" s="35">
        <f t="shared" si="1"/>
        <v>2</v>
      </c>
      <c r="K10" s="36">
        <f t="shared" si="2"/>
        <v>543984</v>
      </c>
      <c r="L10" s="32">
        <f t="shared" si="3"/>
        <v>22666</v>
      </c>
      <c r="M10" s="31"/>
      <c r="N10" s="1"/>
    </row>
    <row r="11" spans="1:14" ht="18.75" x14ac:dyDescent="0.3">
      <c r="A11" s="18"/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33</v>
      </c>
      <c r="J11" s="35">
        <f t="shared" si="1"/>
        <v>17</v>
      </c>
      <c r="K11" s="36">
        <f t="shared" si="2"/>
        <v>373989</v>
      </c>
      <c r="L11" s="36">
        <f t="shared" si="3"/>
        <v>192661</v>
      </c>
      <c r="M11" s="31"/>
      <c r="N11" s="1"/>
    </row>
    <row r="12" spans="1:14" ht="18.75" x14ac:dyDescent="0.3">
      <c r="A12" s="18"/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32</v>
      </c>
      <c r="J12" s="35">
        <f t="shared" si="1"/>
        <v>18</v>
      </c>
      <c r="K12" s="36">
        <f t="shared" si="2"/>
        <v>362656</v>
      </c>
      <c r="L12" s="36">
        <f t="shared" si="3"/>
        <v>203994</v>
      </c>
      <c r="M12" s="31"/>
      <c r="N12" s="1"/>
    </row>
    <row r="13" spans="1:14" ht="18.75" x14ac:dyDescent="0.3">
      <c r="A13" s="18"/>
      <c r="B13" s="34">
        <v>8</v>
      </c>
      <c r="C13" s="31" t="s">
        <v>123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33</v>
      </c>
      <c r="J13" s="35">
        <f t="shared" si="1"/>
        <v>17</v>
      </c>
      <c r="K13" s="36">
        <f t="shared" si="2"/>
        <v>373989</v>
      </c>
      <c r="L13" s="36">
        <f t="shared" si="3"/>
        <v>192661</v>
      </c>
      <c r="M13" s="31"/>
      <c r="N13" s="1"/>
    </row>
    <row r="14" spans="1:14" ht="18.75" x14ac:dyDescent="0.3">
      <c r="A14" s="18"/>
      <c r="B14" s="34">
        <v>9</v>
      </c>
      <c r="C14" s="31" t="s">
        <v>144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28</v>
      </c>
      <c r="J14" s="35">
        <f t="shared" si="1"/>
        <v>22</v>
      </c>
      <c r="K14" s="36">
        <f t="shared" ref="K14:K22" si="4">I14*H14</f>
        <v>317324</v>
      </c>
      <c r="L14" s="36">
        <f t="shared" si="3"/>
        <v>249326</v>
      </c>
      <c r="M14" s="31"/>
      <c r="N14" s="1"/>
    </row>
    <row r="15" spans="1:14" ht="18.75" x14ac:dyDescent="0.3">
      <c r="A15" s="18"/>
      <c r="B15" s="34">
        <v>10</v>
      </c>
      <c r="C15" s="31" t="s">
        <v>145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28</v>
      </c>
      <c r="J15" s="35">
        <f t="shared" si="1"/>
        <v>22</v>
      </c>
      <c r="K15" s="36">
        <f t="shared" si="4"/>
        <v>317324</v>
      </c>
      <c r="L15" s="36">
        <f t="shared" si="3"/>
        <v>249326</v>
      </c>
      <c r="M15" s="31"/>
      <c r="N15" s="1"/>
    </row>
    <row r="16" spans="1:14" ht="18.75" x14ac:dyDescent="0.3">
      <c r="A16" s="18"/>
      <c r="B16" s="34">
        <v>11</v>
      </c>
      <c r="C16" s="50" t="s">
        <v>154</v>
      </c>
      <c r="D16" s="33">
        <v>500000</v>
      </c>
      <c r="E16" s="33">
        <v>31991.919999999998</v>
      </c>
      <c r="F16" s="32">
        <f t="shared" si="0"/>
        <v>531991.92000000004</v>
      </c>
      <c r="G16" s="34">
        <v>24</v>
      </c>
      <c r="H16" s="32">
        <v>22166.33</v>
      </c>
      <c r="I16" s="50">
        <v>22</v>
      </c>
      <c r="J16" s="35">
        <f t="shared" si="1"/>
        <v>2</v>
      </c>
      <c r="K16" s="36">
        <f t="shared" si="4"/>
        <v>487659.26</v>
      </c>
      <c r="L16" s="36">
        <f t="shared" si="3"/>
        <v>44332.660000000033</v>
      </c>
      <c r="M16" s="31"/>
      <c r="N16" s="1"/>
    </row>
    <row r="17" spans="1:14" ht="18.75" x14ac:dyDescent="0.3">
      <c r="A17" s="18"/>
      <c r="B17" s="34">
        <v>12</v>
      </c>
      <c r="C17" s="50" t="s">
        <v>208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50">
        <v>19</v>
      </c>
      <c r="J17" s="35">
        <f t="shared" si="1"/>
        <v>31</v>
      </c>
      <c r="K17" s="36">
        <f t="shared" si="4"/>
        <v>215327</v>
      </c>
      <c r="L17" s="36">
        <f t="shared" si="3"/>
        <v>351323</v>
      </c>
      <c r="M17" s="31"/>
      <c r="N17" s="1"/>
    </row>
    <row r="18" spans="1:14" ht="18.75" x14ac:dyDescent="0.3">
      <c r="A18" s="18"/>
      <c r="B18" s="34">
        <v>13</v>
      </c>
      <c r="C18" s="50" t="s">
        <v>14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17</v>
      </c>
      <c r="J18" s="35">
        <f t="shared" si="1"/>
        <v>33</v>
      </c>
      <c r="K18" s="36">
        <f t="shared" si="4"/>
        <v>192661</v>
      </c>
      <c r="L18" s="36">
        <f t="shared" si="3"/>
        <v>373989</v>
      </c>
      <c r="M18" s="31"/>
      <c r="N18" s="1"/>
    </row>
    <row r="19" spans="1:14" ht="18.75" x14ac:dyDescent="0.3">
      <c r="A19" s="18"/>
      <c r="B19" s="34">
        <v>14</v>
      </c>
      <c r="C19" s="50" t="s">
        <v>15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17</v>
      </c>
      <c r="J19" s="35">
        <f t="shared" si="1"/>
        <v>33</v>
      </c>
      <c r="K19" s="36">
        <f t="shared" si="4"/>
        <v>192661</v>
      </c>
      <c r="L19" s="36">
        <f t="shared" si="3"/>
        <v>373989</v>
      </c>
      <c r="M19" s="31"/>
      <c r="N19" s="1"/>
    </row>
    <row r="20" spans="1:14" ht="18.75" x14ac:dyDescent="0.3">
      <c r="A20" s="18"/>
      <c r="B20" s="34">
        <v>15</v>
      </c>
      <c r="C20" s="50" t="s">
        <v>16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17</v>
      </c>
      <c r="J20" s="35">
        <f t="shared" si="1"/>
        <v>33</v>
      </c>
      <c r="K20" s="36">
        <f t="shared" si="4"/>
        <v>192661</v>
      </c>
      <c r="L20" s="36">
        <f t="shared" si="3"/>
        <v>373989</v>
      </c>
      <c r="M20" s="31"/>
      <c r="N20" s="1"/>
    </row>
    <row r="21" spans="1:14" ht="18.75" x14ac:dyDescent="0.3">
      <c r="A21" s="18"/>
      <c r="B21" s="34">
        <v>16</v>
      </c>
      <c r="C21" s="50" t="s">
        <v>232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14</v>
      </c>
      <c r="J21" s="35">
        <f t="shared" si="1"/>
        <v>36</v>
      </c>
      <c r="K21" s="36">
        <f t="shared" si="4"/>
        <v>158662</v>
      </c>
      <c r="L21" s="36">
        <f t="shared" si="3"/>
        <v>407988</v>
      </c>
      <c r="M21" s="31"/>
      <c r="N21" s="1"/>
    </row>
    <row r="22" spans="1:14" ht="18.75" x14ac:dyDescent="0.3">
      <c r="A22" s="18"/>
      <c r="B22" s="34">
        <v>17</v>
      </c>
      <c r="C22" s="50" t="s">
        <v>214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14</v>
      </c>
      <c r="J22" s="35">
        <f t="shared" si="1"/>
        <v>36</v>
      </c>
      <c r="K22" s="36">
        <f t="shared" si="4"/>
        <v>158662</v>
      </c>
      <c r="L22" s="36">
        <f t="shared" si="3"/>
        <v>407988</v>
      </c>
      <c r="M22" s="31"/>
      <c r="N22" s="1"/>
    </row>
    <row r="23" spans="1:14" ht="18.75" x14ac:dyDescent="0.3">
      <c r="A23" s="18"/>
      <c r="B23" s="34">
        <v>18</v>
      </c>
      <c r="C23" s="31" t="s">
        <v>219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31">
        <v>46</v>
      </c>
      <c r="J23" s="35">
        <f t="shared" si="1"/>
        <v>4</v>
      </c>
      <c r="K23" s="36">
        <f>H23*I23</f>
        <v>521318</v>
      </c>
      <c r="L23" s="32">
        <f t="shared" si="3"/>
        <v>45332</v>
      </c>
      <c r="M23" s="31"/>
      <c r="N23" s="1"/>
    </row>
    <row r="24" spans="1:14" ht="18.75" x14ac:dyDescent="0.3">
      <c r="A24" s="18"/>
      <c r="B24" s="34">
        <v>19</v>
      </c>
      <c r="C24" s="50" t="s">
        <v>31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11</v>
      </c>
      <c r="J24" s="35">
        <f t="shared" si="1"/>
        <v>39</v>
      </c>
      <c r="K24" s="36">
        <f t="shared" ref="K24:K36" si="5">I24*H24</f>
        <v>124663</v>
      </c>
      <c r="L24" s="36">
        <f t="shared" si="3"/>
        <v>441987</v>
      </c>
      <c r="M24" s="31"/>
      <c r="N24" s="1"/>
    </row>
    <row r="25" spans="1:14" ht="18.75" x14ac:dyDescent="0.3">
      <c r="A25" s="18"/>
      <c r="B25" s="34">
        <v>20</v>
      </c>
      <c r="C25" s="29" t="s">
        <v>170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33</v>
      </c>
      <c r="J25" s="35">
        <f t="shared" si="1"/>
        <v>17</v>
      </c>
      <c r="K25" s="36">
        <f t="shared" si="5"/>
        <v>373989</v>
      </c>
      <c r="L25" s="36">
        <f t="shared" si="3"/>
        <v>192661</v>
      </c>
      <c r="M25" s="31"/>
      <c r="N25" s="1"/>
    </row>
    <row r="26" spans="1:14" ht="18.75" x14ac:dyDescent="0.3">
      <c r="A26" s="18"/>
      <c r="B26" s="34">
        <v>21</v>
      </c>
      <c r="C26" s="29" t="s">
        <v>172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29</v>
      </c>
      <c r="J26" s="35">
        <f t="shared" si="1"/>
        <v>21</v>
      </c>
      <c r="K26" s="36">
        <f t="shared" si="5"/>
        <v>328657</v>
      </c>
      <c r="L26" s="36">
        <f t="shared" si="3"/>
        <v>237993</v>
      </c>
      <c r="M26" s="31"/>
      <c r="N26" s="1"/>
    </row>
    <row r="27" spans="1:14" ht="18.75" x14ac:dyDescent="0.3">
      <c r="A27" s="18"/>
      <c r="B27" s="34">
        <v>22</v>
      </c>
      <c r="C27" s="29" t="s">
        <v>46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9</v>
      </c>
      <c r="J27" s="35">
        <f t="shared" si="1"/>
        <v>41</v>
      </c>
      <c r="K27" s="36">
        <f t="shared" si="5"/>
        <v>101997</v>
      </c>
      <c r="L27" s="36">
        <f t="shared" si="3"/>
        <v>464653</v>
      </c>
      <c r="M27" s="31"/>
      <c r="N27" s="1"/>
    </row>
    <row r="28" spans="1:14" ht="18.75" x14ac:dyDescent="0.3">
      <c r="A28" s="18"/>
      <c r="B28" s="34">
        <v>23</v>
      </c>
      <c r="C28" s="29" t="s">
        <v>45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9</v>
      </c>
      <c r="J28" s="35">
        <f t="shared" si="1"/>
        <v>41</v>
      </c>
      <c r="K28" s="36">
        <f t="shared" si="5"/>
        <v>101997</v>
      </c>
      <c r="L28" s="36">
        <f t="shared" si="3"/>
        <v>464653</v>
      </c>
      <c r="M28" s="31"/>
      <c r="N28" s="1"/>
    </row>
    <row r="29" spans="1:14" ht="18.75" x14ac:dyDescent="0.3">
      <c r="A29" s="18"/>
      <c r="B29" s="34">
        <v>24</v>
      </c>
      <c r="C29" s="29" t="s">
        <v>239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9</v>
      </c>
      <c r="J29" s="35">
        <f t="shared" si="1"/>
        <v>41</v>
      </c>
      <c r="K29" s="36">
        <f t="shared" si="5"/>
        <v>101997</v>
      </c>
      <c r="L29" s="36">
        <f t="shared" si="3"/>
        <v>464653</v>
      </c>
      <c r="M29" s="31"/>
      <c r="N29" s="1"/>
    </row>
    <row r="30" spans="1:14" ht="18.75" x14ac:dyDescent="0.3">
      <c r="A30" s="18"/>
      <c r="B30" s="34">
        <v>25</v>
      </c>
      <c r="C30" s="29" t="s">
        <v>44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8</v>
      </c>
      <c r="J30" s="35">
        <f t="shared" si="1"/>
        <v>42</v>
      </c>
      <c r="K30" s="36">
        <f t="shared" si="5"/>
        <v>90664</v>
      </c>
      <c r="L30" s="36">
        <f t="shared" si="3"/>
        <v>475986</v>
      </c>
      <c r="M30" s="31"/>
      <c r="N30" s="1"/>
    </row>
    <row r="31" spans="1:14" ht="18.75" x14ac:dyDescent="0.3">
      <c r="A31" s="18"/>
      <c r="B31" s="34">
        <v>26</v>
      </c>
      <c r="C31" s="29" t="s">
        <v>66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7</v>
      </c>
      <c r="J31" s="35">
        <f t="shared" si="1"/>
        <v>43</v>
      </c>
      <c r="K31" s="36">
        <f t="shared" si="5"/>
        <v>79331</v>
      </c>
      <c r="L31" s="36">
        <f t="shared" si="3"/>
        <v>487319</v>
      </c>
      <c r="M31" s="31"/>
      <c r="N31" s="1"/>
    </row>
    <row r="32" spans="1:14" ht="18.75" x14ac:dyDescent="0.3">
      <c r="A32" s="18"/>
      <c r="B32" s="34">
        <v>27</v>
      </c>
      <c r="C32" s="29" t="s">
        <v>67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7</v>
      </c>
      <c r="J32" s="35">
        <f t="shared" si="1"/>
        <v>43</v>
      </c>
      <c r="K32" s="36">
        <f t="shared" si="5"/>
        <v>79331</v>
      </c>
      <c r="L32" s="36">
        <f t="shared" si="3"/>
        <v>487319</v>
      </c>
      <c r="M32" s="31"/>
      <c r="N32" s="1"/>
    </row>
    <row r="33" spans="1:14" ht="18.75" x14ac:dyDescent="0.3">
      <c r="A33" s="18"/>
      <c r="B33" s="34">
        <v>28</v>
      </c>
      <c r="C33" s="29" t="s">
        <v>68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7</v>
      </c>
      <c r="J33" s="35">
        <f t="shared" si="1"/>
        <v>43</v>
      </c>
      <c r="K33" s="36">
        <f t="shared" si="5"/>
        <v>79331</v>
      </c>
      <c r="L33" s="36">
        <f t="shared" si="3"/>
        <v>487319</v>
      </c>
      <c r="M33" s="31"/>
      <c r="N33" s="1"/>
    </row>
    <row r="34" spans="1:14" ht="18.75" x14ac:dyDescent="0.3">
      <c r="A34" s="18"/>
      <c r="B34" s="34">
        <v>29</v>
      </c>
      <c r="C34" s="29" t="s">
        <v>253</v>
      </c>
      <c r="D34" s="33">
        <v>500000</v>
      </c>
      <c r="E34" s="33">
        <v>66650</v>
      </c>
      <c r="F34" s="32">
        <f t="shared" ref="F34:F35" si="6">D34+E34</f>
        <v>566650</v>
      </c>
      <c r="G34" s="34">
        <v>50</v>
      </c>
      <c r="H34" s="32">
        <v>11333</v>
      </c>
      <c r="I34" s="50">
        <v>4</v>
      </c>
      <c r="J34" s="35">
        <f t="shared" si="1"/>
        <v>46</v>
      </c>
      <c r="K34" s="36">
        <f t="shared" si="5"/>
        <v>45332</v>
      </c>
      <c r="L34" s="36">
        <f t="shared" si="3"/>
        <v>521318</v>
      </c>
      <c r="M34" s="31"/>
      <c r="N34" s="1"/>
    </row>
    <row r="35" spans="1:14" ht="18.75" x14ac:dyDescent="0.3">
      <c r="A35" s="18"/>
      <c r="B35" s="34">
        <v>30</v>
      </c>
      <c r="C35" s="29" t="s">
        <v>254</v>
      </c>
      <c r="D35" s="33">
        <v>500000</v>
      </c>
      <c r="E35" s="33">
        <v>66650</v>
      </c>
      <c r="F35" s="32">
        <f t="shared" si="6"/>
        <v>566650</v>
      </c>
      <c r="G35" s="34">
        <v>50</v>
      </c>
      <c r="H35" s="32">
        <v>11333</v>
      </c>
      <c r="I35" s="50">
        <v>4</v>
      </c>
      <c r="J35" s="35">
        <f t="shared" si="1"/>
        <v>46</v>
      </c>
      <c r="K35" s="36">
        <f t="shared" si="5"/>
        <v>45332</v>
      </c>
      <c r="L35" s="36">
        <f t="shared" si="3"/>
        <v>521318</v>
      </c>
      <c r="M35" s="31"/>
      <c r="N35" s="1"/>
    </row>
    <row r="36" spans="1:14" ht="18.75" x14ac:dyDescent="0.3">
      <c r="A36" s="18"/>
      <c r="B36" s="34">
        <v>31</v>
      </c>
      <c r="C36" s="31" t="s">
        <v>74</v>
      </c>
      <c r="D36" s="33">
        <v>450000</v>
      </c>
      <c r="E36" s="33">
        <v>59985</v>
      </c>
      <c r="F36" s="32">
        <f t="shared" ref="F36:F62" si="7">D36+E36</f>
        <v>509985</v>
      </c>
      <c r="G36" s="34">
        <v>50</v>
      </c>
      <c r="H36" s="32">
        <v>10199.700000000001</v>
      </c>
      <c r="I36" s="31">
        <v>30</v>
      </c>
      <c r="J36" s="35">
        <f t="shared" si="1"/>
        <v>20</v>
      </c>
      <c r="K36" s="32">
        <f t="shared" si="5"/>
        <v>305991</v>
      </c>
      <c r="L36" s="33">
        <f t="shared" si="3"/>
        <v>203994</v>
      </c>
      <c r="M36" s="31"/>
      <c r="N36" s="1"/>
    </row>
    <row r="37" spans="1:14" ht="18.75" x14ac:dyDescent="0.3">
      <c r="A37" s="18"/>
      <c r="B37" s="34">
        <v>32</v>
      </c>
      <c r="C37" s="31" t="s">
        <v>77</v>
      </c>
      <c r="D37" s="33">
        <v>450000</v>
      </c>
      <c r="E37" s="33">
        <v>59985</v>
      </c>
      <c r="F37" s="32">
        <f t="shared" si="7"/>
        <v>509985</v>
      </c>
      <c r="G37" s="34">
        <v>50</v>
      </c>
      <c r="H37" s="32">
        <v>10199.700000000001</v>
      </c>
      <c r="I37" s="52">
        <v>29</v>
      </c>
      <c r="J37" s="35">
        <f t="shared" si="1"/>
        <v>21</v>
      </c>
      <c r="K37" s="32">
        <f t="shared" ref="K37:K43" si="8">H37*I37</f>
        <v>295791.30000000005</v>
      </c>
      <c r="L37" s="33">
        <f t="shared" si="3"/>
        <v>214193.69999999995</v>
      </c>
      <c r="M37" s="31"/>
      <c r="N37" s="1"/>
    </row>
    <row r="38" spans="1:14" ht="18.75" x14ac:dyDescent="0.3">
      <c r="A38" s="18"/>
      <c r="B38" s="34">
        <v>33</v>
      </c>
      <c r="C38" s="31" t="s">
        <v>78</v>
      </c>
      <c r="D38" s="33">
        <v>450000</v>
      </c>
      <c r="E38" s="33">
        <v>59985</v>
      </c>
      <c r="F38" s="32">
        <f t="shared" si="7"/>
        <v>509985</v>
      </c>
      <c r="G38" s="34">
        <v>50</v>
      </c>
      <c r="H38" s="32">
        <v>10199.700000000001</v>
      </c>
      <c r="I38" s="52">
        <v>29</v>
      </c>
      <c r="J38" s="35">
        <f t="shared" ref="J38:J69" si="9">G38-I38</f>
        <v>21</v>
      </c>
      <c r="K38" s="32">
        <f t="shared" si="8"/>
        <v>295791.30000000005</v>
      </c>
      <c r="L38" s="32">
        <f t="shared" ref="L38:L69" si="10">F38-K38</f>
        <v>214193.69999999995</v>
      </c>
      <c r="M38" s="31"/>
      <c r="N38" s="1"/>
    </row>
    <row r="39" spans="1:14" ht="18.75" x14ac:dyDescent="0.3">
      <c r="A39" s="18"/>
      <c r="B39" s="34">
        <v>34</v>
      </c>
      <c r="C39" s="31" t="s">
        <v>82</v>
      </c>
      <c r="D39" s="33">
        <v>450000</v>
      </c>
      <c r="E39" s="33">
        <v>59985</v>
      </c>
      <c r="F39" s="32">
        <f t="shared" si="7"/>
        <v>509985</v>
      </c>
      <c r="G39" s="34">
        <v>50</v>
      </c>
      <c r="H39" s="32">
        <v>10199.700000000001</v>
      </c>
      <c r="I39" s="31">
        <v>33</v>
      </c>
      <c r="J39" s="35">
        <f t="shared" si="9"/>
        <v>17</v>
      </c>
      <c r="K39" s="36">
        <f t="shared" si="8"/>
        <v>336590.10000000003</v>
      </c>
      <c r="L39" s="36">
        <f t="shared" si="10"/>
        <v>173394.89999999997</v>
      </c>
      <c r="M39" s="31"/>
      <c r="N39" s="1"/>
    </row>
    <row r="40" spans="1:14" ht="18.75" x14ac:dyDescent="0.3">
      <c r="A40" s="18"/>
      <c r="B40" s="34">
        <v>35</v>
      </c>
      <c r="C40" s="31" t="s">
        <v>99</v>
      </c>
      <c r="D40" s="33">
        <v>450000</v>
      </c>
      <c r="E40" s="33">
        <v>59985</v>
      </c>
      <c r="F40" s="32">
        <f t="shared" si="7"/>
        <v>509985</v>
      </c>
      <c r="G40" s="34">
        <v>50</v>
      </c>
      <c r="H40" s="36">
        <v>10199.700000000001</v>
      </c>
      <c r="I40" s="31">
        <v>33</v>
      </c>
      <c r="J40" s="35">
        <f t="shared" si="9"/>
        <v>17</v>
      </c>
      <c r="K40" s="36">
        <f t="shared" si="8"/>
        <v>336590.10000000003</v>
      </c>
      <c r="L40" s="36">
        <f t="shared" si="10"/>
        <v>173394.89999999997</v>
      </c>
      <c r="M40" s="31"/>
      <c r="N40" s="1"/>
    </row>
    <row r="41" spans="1:14" ht="18.75" x14ac:dyDescent="0.3">
      <c r="A41" s="18"/>
      <c r="B41" s="34">
        <v>36</v>
      </c>
      <c r="C41" s="31" t="s">
        <v>196</v>
      </c>
      <c r="D41" s="33">
        <v>450000</v>
      </c>
      <c r="E41" s="33">
        <v>59985</v>
      </c>
      <c r="F41" s="32">
        <f t="shared" si="7"/>
        <v>509985</v>
      </c>
      <c r="G41" s="34">
        <v>50</v>
      </c>
      <c r="H41" s="32">
        <v>10199.700000000001</v>
      </c>
      <c r="I41" s="31">
        <v>48</v>
      </c>
      <c r="J41" s="35">
        <f t="shared" si="9"/>
        <v>2</v>
      </c>
      <c r="K41" s="36">
        <f t="shared" si="8"/>
        <v>489585.60000000003</v>
      </c>
      <c r="L41" s="32">
        <f t="shared" si="10"/>
        <v>20399.399999999965</v>
      </c>
      <c r="M41" s="31"/>
      <c r="N41" s="1"/>
    </row>
    <row r="42" spans="1:14" ht="18.75" x14ac:dyDescent="0.3">
      <c r="A42" s="18"/>
      <c r="B42" s="34">
        <v>37</v>
      </c>
      <c r="C42" s="31" t="s">
        <v>122</v>
      </c>
      <c r="D42" s="33">
        <v>450000</v>
      </c>
      <c r="E42" s="33">
        <v>59985</v>
      </c>
      <c r="F42" s="32">
        <f t="shared" si="7"/>
        <v>509985</v>
      </c>
      <c r="G42" s="34">
        <v>50</v>
      </c>
      <c r="H42" s="36">
        <v>10199.700000000001</v>
      </c>
      <c r="I42" s="31">
        <v>33</v>
      </c>
      <c r="J42" s="35">
        <f t="shared" si="9"/>
        <v>17</v>
      </c>
      <c r="K42" s="36">
        <f t="shared" si="8"/>
        <v>336590.10000000003</v>
      </c>
      <c r="L42" s="36">
        <f t="shared" si="10"/>
        <v>173394.89999999997</v>
      </c>
      <c r="M42" s="31"/>
      <c r="N42" s="1"/>
    </row>
    <row r="43" spans="1:14" ht="18.75" x14ac:dyDescent="0.3">
      <c r="A43" s="18"/>
      <c r="B43" s="34">
        <v>38</v>
      </c>
      <c r="C43" s="31" t="s">
        <v>204</v>
      </c>
      <c r="D43" s="33">
        <v>450000</v>
      </c>
      <c r="E43" s="33">
        <v>59985</v>
      </c>
      <c r="F43" s="32">
        <f t="shared" si="7"/>
        <v>509985</v>
      </c>
      <c r="G43" s="34">
        <v>50</v>
      </c>
      <c r="H43" s="32">
        <v>10199.700000000001</v>
      </c>
      <c r="I43" s="31">
        <v>38</v>
      </c>
      <c r="J43" s="35">
        <f t="shared" si="9"/>
        <v>12</v>
      </c>
      <c r="K43" s="36">
        <f t="shared" si="8"/>
        <v>387588.60000000003</v>
      </c>
      <c r="L43" s="32">
        <f t="shared" si="10"/>
        <v>122396.39999999997</v>
      </c>
      <c r="M43" s="31"/>
      <c r="N43" s="1"/>
    </row>
    <row r="44" spans="1:14" ht="18.75" x14ac:dyDescent="0.3">
      <c r="A44" s="18"/>
      <c r="B44" s="34">
        <v>39</v>
      </c>
      <c r="C44" s="50" t="s">
        <v>146</v>
      </c>
      <c r="D44" s="33">
        <v>450000</v>
      </c>
      <c r="E44" s="33">
        <v>59985</v>
      </c>
      <c r="F44" s="32">
        <f t="shared" si="7"/>
        <v>509985</v>
      </c>
      <c r="G44" s="34">
        <v>50</v>
      </c>
      <c r="H44" s="32">
        <v>10199.700000000001</v>
      </c>
      <c r="I44" s="50">
        <v>22</v>
      </c>
      <c r="J44" s="35">
        <f t="shared" si="9"/>
        <v>28</v>
      </c>
      <c r="K44" s="36">
        <f t="shared" ref="K44:K53" si="11">I44*H44</f>
        <v>224393.40000000002</v>
      </c>
      <c r="L44" s="36">
        <f t="shared" si="10"/>
        <v>285591.59999999998</v>
      </c>
      <c r="M44" s="31"/>
      <c r="N44" s="1"/>
    </row>
    <row r="45" spans="1:14" ht="18.75" x14ac:dyDescent="0.3">
      <c r="A45" s="18"/>
      <c r="B45" s="34">
        <v>40</v>
      </c>
      <c r="C45" s="50" t="s">
        <v>231</v>
      </c>
      <c r="D45" s="33">
        <v>450000</v>
      </c>
      <c r="E45" s="33">
        <v>59985</v>
      </c>
      <c r="F45" s="32">
        <f t="shared" si="7"/>
        <v>509985</v>
      </c>
      <c r="G45" s="34">
        <v>50</v>
      </c>
      <c r="H45" s="32">
        <v>10199.700000000001</v>
      </c>
      <c r="I45" s="50">
        <v>22</v>
      </c>
      <c r="J45" s="35">
        <f t="shared" si="9"/>
        <v>28</v>
      </c>
      <c r="K45" s="36">
        <f t="shared" si="11"/>
        <v>224393.40000000002</v>
      </c>
      <c r="L45" s="36">
        <f t="shared" si="10"/>
        <v>285591.59999999998</v>
      </c>
      <c r="M45" s="31"/>
      <c r="N45" s="1"/>
    </row>
    <row r="46" spans="1:14" ht="18.75" x14ac:dyDescent="0.3">
      <c r="A46" s="18"/>
      <c r="B46" s="34">
        <v>41</v>
      </c>
      <c r="C46" s="50" t="s">
        <v>17</v>
      </c>
      <c r="D46" s="33">
        <v>450000</v>
      </c>
      <c r="E46" s="33">
        <v>59985</v>
      </c>
      <c r="F46" s="32">
        <f t="shared" si="7"/>
        <v>509985</v>
      </c>
      <c r="G46" s="34">
        <v>50</v>
      </c>
      <c r="H46" s="32">
        <v>10199.700000000001</v>
      </c>
      <c r="I46" s="50">
        <v>17</v>
      </c>
      <c r="J46" s="35">
        <f t="shared" si="9"/>
        <v>33</v>
      </c>
      <c r="K46" s="36">
        <f t="shared" si="11"/>
        <v>173394.90000000002</v>
      </c>
      <c r="L46" s="36">
        <f t="shared" si="10"/>
        <v>336590.1</v>
      </c>
      <c r="M46" s="31"/>
      <c r="N46" s="1"/>
    </row>
    <row r="47" spans="1:14" ht="18.75" x14ac:dyDescent="0.3">
      <c r="A47" s="18"/>
      <c r="B47" s="34">
        <v>42</v>
      </c>
      <c r="C47" s="50" t="s">
        <v>22</v>
      </c>
      <c r="D47" s="33">
        <v>450000</v>
      </c>
      <c r="E47" s="33">
        <v>59985</v>
      </c>
      <c r="F47" s="32">
        <f t="shared" si="7"/>
        <v>509985</v>
      </c>
      <c r="G47" s="34">
        <v>50</v>
      </c>
      <c r="H47" s="32">
        <v>10199.700000000001</v>
      </c>
      <c r="I47" s="50">
        <v>14</v>
      </c>
      <c r="J47" s="35">
        <f t="shared" si="9"/>
        <v>36</v>
      </c>
      <c r="K47" s="36">
        <f t="shared" si="11"/>
        <v>142795.80000000002</v>
      </c>
      <c r="L47" s="36">
        <f t="shared" si="10"/>
        <v>367189.19999999995</v>
      </c>
      <c r="M47" s="31"/>
      <c r="N47" s="1"/>
    </row>
    <row r="48" spans="1:14" ht="18.75" x14ac:dyDescent="0.3">
      <c r="A48" s="18"/>
      <c r="B48" s="34">
        <v>43</v>
      </c>
      <c r="C48" s="29" t="s">
        <v>35</v>
      </c>
      <c r="D48" s="33">
        <v>450000</v>
      </c>
      <c r="E48" s="33">
        <v>59985</v>
      </c>
      <c r="F48" s="32">
        <f t="shared" si="7"/>
        <v>509985</v>
      </c>
      <c r="G48" s="34">
        <v>50</v>
      </c>
      <c r="H48" s="32">
        <v>10199.700000000001</v>
      </c>
      <c r="I48" s="50">
        <v>12</v>
      </c>
      <c r="J48" s="35">
        <f t="shared" si="9"/>
        <v>38</v>
      </c>
      <c r="K48" s="36">
        <f t="shared" si="11"/>
        <v>122396.40000000001</v>
      </c>
      <c r="L48" s="36">
        <f t="shared" si="10"/>
        <v>387588.6</v>
      </c>
      <c r="M48" s="31"/>
      <c r="N48" s="1"/>
    </row>
    <row r="49" spans="1:14" ht="18.75" x14ac:dyDescent="0.3">
      <c r="A49" s="18"/>
      <c r="B49" s="34">
        <v>44</v>
      </c>
      <c r="C49" s="29" t="s">
        <v>48</v>
      </c>
      <c r="D49" s="33">
        <v>450000</v>
      </c>
      <c r="E49" s="33">
        <v>59985</v>
      </c>
      <c r="F49" s="32">
        <f t="shared" si="7"/>
        <v>509985</v>
      </c>
      <c r="G49" s="34">
        <v>50</v>
      </c>
      <c r="H49" s="32">
        <v>10199.700000000001</v>
      </c>
      <c r="I49" s="50">
        <v>9</v>
      </c>
      <c r="J49" s="35">
        <f t="shared" si="9"/>
        <v>41</v>
      </c>
      <c r="K49" s="36">
        <f t="shared" si="11"/>
        <v>91797.3</v>
      </c>
      <c r="L49" s="36">
        <f t="shared" si="10"/>
        <v>418187.7</v>
      </c>
      <c r="M49" s="31"/>
      <c r="N49" s="1"/>
    </row>
    <row r="50" spans="1:14" ht="18.75" x14ac:dyDescent="0.3">
      <c r="A50" s="18"/>
      <c r="B50" s="34">
        <v>45</v>
      </c>
      <c r="C50" s="29" t="s">
        <v>63</v>
      </c>
      <c r="D50" s="33">
        <v>450000</v>
      </c>
      <c r="E50" s="33">
        <v>59985</v>
      </c>
      <c r="F50" s="32">
        <f t="shared" si="7"/>
        <v>509985</v>
      </c>
      <c r="G50" s="34">
        <v>50</v>
      </c>
      <c r="H50" s="32">
        <v>10199.700000000001</v>
      </c>
      <c r="I50" s="50">
        <v>7</v>
      </c>
      <c r="J50" s="35">
        <f t="shared" si="9"/>
        <v>43</v>
      </c>
      <c r="K50" s="36">
        <f t="shared" si="11"/>
        <v>71397.900000000009</v>
      </c>
      <c r="L50" s="36">
        <f t="shared" si="10"/>
        <v>438587.1</v>
      </c>
      <c r="M50" s="31"/>
      <c r="N50" s="1"/>
    </row>
    <row r="51" spans="1:14" ht="18.75" x14ac:dyDescent="0.3">
      <c r="A51" s="18"/>
      <c r="B51" s="34">
        <v>46</v>
      </c>
      <c r="C51" s="29" t="s">
        <v>65</v>
      </c>
      <c r="D51" s="33">
        <v>450000</v>
      </c>
      <c r="E51" s="33">
        <v>59985</v>
      </c>
      <c r="F51" s="32">
        <f t="shared" si="7"/>
        <v>509985</v>
      </c>
      <c r="G51" s="34">
        <v>50</v>
      </c>
      <c r="H51" s="32">
        <v>10199.700000000001</v>
      </c>
      <c r="I51" s="50">
        <v>7</v>
      </c>
      <c r="J51" s="35">
        <f t="shared" si="9"/>
        <v>43</v>
      </c>
      <c r="K51" s="36">
        <f t="shared" si="11"/>
        <v>71397.900000000009</v>
      </c>
      <c r="L51" s="36">
        <f t="shared" si="10"/>
        <v>438587.1</v>
      </c>
      <c r="M51" s="31"/>
      <c r="N51" s="1"/>
    </row>
    <row r="52" spans="1:14" ht="18.75" x14ac:dyDescent="0.3">
      <c r="A52" s="18"/>
      <c r="B52" s="34">
        <v>47</v>
      </c>
      <c r="C52" s="29" t="s">
        <v>59</v>
      </c>
      <c r="D52" s="33">
        <v>450000</v>
      </c>
      <c r="E52" s="33">
        <v>59985</v>
      </c>
      <c r="F52" s="32">
        <f t="shared" si="7"/>
        <v>509985</v>
      </c>
      <c r="G52" s="34">
        <v>50</v>
      </c>
      <c r="H52" s="32">
        <v>10199.700000000001</v>
      </c>
      <c r="I52" s="50">
        <v>7</v>
      </c>
      <c r="J52" s="35">
        <f t="shared" si="9"/>
        <v>43</v>
      </c>
      <c r="K52" s="36">
        <f t="shared" si="11"/>
        <v>71397.900000000009</v>
      </c>
      <c r="L52" s="36">
        <f t="shared" si="10"/>
        <v>438587.1</v>
      </c>
      <c r="M52" s="31"/>
      <c r="N52" s="1"/>
    </row>
    <row r="53" spans="1:14" ht="18.75" x14ac:dyDescent="0.3">
      <c r="A53" s="18"/>
      <c r="B53" s="34">
        <v>48</v>
      </c>
      <c r="C53" s="29" t="s">
        <v>206</v>
      </c>
      <c r="D53" s="33">
        <v>450000</v>
      </c>
      <c r="E53" s="33">
        <v>59985</v>
      </c>
      <c r="F53" s="32">
        <f t="shared" si="7"/>
        <v>509985</v>
      </c>
      <c r="G53" s="34">
        <v>50</v>
      </c>
      <c r="H53" s="32">
        <v>10199.700000000001</v>
      </c>
      <c r="I53" s="50">
        <v>4</v>
      </c>
      <c r="J53" s="35">
        <f t="shared" si="9"/>
        <v>46</v>
      </c>
      <c r="K53" s="36">
        <f t="shared" si="11"/>
        <v>40798.800000000003</v>
      </c>
      <c r="L53" s="36">
        <f t="shared" si="10"/>
        <v>469186.2</v>
      </c>
      <c r="M53" s="31"/>
      <c r="N53" s="1"/>
    </row>
    <row r="54" spans="1:14" ht="18.75" x14ac:dyDescent="0.3">
      <c r="A54" s="18"/>
      <c r="B54" s="34">
        <v>49</v>
      </c>
      <c r="C54" s="31" t="s">
        <v>189</v>
      </c>
      <c r="D54" s="32">
        <v>330000</v>
      </c>
      <c r="E54" s="33">
        <v>43989</v>
      </c>
      <c r="F54" s="32">
        <f t="shared" si="7"/>
        <v>373989</v>
      </c>
      <c r="G54" s="34">
        <v>50</v>
      </c>
      <c r="H54" s="32">
        <v>7479.78</v>
      </c>
      <c r="I54" s="31">
        <v>48</v>
      </c>
      <c r="J54" s="35">
        <f t="shared" si="9"/>
        <v>2</v>
      </c>
      <c r="K54" s="33">
        <f>H54*I54</f>
        <v>359029.44</v>
      </c>
      <c r="L54" s="32">
        <f t="shared" si="10"/>
        <v>14959.559999999998</v>
      </c>
      <c r="M54" s="53"/>
      <c r="N54" s="1"/>
    </row>
    <row r="55" spans="1:14" ht="18.75" x14ac:dyDescent="0.3">
      <c r="A55" s="18"/>
      <c r="B55" s="34">
        <v>50</v>
      </c>
      <c r="C55" s="31" t="s">
        <v>79</v>
      </c>
      <c r="D55" s="32">
        <v>330000</v>
      </c>
      <c r="E55" s="33">
        <v>43989</v>
      </c>
      <c r="F55" s="32">
        <f t="shared" si="7"/>
        <v>373989</v>
      </c>
      <c r="G55" s="34">
        <v>50</v>
      </c>
      <c r="H55" s="32">
        <v>7479.78</v>
      </c>
      <c r="I55" s="31">
        <v>29</v>
      </c>
      <c r="J55" s="35">
        <f t="shared" si="9"/>
        <v>21</v>
      </c>
      <c r="K55" s="32">
        <f>H55*I55</f>
        <v>216913.62</v>
      </c>
      <c r="L55" s="36">
        <f t="shared" si="10"/>
        <v>157075.38</v>
      </c>
      <c r="M55" s="31"/>
      <c r="N55" s="1"/>
    </row>
    <row r="56" spans="1:14" ht="18.75" x14ac:dyDescent="0.3">
      <c r="A56" s="18"/>
      <c r="B56" s="34">
        <v>51</v>
      </c>
      <c r="C56" s="31" t="s">
        <v>95</v>
      </c>
      <c r="D56" s="32">
        <v>330000</v>
      </c>
      <c r="E56" s="33">
        <v>43989</v>
      </c>
      <c r="F56" s="32">
        <f t="shared" si="7"/>
        <v>373989</v>
      </c>
      <c r="G56" s="34">
        <v>50</v>
      </c>
      <c r="H56" s="32">
        <v>7479.78</v>
      </c>
      <c r="I56" s="31">
        <v>29</v>
      </c>
      <c r="J56" s="35">
        <f t="shared" si="9"/>
        <v>21</v>
      </c>
      <c r="K56" s="36">
        <f>H56*I56</f>
        <v>216913.62</v>
      </c>
      <c r="L56" s="32">
        <f t="shared" si="10"/>
        <v>157075.38</v>
      </c>
      <c r="M56" s="31"/>
      <c r="N56" s="1"/>
    </row>
    <row r="57" spans="1:14" ht="18.75" x14ac:dyDescent="0.3">
      <c r="A57" s="18"/>
      <c r="B57" s="34">
        <v>52</v>
      </c>
      <c r="C57" s="31" t="s">
        <v>96</v>
      </c>
      <c r="D57" s="32">
        <v>330000</v>
      </c>
      <c r="E57" s="33">
        <v>43989</v>
      </c>
      <c r="F57" s="32">
        <f t="shared" si="7"/>
        <v>373989</v>
      </c>
      <c r="G57" s="34">
        <v>50</v>
      </c>
      <c r="H57" s="36">
        <v>7479.78</v>
      </c>
      <c r="I57" s="31">
        <v>33</v>
      </c>
      <c r="J57" s="35">
        <f t="shared" si="9"/>
        <v>17</v>
      </c>
      <c r="K57" s="36">
        <f>H57*I57</f>
        <v>246832.74</v>
      </c>
      <c r="L57" s="36">
        <f t="shared" si="10"/>
        <v>127156.26000000001</v>
      </c>
      <c r="M57" s="31"/>
      <c r="N57" s="1"/>
    </row>
    <row r="58" spans="1:14" ht="18.75" x14ac:dyDescent="0.3">
      <c r="A58" s="18"/>
      <c r="B58" s="34">
        <v>53</v>
      </c>
      <c r="C58" s="50" t="s">
        <v>18</v>
      </c>
      <c r="D58" s="32">
        <v>330000</v>
      </c>
      <c r="E58" s="33">
        <v>43989</v>
      </c>
      <c r="F58" s="32">
        <f t="shared" si="7"/>
        <v>373989</v>
      </c>
      <c r="G58" s="34">
        <v>50</v>
      </c>
      <c r="H58" s="36">
        <v>7479.74</v>
      </c>
      <c r="I58" s="50">
        <v>17</v>
      </c>
      <c r="J58" s="35">
        <f t="shared" si="9"/>
        <v>33</v>
      </c>
      <c r="K58" s="36">
        <f>I58*H58</f>
        <v>127155.58</v>
      </c>
      <c r="L58" s="36">
        <f t="shared" si="10"/>
        <v>246833.41999999998</v>
      </c>
      <c r="M58" s="31"/>
      <c r="N58" s="1"/>
    </row>
    <row r="59" spans="1:14" ht="18.75" x14ac:dyDescent="0.3">
      <c r="A59" s="18"/>
      <c r="B59" s="34">
        <v>54</v>
      </c>
      <c r="C59" s="31" t="s">
        <v>233</v>
      </c>
      <c r="D59" s="32">
        <v>330000</v>
      </c>
      <c r="E59" s="33">
        <v>43989</v>
      </c>
      <c r="F59" s="32">
        <f t="shared" si="7"/>
        <v>373989</v>
      </c>
      <c r="G59" s="34">
        <v>50</v>
      </c>
      <c r="H59" s="36">
        <v>7479.78</v>
      </c>
      <c r="I59" s="31">
        <v>33</v>
      </c>
      <c r="J59" s="35">
        <f t="shared" si="9"/>
        <v>17</v>
      </c>
      <c r="K59" s="36">
        <f>H59*I59</f>
        <v>246832.74</v>
      </c>
      <c r="L59" s="36">
        <f t="shared" si="10"/>
        <v>127156.26000000001</v>
      </c>
      <c r="M59" s="31"/>
      <c r="N59" s="1"/>
    </row>
    <row r="60" spans="1:14" ht="18.75" x14ac:dyDescent="0.3">
      <c r="A60" s="18"/>
      <c r="B60" s="34">
        <v>55</v>
      </c>
      <c r="C60" s="31" t="s">
        <v>220</v>
      </c>
      <c r="D60" s="32">
        <v>330000</v>
      </c>
      <c r="E60" s="33">
        <v>43989</v>
      </c>
      <c r="F60" s="32">
        <f t="shared" si="7"/>
        <v>373989</v>
      </c>
      <c r="G60" s="34">
        <v>50</v>
      </c>
      <c r="H60" s="32">
        <v>7479.78</v>
      </c>
      <c r="I60" s="31">
        <v>33</v>
      </c>
      <c r="J60" s="35">
        <f t="shared" si="9"/>
        <v>17</v>
      </c>
      <c r="K60" s="36">
        <f>H60*I60</f>
        <v>246832.74</v>
      </c>
      <c r="L60" s="32">
        <f t="shared" si="10"/>
        <v>127156.26000000001</v>
      </c>
      <c r="M60" s="31"/>
      <c r="N60" s="1"/>
    </row>
    <row r="61" spans="1:14" ht="18.75" x14ac:dyDescent="0.3">
      <c r="A61" s="18"/>
      <c r="B61" s="34">
        <v>56</v>
      </c>
      <c r="C61" s="31" t="s">
        <v>140</v>
      </c>
      <c r="D61" s="32">
        <v>330000</v>
      </c>
      <c r="E61" s="33">
        <v>43989</v>
      </c>
      <c r="F61" s="32">
        <f t="shared" si="7"/>
        <v>373989</v>
      </c>
      <c r="G61" s="34">
        <v>50</v>
      </c>
      <c r="H61" s="36">
        <v>7479.78</v>
      </c>
      <c r="I61" s="31">
        <v>33</v>
      </c>
      <c r="J61" s="35">
        <f t="shared" si="9"/>
        <v>17</v>
      </c>
      <c r="K61" s="36">
        <f>H61*I61</f>
        <v>246832.74</v>
      </c>
      <c r="L61" s="36">
        <f t="shared" si="10"/>
        <v>127156.26000000001</v>
      </c>
      <c r="M61" s="31"/>
      <c r="N61" s="1"/>
    </row>
    <row r="62" spans="1:14" ht="18.75" x14ac:dyDescent="0.3">
      <c r="A62" s="18"/>
      <c r="B62" s="34">
        <v>57</v>
      </c>
      <c r="C62" s="31" t="s">
        <v>175</v>
      </c>
      <c r="D62" s="32">
        <v>330000</v>
      </c>
      <c r="E62" s="33">
        <v>43989</v>
      </c>
      <c r="F62" s="32">
        <f t="shared" si="7"/>
        <v>373989</v>
      </c>
      <c r="G62" s="34">
        <v>50</v>
      </c>
      <c r="H62" s="36">
        <v>7479.78</v>
      </c>
      <c r="I62" s="31">
        <v>28</v>
      </c>
      <c r="J62" s="35">
        <f t="shared" si="9"/>
        <v>22</v>
      </c>
      <c r="K62" s="36">
        <f>H62*I62</f>
        <v>209433.84</v>
      </c>
      <c r="L62" s="36">
        <f t="shared" si="10"/>
        <v>164555.16</v>
      </c>
      <c r="M62" s="31"/>
      <c r="N62" s="1"/>
    </row>
    <row r="63" spans="1:14" ht="18.75" x14ac:dyDescent="0.3">
      <c r="A63" s="18"/>
      <c r="B63" s="34">
        <v>58</v>
      </c>
      <c r="C63" s="50" t="s">
        <v>149</v>
      </c>
      <c r="D63" s="33">
        <v>330000</v>
      </c>
      <c r="E63" s="33">
        <v>43989</v>
      </c>
      <c r="F63" s="32">
        <v>373989</v>
      </c>
      <c r="G63" s="34">
        <v>50</v>
      </c>
      <c r="H63" s="32">
        <v>7478.78</v>
      </c>
      <c r="I63" s="50">
        <v>22</v>
      </c>
      <c r="J63" s="35">
        <f t="shared" si="9"/>
        <v>28</v>
      </c>
      <c r="K63" s="36">
        <f t="shared" ref="K63:K87" si="12">I63*H63</f>
        <v>164533.16</v>
      </c>
      <c r="L63" s="36">
        <f t="shared" si="10"/>
        <v>209455.84</v>
      </c>
      <c r="M63" s="31"/>
      <c r="N63" s="1"/>
    </row>
    <row r="64" spans="1:14" ht="18.75" x14ac:dyDescent="0.3">
      <c r="A64" s="18"/>
      <c r="B64" s="34">
        <v>59</v>
      </c>
      <c r="C64" s="50" t="s">
        <v>150</v>
      </c>
      <c r="D64" s="33">
        <v>330000</v>
      </c>
      <c r="E64" s="33">
        <v>43989</v>
      </c>
      <c r="F64" s="32">
        <f t="shared" ref="F64:F84" si="13">D64+E64</f>
        <v>373989</v>
      </c>
      <c r="G64" s="34">
        <v>50</v>
      </c>
      <c r="H64" s="32">
        <v>7479.78</v>
      </c>
      <c r="I64" s="50">
        <v>22</v>
      </c>
      <c r="J64" s="35">
        <f t="shared" si="9"/>
        <v>28</v>
      </c>
      <c r="K64" s="36">
        <f t="shared" si="12"/>
        <v>164555.16</v>
      </c>
      <c r="L64" s="36">
        <f t="shared" si="10"/>
        <v>209433.84</v>
      </c>
      <c r="M64" s="31"/>
      <c r="N64" s="1"/>
    </row>
    <row r="65" spans="1:14" ht="18.75" x14ac:dyDescent="0.3">
      <c r="A65" s="18"/>
      <c r="B65" s="34">
        <v>60</v>
      </c>
      <c r="C65" s="50" t="s">
        <v>209</v>
      </c>
      <c r="D65" s="33">
        <v>330000</v>
      </c>
      <c r="E65" s="33">
        <v>43989</v>
      </c>
      <c r="F65" s="32">
        <f t="shared" si="13"/>
        <v>373989</v>
      </c>
      <c r="G65" s="34">
        <v>50</v>
      </c>
      <c r="H65" s="32">
        <v>7479.78</v>
      </c>
      <c r="I65" s="50">
        <v>19</v>
      </c>
      <c r="J65" s="35">
        <f t="shared" si="9"/>
        <v>31</v>
      </c>
      <c r="K65" s="36">
        <f t="shared" si="12"/>
        <v>142115.82</v>
      </c>
      <c r="L65" s="36">
        <f t="shared" si="10"/>
        <v>231873.18</v>
      </c>
      <c r="M65" s="31"/>
      <c r="N65" s="1"/>
    </row>
    <row r="66" spans="1:14" ht="18.75" x14ac:dyDescent="0.3">
      <c r="A66" s="18"/>
      <c r="B66" s="34">
        <v>61</v>
      </c>
      <c r="C66" s="50" t="s">
        <v>210</v>
      </c>
      <c r="D66" s="33">
        <v>330000</v>
      </c>
      <c r="E66" s="33">
        <v>43989</v>
      </c>
      <c r="F66" s="32">
        <f t="shared" si="13"/>
        <v>373989</v>
      </c>
      <c r="G66" s="34">
        <v>50</v>
      </c>
      <c r="H66" s="32">
        <v>7479.78</v>
      </c>
      <c r="I66" s="50">
        <v>19</v>
      </c>
      <c r="J66" s="35">
        <f t="shared" si="9"/>
        <v>31</v>
      </c>
      <c r="K66" s="36">
        <f t="shared" si="12"/>
        <v>142115.82</v>
      </c>
      <c r="L66" s="36">
        <f t="shared" si="10"/>
        <v>231873.18</v>
      </c>
      <c r="M66" s="31"/>
      <c r="N66" s="1"/>
    </row>
    <row r="67" spans="1:14" ht="18.75" x14ac:dyDescent="0.3">
      <c r="A67" s="18"/>
      <c r="B67" s="34">
        <v>62</v>
      </c>
      <c r="C67" s="50" t="s">
        <v>211</v>
      </c>
      <c r="D67" s="33">
        <v>330000</v>
      </c>
      <c r="E67" s="33">
        <v>43989</v>
      </c>
      <c r="F67" s="32">
        <f t="shared" si="13"/>
        <v>373989</v>
      </c>
      <c r="G67" s="34">
        <v>50</v>
      </c>
      <c r="H67" s="32">
        <v>7479.78</v>
      </c>
      <c r="I67" s="50">
        <v>19</v>
      </c>
      <c r="J67" s="35">
        <f t="shared" si="9"/>
        <v>31</v>
      </c>
      <c r="K67" s="36">
        <f t="shared" si="12"/>
        <v>142115.82</v>
      </c>
      <c r="L67" s="36">
        <f t="shared" si="10"/>
        <v>231873.18</v>
      </c>
      <c r="M67" s="31"/>
      <c r="N67" s="1"/>
    </row>
    <row r="68" spans="1:14" ht="18.75" x14ac:dyDescent="0.3">
      <c r="A68" s="18"/>
      <c r="B68" s="34">
        <v>63</v>
      </c>
      <c r="C68" s="50" t="s">
        <v>212</v>
      </c>
      <c r="D68" s="33">
        <v>330000</v>
      </c>
      <c r="E68" s="33">
        <v>43989</v>
      </c>
      <c r="F68" s="32">
        <f t="shared" si="13"/>
        <v>373989</v>
      </c>
      <c r="G68" s="34">
        <v>50</v>
      </c>
      <c r="H68" s="32">
        <v>7479.78</v>
      </c>
      <c r="I68" s="50">
        <v>18</v>
      </c>
      <c r="J68" s="35">
        <f t="shared" si="9"/>
        <v>32</v>
      </c>
      <c r="K68" s="36">
        <f t="shared" si="12"/>
        <v>134636.04</v>
      </c>
      <c r="L68" s="36">
        <f t="shared" si="10"/>
        <v>239352.95999999999</v>
      </c>
      <c r="M68" s="31"/>
      <c r="N68" s="1"/>
    </row>
    <row r="69" spans="1:14" ht="18.75" x14ac:dyDescent="0.3">
      <c r="A69" s="18"/>
      <c r="B69" s="34">
        <v>64</v>
      </c>
      <c r="C69" s="50" t="s">
        <v>13</v>
      </c>
      <c r="D69" s="33">
        <v>330000</v>
      </c>
      <c r="E69" s="33">
        <v>43989</v>
      </c>
      <c r="F69" s="32">
        <f t="shared" si="13"/>
        <v>373989</v>
      </c>
      <c r="G69" s="34">
        <v>50</v>
      </c>
      <c r="H69" s="32">
        <v>7479.78</v>
      </c>
      <c r="I69" s="50">
        <v>19</v>
      </c>
      <c r="J69" s="35">
        <f t="shared" si="9"/>
        <v>31</v>
      </c>
      <c r="K69" s="36">
        <f t="shared" si="12"/>
        <v>142115.82</v>
      </c>
      <c r="L69" s="36">
        <f t="shared" si="10"/>
        <v>231873.18</v>
      </c>
      <c r="M69" s="31"/>
      <c r="N69" s="1"/>
    </row>
    <row r="70" spans="1:14" ht="18.75" x14ac:dyDescent="0.3">
      <c r="A70" s="18"/>
      <c r="B70" s="34">
        <v>65</v>
      </c>
      <c r="C70" s="50" t="s">
        <v>19</v>
      </c>
      <c r="D70" s="32">
        <v>330000</v>
      </c>
      <c r="E70" s="33">
        <v>43989</v>
      </c>
      <c r="F70" s="32">
        <f t="shared" si="13"/>
        <v>373989</v>
      </c>
      <c r="G70" s="34">
        <v>50</v>
      </c>
      <c r="H70" s="36">
        <v>7479.74</v>
      </c>
      <c r="I70" s="50">
        <v>17</v>
      </c>
      <c r="J70" s="35">
        <f t="shared" ref="J70:J101" si="14">G70-I70</f>
        <v>33</v>
      </c>
      <c r="K70" s="36">
        <f t="shared" si="12"/>
        <v>127155.58</v>
      </c>
      <c r="L70" s="36">
        <f t="shared" ref="L70:L101" si="15">F70-K70</f>
        <v>246833.41999999998</v>
      </c>
      <c r="M70" s="31"/>
      <c r="N70" s="1"/>
    </row>
    <row r="71" spans="1:14" ht="18.75" x14ac:dyDescent="0.3">
      <c r="A71" s="18"/>
      <c r="B71" s="34">
        <v>66</v>
      </c>
      <c r="C71" s="50" t="s">
        <v>215</v>
      </c>
      <c r="D71" s="32">
        <v>330000</v>
      </c>
      <c r="E71" s="33">
        <v>43989</v>
      </c>
      <c r="F71" s="32">
        <f t="shared" si="13"/>
        <v>373989</v>
      </c>
      <c r="G71" s="34">
        <v>50</v>
      </c>
      <c r="H71" s="36">
        <v>7479.78</v>
      </c>
      <c r="I71" s="50">
        <v>14</v>
      </c>
      <c r="J71" s="35">
        <f t="shared" si="14"/>
        <v>36</v>
      </c>
      <c r="K71" s="36">
        <f t="shared" si="12"/>
        <v>104716.92</v>
      </c>
      <c r="L71" s="36">
        <f t="shared" si="15"/>
        <v>269272.08</v>
      </c>
      <c r="M71" s="31"/>
      <c r="N71" s="1"/>
    </row>
    <row r="72" spans="1:14" ht="18.75" x14ac:dyDescent="0.3">
      <c r="A72" s="18"/>
      <c r="B72" s="34">
        <v>67</v>
      </c>
      <c r="C72" s="50" t="s">
        <v>25</v>
      </c>
      <c r="D72" s="32">
        <v>330000</v>
      </c>
      <c r="E72" s="33">
        <v>43989</v>
      </c>
      <c r="F72" s="32">
        <f t="shared" si="13"/>
        <v>373989</v>
      </c>
      <c r="G72" s="34">
        <v>50</v>
      </c>
      <c r="H72" s="36">
        <v>7479.78</v>
      </c>
      <c r="I72" s="50">
        <v>12</v>
      </c>
      <c r="J72" s="35">
        <f t="shared" si="14"/>
        <v>38</v>
      </c>
      <c r="K72" s="36">
        <f t="shared" si="12"/>
        <v>89757.36</v>
      </c>
      <c r="L72" s="36">
        <f t="shared" si="15"/>
        <v>284231.64</v>
      </c>
      <c r="M72" s="31"/>
      <c r="N72" s="1"/>
    </row>
    <row r="73" spans="1:14" ht="18.75" x14ac:dyDescent="0.3">
      <c r="A73" s="18"/>
      <c r="B73" s="34">
        <v>68</v>
      </c>
      <c r="C73" s="50" t="s">
        <v>26</v>
      </c>
      <c r="D73" s="32">
        <v>330000</v>
      </c>
      <c r="E73" s="33">
        <v>43989</v>
      </c>
      <c r="F73" s="32">
        <f t="shared" si="13"/>
        <v>373989</v>
      </c>
      <c r="G73" s="34">
        <v>50</v>
      </c>
      <c r="H73" s="36">
        <v>7479.78</v>
      </c>
      <c r="I73" s="50">
        <v>12</v>
      </c>
      <c r="J73" s="35">
        <f t="shared" si="14"/>
        <v>38</v>
      </c>
      <c r="K73" s="36">
        <f t="shared" si="12"/>
        <v>89757.36</v>
      </c>
      <c r="L73" s="36">
        <f t="shared" si="15"/>
        <v>284231.64</v>
      </c>
      <c r="M73" s="31"/>
      <c r="N73" s="1"/>
    </row>
    <row r="74" spans="1:14" ht="18.75" x14ac:dyDescent="0.3">
      <c r="A74" s="18"/>
      <c r="B74" s="34">
        <v>69</v>
      </c>
      <c r="C74" s="50" t="s">
        <v>30</v>
      </c>
      <c r="D74" s="32">
        <v>330000</v>
      </c>
      <c r="E74" s="33">
        <v>43989</v>
      </c>
      <c r="F74" s="32">
        <f t="shared" si="13"/>
        <v>373989</v>
      </c>
      <c r="G74" s="34">
        <v>50</v>
      </c>
      <c r="H74" s="36">
        <v>7479.78</v>
      </c>
      <c r="I74" s="50">
        <v>11</v>
      </c>
      <c r="J74" s="35">
        <f t="shared" si="14"/>
        <v>39</v>
      </c>
      <c r="K74" s="36">
        <f t="shared" si="12"/>
        <v>82277.58</v>
      </c>
      <c r="L74" s="36">
        <f t="shared" si="15"/>
        <v>291711.42</v>
      </c>
      <c r="M74" s="31"/>
      <c r="N74" s="1"/>
    </row>
    <row r="75" spans="1:14" ht="18.75" x14ac:dyDescent="0.3">
      <c r="A75" s="18"/>
      <c r="B75" s="34">
        <v>70</v>
      </c>
      <c r="C75" s="29" t="s">
        <v>36</v>
      </c>
      <c r="D75" s="32">
        <v>330000</v>
      </c>
      <c r="E75" s="33">
        <v>43989</v>
      </c>
      <c r="F75" s="32">
        <f t="shared" si="13"/>
        <v>373989</v>
      </c>
      <c r="G75" s="34">
        <v>50</v>
      </c>
      <c r="H75" s="36">
        <v>7479.78</v>
      </c>
      <c r="I75" s="50">
        <v>11</v>
      </c>
      <c r="J75" s="35">
        <f t="shared" si="14"/>
        <v>39</v>
      </c>
      <c r="K75" s="36">
        <f t="shared" si="12"/>
        <v>82277.58</v>
      </c>
      <c r="L75" s="36">
        <f t="shared" si="15"/>
        <v>291711.42</v>
      </c>
      <c r="M75" s="31"/>
      <c r="N75" s="1"/>
    </row>
    <row r="76" spans="1:14" ht="18.75" x14ac:dyDescent="0.3">
      <c r="A76" s="18"/>
      <c r="B76" s="34">
        <v>71</v>
      </c>
      <c r="C76" s="29" t="s">
        <v>37</v>
      </c>
      <c r="D76" s="32">
        <v>330000</v>
      </c>
      <c r="E76" s="33">
        <v>43989</v>
      </c>
      <c r="F76" s="32">
        <f t="shared" si="13"/>
        <v>373989</v>
      </c>
      <c r="G76" s="34">
        <v>50</v>
      </c>
      <c r="H76" s="36">
        <v>7479.78</v>
      </c>
      <c r="I76" s="50">
        <v>12</v>
      </c>
      <c r="J76" s="35">
        <f t="shared" si="14"/>
        <v>38</v>
      </c>
      <c r="K76" s="36">
        <f t="shared" si="12"/>
        <v>89757.36</v>
      </c>
      <c r="L76" s="36">
        <f t="shared" si="15"/>
        <v>284231.64</v>
      </c>
      <c r="M76" s="31"/>
      <c r="N76" s="1"/>
    </row>
    <row r="77" spans="1:14" ht="18.75" x14ac:dyDescent="0.3">
      <c r="A77" s="18"/>
      <c r="B77" s="34">
        <v>72</v>
      </c>
      <c r="C77" s="29" t="s">
        <v>40</v>
      </c>
      <c r="D77" s="32">
        <v>330000</v>
      </c>
      <c r="E77" s="33">
        <v>43989</v>
      </c>
      <c r="F77" s="32">
        <f t="shared" si="13"/>
        <v>373989</v>
      </c>
      <c r="G77" s="34">
        <v>50</v>
      </c>
      <c r="H77" s="36">
        <v>7479.78</v>
      </c>
      <c r="I77" s="50">
        <v>34</v>
      </c>
      <c r="J77" s="35">
        <f t="shared" si="14"/>
        <v>16</v>
      </c>
      <c r="K77" s="36">
        <f t="shared" si="12"/>
        <v>254312.52</v>
      </c>
      <c r="L77" s="36">
        <f t="shared" si="15"/>
        <v>119676.48000000001</v>
      </c>
      <c r="M77" s="31"/>
      <c r="N77" s="1"/>
    </row>
    <row r="78" spans="1:14" ht="18.75" x14ac:dyDescent="0.3">
      <c r="A78" s="18"/>
      <c r="B78" s="34">
        <v>73</v>
      </c>
      <c r="C78" s="29" t="s">
        <v>173</v>
      </c>
      <c r="D78" s="32">
        <v>330000</v>
      </c>
      <c r="E78" s="33">
        <v>43989</v>
      </c>
      <c r="F78" s="32">
        <f t="shared" si="13"/>
        <v>373989</v>
      </c>
      <c r="G78" s="34">
        <v>50</v>
      </c>
      <c r="H78" s="32">
        <v>7479.78</v>
      </c>
      <c r="I78" s="50">
        <v>23</v>
      </c>
      <c r="J78" s="35">
        <f t="shared" si="14"/>
        <v>27</v>
      </c>
      <c r="K78" s="36">
        <f t="shared" si="12"/>
        <v>172034.94</v>
      </c>
      <c r="L78" s="36">
        <f t="shared" si="15"/>
        <v>201954.06</v>
      </c>
      <c r="M78" s="31"/>
      <c r="N78" s="1"/>
    </row>
    <row r="79" spans="1:14" ht="18.75" x14ac:dyDescent="0.3">
      <c r="A79" s="18"/>
      <c r="B79" s="34">
        <v>74</v>
      </c>
      <c r="C79" s="29" t="s">
        <v>49</v>
      </c>
      <c r="D79" s="32">
        <v>330000</v>
      </c>
      <c r="E79" s="33">
        <v>43989</v>
      </c>
      <c r="F79" s="32">
        <f t="shared" si="13"/>
        <v>373989</v>
      </c>
      <c r="G79" s="34">
        <v>50</v>
      </c>
      <c r="H79" s="32">
        <v>7479.78</v>
      </c>
      <c r="I79" s="50">
        <v>9</v>
      </c>
      <c r="J79" s="35">
        <f t="shared" si="14"/>
        <v>41</v>
      </c>
      <c r="K79" s="36">
        <f t="shared" si="12"/>
        <v>67318.02</v>
      </c>
      <c r="L79" s="36">
        <f t="shared" si="15"/>
        <v>306670.98</v>
      </c>
      <c r="M79" s="31"/>
      <c r="N79" s="1"/>
    </row>
    <row r="80" spans="1:14" ht="18.75" x14ac:dyDescent="0.3">
      <c r="A80" s="18"/>
      <c r="B80" s="34">
        <v>75</v>
      </c>
      <c r="C80" s="29" t="s">
        <v>50</v>
      </c>
      <c r="D80" s="32">
        <v>330000</v>
      </c>
      <c r="E80" s="33">
        <v>43989</v>
      </c>
      <c r="F80" s="32">
        <f t="shared" si="13"/>
        <v>373989</v>
      </c>
      <c r="G80" s="34">
        <v>50</v>
      </c>
      <c r="H80" s="32">
        <v>7479.78</v>
      </c>
      <c r="I80" s="50">
        <v>9</v>
      </c>
      <c r="J80" s="35">
        <f t="shared" si="14"/>
        <v>41</v>
      </c>
      <c r="K80" s="36">
        <f t="shared" si="12"/>
        <v>67318.02</v>
      </c>
      <c r="L80" s="36">
        <f t="shared" si="15"/>
        <v>306670.98</v>
      </c>
      <c r="M80" s="31"/>
      <c r="N80" s="1"/>
    </row>
    <row r="81" spans="1:14" ht="18.75" x14ac:dyDescent="0.3">
      <c r="A81" s="18"/>
      <c r="B81" s="34">
        <v>76</v>
      </c>
      <c r="C81" s="29" t="s">
        <v>70</v>
      </c>
      <c r="D81" s="32">
        <v>330000</v>
      </c>
      <c r="E81" s="33">
        <v>43989</v>
      </c>
      <c r="F81" s="32">
        <f t="shared" si="13"/>
        <v>373989</v>
      </c>
      <c r="G81" s="34">
        <v>50</v>
      </c>
      <c r="H81" s="32">
        <v>7479.78</v>
      </c>
      <c r="I81" s="50">
        <v>7</v>
      </c>
      <c r="J81" s="35">
        <f t="shared" si="14"/>
        <v>43</v>
      </c>
      <c r="K81" s="36">
        <f t="shared" si="12"/>
        <v>52358.46</v>
      </c>
      <c r="L81" s="36">
        <f t="shared" si="15"/>
        <v>321630.53999999998</v>
      </c>
      <c r="M81" s="31"/>
      <c r="N81" s="1"/>
    </row>
    <row r="82" spans="1:14" ht="18.75" x14ac:dyDescent="0.3">
      <c r="A82" s="18"/>
      <c r="B82" s="34">
        <v>77</v>
      </c>
      <c r="C82" s="29" t="s">
        <v>69</v>
      </c>
      <c r="D82" s="32">
        <v>330000</v>
      </c>
      <c r="E82" s="33">
        <v>43989</v>
      </c>
      <c r="F82" s="32">
        <f t="shared" si="13"/>
        <v>373989</v>
      </c>
      <c r="G82" s="34">
        <v>50</v>
      </c>
      <c r="H82" s="32">
        <v>7479.78</v>
      </c>
      <c r="I82" s="50">
        <v>7</v>
      </c>
      <c r="J82" s="35">
        <f t="shared" si="14"/>
        <v>43</v>
      </c>
      <c r="K82" s="36">
        <f t="shared" si="12"/>
        <v>52358.46</v>
      </c>
      <c r="L82" s="36">
        <f t="shared" si="15"/>
        <v>321630.53999999998</v>
      </c>
      <c r="M82" s="31"/>
      <c r="N82" s="1"/>
    </row>
    <row r="83" spans="1:14" ht="18.75" x14ac:dyDescent="0.3">
      <c r="A83" s="18"/>
      <c r="B83" s="34">
        <v>78</v>
      </c>
      <c r="C83" s="29" t="s">
        <v>62</v>
      </c>
      <c r="D83" s="32">
        <v>330000</v>
      </c>
      <c r="E83" s="33">
        <v>43989</v>
      </c>
      <c r="F83" s="32">
        <f t="shared" si="13"/>
        <v>373989</v>
      </c>
      <c r="G83" s="34">
        <v>50</v>
      </c>
      <c r="H83" s="32">
        <v>7479.78</v>
      </c>
      <c r="I83" s="50">
        <v>7</v>
      </c>
      <c r="J83" s="35">
        <f t="shared" si="14"/>
        <v>43</v>
      </c>
      <c r="K83" s="36">
        <f t="shared" si="12"/>
        <v>52358.46</v>
      </c>
      <c r="L83" s="36">
        <f t="shared" si="15"/>
        <v>321630.53999999998</v>
      </c>
      <c r="M83" s="31"/>
      <c r="N83" s="1"/>
    </row>
    <row r="84" spans="1:14" ht="18.75" x14ac:dyDescent="0.3">
      <c r="A84" s="18"/>
      <c r="B84" s="34">
        <v>79</v>
      </c>
      <c r="C84" s="29" t="s">
        <v>64</v>
      </c>
      <c r="D84" s="32">
        <v>330000</v>
      </c>
      <c r="E84" s="33">
        <v>43989</v>
      </c>
      <c r="F84" s="32">
        <f t="shared" si="13"/>
        <v>373989</v>
      </c>
      <c r="G84" s="34">
        <v>50</v>
      </c>
      <c r="H84" s="32">
        <v>7479.78</v>
      </c>
      <c r="I84" s="50">
        <v>7</v>
      </c>
      <c r="J84" s="35">
        <f t="shared" si="14"/>
        <v>43</v>
      </c>
      <c r="K84" s="36">
        <f t="shared" si="12"/>
        <v>52358.46</v>
      </c>
      <c r="L84" s="36">
        <f t="shared" si="15"/>
        <v>321630.53999999998</v>
      </c>
      <c r="M84" s="31"/>
      <c r="N84" s="1"/>
    </row>
    <row r="85" spans="1:14" ht="18.75" x14ac:dyDescent="0.3">
      <c r="A85" s="18"/>
      <c r="B85" s="34">
        <v>80</v>
      </c>
      <c r="C85" s="29" t="s">
        <v>257</v>
      </c>
      <c r="D85" s="32">
        <v>330000</v>
      </c>
      <c r="E85" s="33">
        <v>43989</v>
      </c>
      <c r="F85" s="32">
        <f t="shared" ref="F85:F86" si="16">D85+E85</f>
        <v>373989</v>
      </c>
      <c r="G85" s="34">
        <v>50</v>
      </c>
      <c r="H85" s="32">
        <v>7479.78</v>
      </c>
      <c r="I85" s="50">
        <v>4</v>
      </c>
      <c r="J85" s="35">
        <f t="shared" si="14"/>
        <v>46</v>
      </c>
      <c r="K85" s="36">
        <f t="shared" si="12"/>
        <v>29919.119999999999</v>
      </c>
      <c r="L85" s="36">
        <f t="shared" si="15"/>
        <v>344069.88</v>
      </c>
      <c r="M85" s="31"/>
      <c r="N85" s="1"/>
    </row>
    <row r="86" spans="1:14" ht="18.75" x14ac:dyDescent="0.3">
      <c r="A86" s="18"/>
      <c r="B86" s="34">
        <v>81</v>
      </c>
      <c r="C86" s="29" t="s">
        <v>256</v>
      </c>
      <c r="D86" s="32">
        <v>330000</v>
      </c>
      <c r="E86" s="33">
        <v>43989</v>
      </c>
      <c r="F86" s="32">
        <f t="shared" si="16"/>
        <v>373989</v>
      </c>
      <c r="G86" s="34">
        <v>50</v>
      </c>
      <c r="H86" s="32">
        <v>7479.78</v>
      </c>
      <c r="I86" s="50">
        <v>4</v>
      </c>
      <c r="J86" s="35">
        <f t="shared" si="14"/>
        <v>46</v>
      </c>
      <c r="K86" s="36">
        <f t="shared" si="12"/>
        <v>29919.119999999999</v>
      </c>
      <c r="L86" s="36">
        <f t="shared" si="15"/>
        <v>344069.88</v>
      </c>
      <c r="M86" s="31"/>
      <c r="N86" s="1"/>
    </row>
    <row r="87" spans="1:14" ht="18.75" x14ac:dyDescent="0.3">
      <c r="A87" s="18"/>
      <c r="B87" s="34">
        <v>82</v>
      </c>
      <c r="C87" s="66" t="s">
        <v>260</v>
      </c>
      <c r="D87" s="33">
        <v>150000</v>
      </c>
      <c r="E87" s="33">
        <v>19995</v>
      </c>
      <c r="F87" s="32">
        <f t="shared" ref="F87:F118" si="17">D87+E87</f>
        <v>169995</v>
      </c>
      <c r="G87" s="34">
        <v>37</v>
      </c>
      <c r="H87" s="32">
        <v>4566.57</v>
      </c>
      <c r="I87" s="50">
        <v>3</v>
      </c>
      <c r="J87" s="35">
        <f t="shared" si="14"/>
        <v>34</v>
      </c>
      <c r="K87" s="36">
        <f t="shared" si="12"/>
        <v>13699.71</v>
      </c>
      <c r="L87" s="36">
        <f t="shared" si="15"/>
        <v>156295.29</v>
      </c>
      <c r="M87" s="31"/>
      <c r="N87" s="1"/>
    </row>
    <row r="88" spans="1:14" ht="18.75" x14ac:dyDescent="0.3">
      <c r="A88" s="18"/>
      <c r="B88" s="34">
        <v>83</v>
      </c>
      <c r="C88" s="31" t="s">
        <v>73</v>
      </c>
      <c r="D88" s="33">
        <v>150000</v>
      </c>
      <c r="E88" s="33">
        <v>19995</v>
      </c>
      <c r="F88" s="32">
        <f t="shared" si="17"/>
        <v>169995</v>
      </c>
      <c r="G88" s="34">
        <v>50</v>
      </c>
      <c r="H88" s="32">
        <v>3399.9</v>
      </c>
      <c r="I88" s="52">
        <v>33</v>
      </c>
      <c r="J88" s="35">
        <f t="shared" si="14"/>
        <v>17</v>
      </c>
      <c r="K88" s="32">
        <f t="shared" ref="K88:K112" si="18">H88*I88</f>
        <v>112196.7</v>
      </c>
      <c r="L88" s="33">
        <f t="shared" si="15"/>
        <v>57798.3</v>
      </c>
      <c r="M88" s="31"/>
      <c r="N88" s="1"/>
    </row>
    <row r="89" spans="1:14" ht="18.75" x14ac:dyDescent="0.3">
      <c r="A89" s="18"/>
      <c r="B89" s="34">
        <v>84</v>
      </c>
      <c r="C89" s="31" t="s">
        <v>76</v>
      </c>
      <c r="D89" s="33">
        <v>150000</v>
      </c>
      <c r="E89" s="33">
        <v>19995</v>
      </c>
      <c r="F89" s="32">
        <f t="shared" si="17"/>
        <v>169995</v>
      </c>
      <c r="G89" s="34">
        <v>50</v>
      </c>
      <c r="H89" s="32">
        <v>3399.9</v>
      </c>
      <c r="I89" s="52">
        <v>33</v>
      </c>
      <c r="J89" s="35">
        <f t="shared" si="14"/>
        <v>17</v>
      </c>
      <c r="K89" s="32">
        <f t="shared" si="18"/>
        <v>112196.7</v>
      </c>
      <c r="L89" s="32">
        <f t="shared" si="15"/>
        <v>57798.3</v>
      </c>
      <c r="M89" s="31"/>
      <c r="N89" s="1"/>
    </row>
    <row r="90" spans="1:14" ht="18.75" x14ac:dyDescent="0.3">
      <c r="A90" s="18"/>
      <c r="B90" s="34">
        <v>85</v>
      </c>
      <c r="C90" s="31" t="s">
        <v>190</v>
      </c>
      <c r="D90" s="33">
        <v>150000</v>
      </c>
      <c r="E90" s="33">
        <v>19995</v>
      </c>
      <c r="F90" s="32">
        <f t="shared" si="17"/>
        <v>169995</v>
      </c>
      <c r="G90" s="34">
        <v>50</v>
      </c>
      <c r="H90" s="32">
        <v>3399.9</v>
      </c>
      <c r="I90" s="52">
        <v>48</v>
      </c>
      <c r="J90" s="35">
        <f t="shared" si="14"/>
        <v>2</v>
      </c>
      <c r="K90" s="32">
        <f t="shared" si="18"/>
        <v>163195.20000000001</v>
      </c>
      <c r="L90" s="33">
        <f t="shared" si="15"/>
        <v>6799.7999999999884</v>
      </c>
      <c r="M90" s="31"/>
      <c r="N90" s="1"/>
    </row>
    <row r="91" spans="1:14" ht="18.75" x14ac:dyDescent="0.3">
      <c r="A91" s="18"/>
      <c r="B91" s="34">
        <v>86</v>
      </c>
      <c r="C91" s="31" t="s">
        <v>81</v>
      </c>
      <c r="D91" s="33">
        <v>150000</v>
      </c>
      <c r="E91" s="33">
        <v>19995</v>
      </c>
      <c r="F91" s="32">
        <f t="shared" si="17"/>
        <v>169995</v>
      </c>
      <c r="G91" s="34">
        <v>50</v>
      </c>
      <c r="H91" s="32">
        <v>3399.9</v>
      </c>
      <c r="I91" s="31">
        <v>33</v>
      </c>
      <c r="J91" s="35">
        <f t="shared" si="14"/>
        <v>17</v>
      </c>
      <c r="K91" s="36">
        <f t="shared" si="18"/>
        <v>112196.7</v>
      </c>
      <c r="L91" s="32">
        <f t="shared" si="15"/>
        <v>57798.3</v>
      </c>
      <c r="M91" s="31"/>
      <c r="N91" s="1"/>
    </row>
    <row r="92" spans="1:14" ht="18.75" x14ac:dyDescent="0.3">
      <c r="A92" s="18"/>
      <c r="B92" s="34">
        <v>87</v>
      </c>
      <c r="C92" s="31" t="s">
        <v>84</v>
      </c>
      <c r="D92" s="33">
        <v>150000</v>
      </c>
      <c r="E92" s="33">
        <v>19995</v>
      </c>
      <c r="F92" s="32">
        <f t="shared" si="17"/>
        <v>169995</v>
      </c>
      <c r="G92" s="34">
        <v>50</v>
      </c>
      <c r="H92" s="32">
        <v>3399.9</v>
      </c>
      <c r="I92" s="31">
        <v>33</v>
      </c>
      <c r="J92" s="35">
        <f t="shared" si="14"/>
        <v>17</v>
      </c>
      <c r="K92" s="36">
        <f t="shared" si="18"/>
        <v>112196.7</v>
      </c>
      <c r="L92" s="32">
        <f t="shared" si="15"/>
        <v>57798.3</v>
      </c>
      <c r="M92" s="31"/>
      <c r="N92" s="1"/>
    </row>
    <row r="93" spans="1:14" ht="18.75" x14ac:dyDescent="0.3">
      <c r="A93" s="18"/>
      <c r="B93" s="34">
        <v>88</v>
      </c>
      <c r="C93" s="31" t="s">
        <v>86</v>
      </c>
      <c r="D93" s="33">
        <v>150000</v>
      </c>
      <c r="E93" s="33">
        <v>19995</v>
      </c>
      <c r="F93" s="32">
        <f t="shared" si="17"/>
        <v>169995</v>
      </c>
      <c r="G93" s="34">
        <v>50</v>
      </c>
      <c r="H93" s="32">
        <v>3399.9</v>
      </c>
      <c r="I93" s="31">
        <v>48</v>
      </c>
      <c r="J93" s="35">
        <f t="shared" si="14"/>
        <v>2</v>
      </c>
      <c r="K93" s="36">
        <f t="shared" si="18"/>
        <v>163195.20000000001</v>
      </c>
      <c r="L93" s="32">
        <f t="shared" si="15"/>
        <v>6799.7999999999884</v>
      </c>
      <c r="M93" s="31"/>
      <c r="N93" s="1"/>
    </row>
    <row r="94" spans="1:14" ht="18.75" x14ac:dyDescent="0.3">
      <c r="A94" s="18"/>
      <c r="B94" s="34">
        <v>89</v>
      </c>
      <c r="C94" s="31" t="s">
        <v>87</v>
      </c>
      <c r="D94" s="33">
        <v>150000</v>
      </c>
      <c r="E94" s="33">
        <v>19995</v>
      </c>
      <c r="F94" s="32">
        <f t="shared" si="17"/>
        <v>169995</v>
      </c>
      <c r="G94" s="34">
        <v>50</v>
      </c>
      <c r="H94" s="32">
        <v>3399.9</v>
      </c>
      <c r="I94" s="31">
        <v>48</v>
      </c>
      <c r="J94" s="35">
        <f t="shared" si="14"/>
        <v>2</v>
      </c>
      <c r="K94" s="36">
        <f t="shared" si="18"/>
        <v>163195.20000000001</v>
      </c>
      <c r="L94" s="32">
        <f t="shared" si="15"/>
        <v>6799.7999999999884</v>
      </c>
      <c r="M94" s="31"/>
      <c r="N94" s="1"/>
    </row>
    <row r="95" spans="1:14" ht="18.75" x14ac:dyDescent="0.3">
      <c r="A95" s="18"/>
      <c r="B95" s="34">
        <v>90</v>
      </c>
      <c r="C95" s="31" t="s">
        <v>89</v>
      </c>
      <c r="D95" s="33">
        <v>150000</v>
      </c>
      <c r="E95" s="33">
        <v>19995</v>
      </c>
      <c r="F95" s="32">
        <f t="shared" si="17"/>
        <v>169995</v>
      </c>
      <c r="G95" s="34">
        <v>50</v>
      </c>
      <c r="H95" s="32">
        <v>3399.9</v>
      </c>
      <c r="I95" s="31">
        <v>33</v>
      </c>
      <c r="J95" s="35">
        <f t="shared" si="14"/>
        <v>17</v>
      </c>
      <c r="K95" s="36">
        <f t="shared" si="18"/>
        <v>112196.7</v>
      </c>
      <c r="L95" s="32">
        <f t="shared" si="15"/>
        <v>57798.3</v>
      </c>
      <c r="M95" s="31"/>
      <c r="N95" s="1"/>
    </row>
    <row r="96" spans="1:14" ht="18.75" x14ac:dyDescent="0.3">
      <c r="A96" s="18"/>
      <c r="B96" s="34">
        <v>91</v>
      </c>
      <c r="C96" s="31" t="s">
        <v>91</v>
      </c>
      <c r="D96" s="33">
        <v>150000</v>
      </c>
      <c r="E96" s="33">
        <v>19995</v>
      </c>
      <c r="F96" s="32">
        <f t="shared" si="17"/>
        <v>169995</v>
      </c>
      <c r="G96" s="34">
        <v>50</v>
      </c>
      <c r="H96" s="32">
        <v>3399.9</v>
      </c>
      <c r="I96" s="31">
        <v>48</v>
      </c>
      <c r="J96" s="35">
        <f t="shared" si="14"/>
        <v>2</v>
      </c>
      <c r="K96" s="36">
        <f t="shared" si="18"/>
        <v>163195.20000000001</v>
      </c>
      <c r="L96" s="32">
        <f t="shared" si="15"/>
        <v>6799.7999999999884</v>
      </c>
      <c r="M96" s="31"/>
      <c r="N96" s="1"/>
    </row>
    <row r="97" spans="1:14" ht="18.75" x14ac:dyDescent="0.3">
      <c r="A97" s="18"/>
      <c r="B97" s="34">
        <v>92</v>
      </c>
      <c r="C97" s="31" t="s">
        <v>94</v>
      </c>
      <c r="D97" s="33">
        <v>150000</v>
      </c>
      <c r="E97" s="33">
        <v>19995</v>
      </c>
      <c r="F97" s="32">
        <f t="shared" si="17"/>
        <v>169995</v>
      </c>
      <c r="G97" s="34">
        <v>50</v>
      </c>
      <c r="H97" s="32">
        <v>3399.9</v>
      </c>
      <c r="I97" s="31">
        <v>33</v>
      </c>
      <c r="J97" s="35">
        <f t="shared" si="14"/>
        <v>17</v>
      </c>
      <c r="K97" s="36">
        <f t="shared" si="18"/>
        <v>112196.7</v>
      </c>
      <c r="L97" s="32">
        <f t="shared" si="15"/>
        <v>57798.3</v>
      </c>
      <c r="M97" s="31"/>
      <c r="N97" s="1"/>
    </row>
    <row r="98" spans="1:14" ht="18.75" x14ac:dyDescent="0.3">
      <c r="A98" s="18"/>
      <c r="B98" s="34">
        <v>93</v>
      </c>
      <c r="C98" s="31" t="s">
        <v>224</v>
      </c>
      <c r="D98" s="33">
        <v>150000</v>
      </c>
      <c r="E98" s="33">
        <v>19995</v>
      </c>
      <c r="F98" s="32">
        <f t="shared" si="17"/>
        <v>169995</v>
      </c>
      <c r="G98" s="34">
        <v>50</v>
      </c>
      <c r="H98" s="32">
        <v>3399.9</v>
      </c>
      <c r="I98" s="31">
        <v>48</v>
      </c>
      <c r="J98" s="35">
        <f t="shared" si="14"/>
        <v>2</v>
      </c>
      <c r="K98" s="36">
        <f t="shared" si="18"/>
        <v>163195.20000000001</v>
      </c>
      <c r="L98" s="32">
        <f t="shared" si="15"/>
        <v>6799.7999999999884</v>
      </c>
      <c r="M98" s="31"/>
      <c r="N98" s="1"/>
    </row>
    <row r="99" spans="1:14" ht="18.75" x14ac:dyDescent="0.3">
      <c r="A99" s="18"/>
      <c r="B99" s="34">
        <v>94</v>
      </c>
      <c r="C99" s="31" t="s">
        <v>193</v>
      </c>
      <c r="D99" s="33">
        <v>150000</v>
      </c>
      <c r="E99" s="33">
        <v>19995</v>
      </c>
      <c r="F99" s="32">
        <f t="shared" si="17"/>
        <v>169995</v>
      </c>
      <c r="G99" s="34">
        <v>50</v>
      </c>
      <c r="H99" s="32">
        <v>3399.9</v>
      </c>
      <c r="I99" s="31">
        <v>33</v>
      </c>
      <c r="J99" s="35">
        <f t="shared" si="14"/>
        <v>17</v>
      </c>
      <c r="K99" s="36">
        <f t="shared" si="18"/>
        <v>112196.7</v>
      </c>
      <c r="L99" s="32">
        <f t="shared" si="15"/>
        <v>57798.3</v>
      </c>
      <c r="M99" s="31"/>
      <c r="N99" s="1"/>
    </row>
    <row r="100" spans="1:14" ht="18.75" x14ac:dyDescent="0.3">
      <c r="A100" s="18"/>
      <c r="B100" s="34">
        <v>95</v>
      </c>
      <c r="C100" s="31" t="s">
        <v>101</v>
      </c>
      <c r="D100" s="33">
        <v>150000</v>
      </c>
      <c r="E100" s="33">
        <v>19995</v>
      </c>
      <c r="F100" s="32">
        <f t="shared" si="17"/>
        <v>169995</v>
      </c>
      <c r="G100" s="34">
        <v>50</v>
      </c>
      <c r="H100" s="32">
        <v>3399.9</v>
      </c>
      <c r="I100" s="31">
        <v>31</v>
      </c>
      <c r="J100" s="35">
        <f t="shared" si="14"/>
        <v>19</v>
      </c>
      <c r="K100" s="36">
        <f t="shared" si="18"/>
        <v>105396.90000000001</v>
      </c>
      <c r="L100" s="32">
        <f t="shared" si="15"/>
        <v>64598.099999999991</v>
      </c>
      <c r="M100" s="31"/>
      <c r="N100" s="1"/>
    </row>
    <row r="101" spans="1:14" ht="18.75" x14ac:dyDescent="0.3">
      <c r="A101" s="18"/>
      <c r="B101" s="34">
        <v>96</v>
      </c>
      <c r="C101" s="31" t="s">
        <v>102</v>
      </c>
      <c r="D101" s="33">
        <v>150000</v>
      </c>
      <c r="E101" s="33">
        <v>19995</v>
      </c>
      <c r="F101" s="32">
        <f t="shared" si="17"/>
        <v>169995</v>
      </c>
      <c r="G101" s="34">
        <v>50</v>
      </c>
      <c r="H101" s="32">
        <v>3399.9</v>
      </c>
      <c r="I101" s="31">
        <v>33</v>
      </c>
      <c r="J101" s="35">
        <f t="shared" si="14"/>
        <v>17</v>
      </c>
      <c r="K101" s="36">
        <f t="shared" si="18"/>
        <v>112196.7</v>
      </c>
      <c r="L101" s="32">
        <f t="shared" si="15"/>
        <v>57798.3</v>
      </c>
      <c r="M101" s="31"/>
      <c r="N101" s="1"/>
    </row>
    <row r="102" spans="1:14" ht="18.75" x14ac:dyDescent="0.3">
      <c r="A102" s="18"/>
      <c r="B102" s="34">
        <v>97</v>
      </c>
      <c r="C102" s="31" t="s">
        <v>104</v>
      </c>
      <c r="D102" s="33">
        <v>150000</v>
      </c>
      <c r="E102" s="33">
        <v>19995</v>
      </c>
      <c r="F102" s="32">
        <f t="shared" si="17"/>
        <v>169995</v>
      </c>
      <c r="G102" s="34">
        <v>50</v>
      </c>
      <c r="H102" s="32">
        <v>3399.9</v>
      </c>
      <c r="I102" s="31">
        <v>48</v>
      </c>
      <c r="J102" s="35">
        <f t="shared" ref="J102:J133" si="19">G102-I102</f>
        <v>2</v>
      </c>
      <c r="K102" s="36">
        <f t="shared" si="18"/>
        <v>163195.20000000001</v>
      </c>
      <c r="L102" s="32">
        <f t="shared" ref="L102:L128" si="20">F102-K102</f>
        <v>6799.7999999999884</v>
      </c>
      <c r="M102" s="31"/>
      <c r="N102" s="1"/>
    </row>
    <row r="103" spans="1:14" ht="18.75" x14ac:dyDescent="0.3">
      <c r="A103" s="18"/>
      <c r="B103" s="34">
        <v>98</v>
      </c>
      <c r="C103" s="31" t="s">
        <v>110</v>
      </c>
      <c r="D103" s="33">
        <v>150000</v>
      </c>
      <c r="E103" s="33">
        <v>19995</v>
      </c>
      <c r="F103" s="32">
        <f t="shared" si="17"/>
        <v>169995</v>
      </c>
      <c r="G103" s="34">
        <v>50</v>
      </c>
      <c r="H103" s="32">
        <v>3399.9</v>
      </c>
      <c r="I103" s="31">
        <v>33</v>
      </c>
      <c r="J103" s="35">
        <f t="shared" si="19"/>
        <v>17</v>
      </c>
      <c r="K103" s="36">
        <f t="shared" si="18"/>
        <v>112196.7</v>
      </c>
      <c r="L103" s="32">
        <f t="shared" si="20"/>
        <v>57798.3</v>
      </c>
      <c r="M103" s="31"/>
      <c r="N103" s="1"/>
    </row>
    <row r="104" spans="1:14" ht="18.75" x14ac:dyDescent="0.3">
      <c r="A104" s="18"/>
      <c r="B104" s="34">
        <v>99</v>
      </c>
      <c r="C104" s="31" t="s">
        <v>225</v>
      </c>
      <c r="D104" s="33">
        <v>150000</v>
      </c>
      <c r="E104" s="33">
        <v>19995</v>
      </c>
      <c r="F104" s="32">
        <f t="shared" si="17"/>
        <v>169995</v>
      </c>
      <c r="G104" s="34">
        <v>50</v>
      </c>
      <c r="H104" s="32">
        <v>3399.9</v>
      </c>
      <c r="I104" s="31">
        <v>48</v>
      </c>
      <c r="J104" s="35">
        <f t="shared" si="19"/>
        <v>2</v>
      </c>
      <c r="K104" s="36">
        <f t="shared" si="18"/>
        <v>163195.20000000001</v>
      </c>
      <c r="L104" s="32">
        <f t="shared" si="20"/>
        <v>6799.7999999999884</v>
      </c>
      <c r="M104" s="31"/>
      <c r="N104" s="1"/>
    </row>
    <row r="105" spans="1:14" ht="18.75" x14ac:dyDescent="0.3">
      <c r="A105" s="18"/>
      <c r="B105" s="34">
        <v>100</v>
      </c>
      <c r="C105" s="31" t="s">
        <v>113</v>
      </c>
      <c r="D105" s="33">
        <v>150000</v>
      </c>
      <c r="E105" s="33">
        <v>19995</v>
      </c>
      <c r="F105" s="32">
        <f t="shared" si="17"/>
        <v>169995</v>
      </c>
      <c r="G105" s="34">
        <v>50</v>
      </c>
      <c r="H105" s="32">
        <v>3399.9</v>
      </c>
      <c r="I105" s="31">
        <v>48</v>
      </c>
      <c r="J105" s="35">
        <f t="shared" si="19"/>
        <v>2</v>
      </c>
      <c r="K105" s="36">
        <f t="shared" si="18"/>
        <v>163195.20000000001</v>
      </c>
      <c r="L105" s="32">
        <f t="shared" si="20"/>
        <v>6799.7999999999884</v>
      </c>
      <c r="M105" s="31"/>
      <c r="N105" s="1"/>
    </row>
    <row r="106" spans="1:14" ht="18.75" x14ac:dyDescent="0.3">
      <c r="A106" s="18"/>
      <c r="B106" s="34">
        <v>101</v>
      </c>
      <c r="C106" s="31" t="s">
        <v>114</v>
      </c>
      <c r="D106" s="33">
        <v>150000</v>
      </c>
      <c r="E106" s="33">
        <v>19995</v>
      </c>
      <c r="F106" s="32">
        <f t="shared" si="17"/>
        <v>169995</v>
      </c>
      <c r="G106" s="34">
        <v>50</v>
      </c>
      <c r="H106" s="32">
        <v>3399.9</v>
      </c>
      <c r="I106" s="31">
        <v>33</v>
      </c>
      <c r="J106" s="35">
        <f t="shared" si="19"/>
        <v>17</v>
      </c>
      <c r="K106" s="36">
        <f t="shared" si="18"/>
        <v>112196.7</v>
      </c>
      <c r="L106" s="32">
        <f t="shared" si="20"/>
        <v>57798.3</v>
      </c>
      <c r="M106" s="31"/>
      <c r="N106" s="1"/>
    </row>
    <row r="107" spans="1:14" ht="18.75" x14ac:dyDescent="0.3">
      <c r="A107" s="18"/>
      <c r="B107" s="34">
        <v>102</v>
      </c>
      <c r="C107" s="31" t="s">
        <v>236</v>
      </c>
      <c r="D107" s="33">
        <v>150000</v>
      </c>
      <c r="E107" s="33">
        <v>19995</v>
      </c>
      <c r="F107" s="32">
        <f t="shared" si="17"/>
        <v>169995</v>
      </c>
      <c r="G107" s="34">
        <v>50</v>
      </c>
      <c r="H107" s="32">
        <v>3399.9</v>
      </c>
      <c r="I107" s="31">
        <v>33</v>
      </c>
      <c r="J107" s="35">
        <f t="shared" si="19"/>
        <v>17</v>
      </c>
      <c r="K107" s="36">
        <f t="shared" si="18"/>
        <v>112196.7</v>
      </c>
      <c r="L107" s="32">
        <f t="shared" si="20"/>
        <v>57798.3</v>
      </c>
      <c r="M107" s="31"/>
      <c r="N107" s="1"/>
    </row>
    <row r="108" spans="1:14" ht="18.75" x14ac:dyDescent="0.3">
      <c r="A108" s="18"/>
      <c r="B108" s="34">
        <v>103</v>
      </c>
      <c r="C108" s="31" t="s">
        <v>117</v>
      </c>
      <c r="D108" s="33">
        <v>150000</v>
      </c>
      <c r="E108" s="33">
        <v>19995</v>
      </c>
      <c r="F108" s="32">
        <f t="shared" si="17"/>
        <v>169995</v>
      </c>
      <c r="G108" s="34">
        <v>50</v>
      </c>
      <c r="H108" s="32">
        <v>3399.9</v>
      </c>
      <c r="I108" s="31">
        <v>48</v>
      </c>
      <c r="J108" s="35">
        <f t="shared" si="19"/>
        <v>2</v>
      </c>
      <c r="K108" s="36">
        <f t="shared" si="18"/>
        <v>163195.20000000001</v>
      </c>
      <c r="L108" s="32">
        <f t="shared" si="20"/>
        <v>6799.7999999999884</v>
      </c>
      <c r="M108" s="31"/>
      <c r="N108" s="1"/>
    </row>
    <row r="109" spans="1:14" ht="18.75" x14ac:dyDescent="0.3">
      <c r="A109" s="18"/>
      <c r="B109" s="34">
        <v>104</v>
      </c>
      <c r="C109" s="31" t="s">
        <v>155</v>
      </c>
      <c r="D109" s="33">
        <v>150000</v>
      </c>
      <c r="E109" s="33">
        <v>19995</v>
      </c>
      <c r="F109" s="32">
        <f t="shared" si="17"/>
        <v>169995</v>
      </c>
      <c r="G109" s="34">
        <v>50</v>
      </c>
      <c r="H109" s="32">
        <v>3399.9</v>
      </c>
      <c r="I109" s="31">
        <v>33</v>
      </c>
      <c r="J109" s="35">
        <f t="shared" si="19"/>
        <v>17</v>
      </c>
      <c r="K109" s="36">
        <f t="shared" si="18"/>
        <v>112196.7</v>
      </c>
      <c r="L109" s="32">
        <f t="shared" si="20"/>
        <v>57798.3</v>
      </c>
      <c r="M109" s="31"/>
      <c r="N109" s="1"/>
    </row>
    <row r="110" spans="1:14" ht="18.75" x14ac:dyDescent="0.3">
      <c r="A110" s="18"/>
      <c r="B110" s="34">
        <v>105</v>
      </c>
      <c r="C110" s="31" t="s">
        <v>176</v>
      </c>
      <c r="D110" s="33">
        <v>150000</v>
      </c>
      <c r="E110" s="33">
        <v>19995</v>
      </c>
      <c r="F110" s="32">
        <f t="shared" si="17"/>
        <v>169995</v>
      </c>
      <c r="G110" s="34">
        <v>50</v>
      </c>
      <c r="H110" s="32">
        <v>3399.9</v>
      </c>
      <c r="I110" s="31">
        <v>48</v>
      </c>
      <c r="J110" s="35">
        <f t="shared" si="19"/>
        <v>2</v>
      </c>
      <c r="K110" s="36">
        <f t="shared" si="18"/>
        <v>163195.20000000001</v>
      </c>
      <c r="L110" s="32">
        <f t="shared" si="20"/>
        <v>6799.7999999999884</v>
      </c>
      <c r="M110" s="31"/>
      <c r="N110" s="1"/>
    </row>
    <row r="111" spans="1:14" ht="18.75" x14ac:dyDescent="0.3">
      <c r="A111" s="18"/>
      <c r="B111" s="34">
        <v>106</v>
      </c>
      <c r="C111" s="31" t="s">
        <v>120</v>
      </c>
      <c r="D111" s="33">
        <v>150000</v>
      </c>
      <c r="E111" s="33">
        <v>19995</v>
      </c>
      <c r="F111" s="32">
        <f t="shared" si="17"/>
        <v>169995</v>
      </c>
      <c r="G111" s="34">
        <v>50</v>
      </c>
      <c r="H111" s="32">
        <v>3399.9</v>
      </c>
      <c r="I111" s="31">
        <v>33</v>
      </c>
      <c r="J111" s="35">
        <f t="shared" si="19"/>
        <v>17</v>
      </c>
      <c r="K111" s="36">
        <f t="shared" si="18"/>
        <v>112196.7</v>
      </c>
      <c r="L111" s="32">
        <f t="shared" si="20"/>
        <v>57798.3</v>
      </c>
      <c r="M111" s="31"/>
      <c r="N111" s="1"/>
    </row>
    <row r="112" spans="1:14" ht="18.75" x14ac:dyDescent="0.3">
      <c r="A112" s="18"/>
      <c r="B112" s="34">
        <v>107</v>
      </c>
      <c r="C112" s="31" t="s">
        <v>197</v>
      </c>
      <c r="D112" s="33">
        <v>150000</v>
      </c>
      <c r="E112" s="33">
        <v>19995</v>
      </c>
      <c r="F112" s="32">
        <f t="shared" si="17"/>
        <v>169995</v>
      </c>
      <c r="G112" s="34">
        <v>50</v>
      </c>
      <c r="H112" s="32">
        <v>3399.9</v>
      </c>
      <c r="I112" s="31">
        <v>33</v>
      </c>
      <c r="J112" s="35">
        <f t="shared" si="19"/>
        <v>17</v>
      </c>
      <c r="K112" s="36">
        <f t="shared" si="18"/>
        <v>112196.7</v>
      </c>
      <c r="L112" s="32">
        <f t="shared" si="20"/>
        <v>57798.3</v>
      </c>
      <c r="M112" s="31"/>
      <c r="N112" s="1"/>
    </row>
    <row r="113" spans="1:14" ht="18.75" x14ac:dyDescent="0.3">
      <c r="A113" s="18"/>
      <c r="B113" s="34">
        <v>108</v>
      </c>
      <c r="C113" s="31" t="s">
        <v>124</v>
      </c>
      <c r="D113" s="33">
        <v>150000</v>
      </c>
      <c r="E113" s="33">
        <v>19995</v>
      </c>
      <c r="F113" s="32">
        <f t="shared" si="17"/>
        <v>169995</v>
      </c>
      <c r="G113" s="34">
        <v>50</v>
      </c>
      <c r="H113" s="32">
        <v>3399.9</v>
      </c>
      <c r="I113" s="31">
        <v>33</v>
      </c>
      <c r="J113" s="35">
        <f t="shared" si="19"/>
        <v>17</v>
      </c>
      <c r="K113" s="36">
        <f>I113*H113</f>
        <v>112196.7</v>
      </c>
      <c r="L113" s="32">
        <f t="shared" si="20"/>
        <v>57798.3</v>
      </c>
      <c r="M113" s="31"/>
      <c r="N113" s="1"/>
    </row>
    <row r="114" spans="1:14" ht="18.75" x14ac:dyDescent="0.3">
      <c r="A114" s="18"/>
      <c r="B114" s="34">
        <v>109</v>
      </c>
      <c r="C114" s="31" t="s">
        <v>127</v>
      </c>
      <c r="D114" s="33">
        <v>150000</v>
      </c>
      <c r="E114" s="33">
        <v>19995</v>
      </c>
      <c r="F114" s="32">
        <f t="shared" si="17"/>
        <v>169995</v>
      </c>
      <c r="G114" s="34">
        <v>50</v>
      </c>
      <c r="H114" s="32">
        <v>3399.9</v>
      </c>
      <c r="I114" s="31">
        <v>48</v>
      </c>
      <c r="J114" s="35">
        <f t="shared" si="19"/>
        <v>2</v>
      </c>
      <c r="K114" s="36">
        <f t="shared" ref="K114:K128" si="21">H114*I114</f>
        <v>163195.20000000001</v>
      </c>
      <c r="L114" s="32">
        <f t="shared" si="20"/>
        <v>6799.7999999999884</v>
      </c>
      <c r="M114" s="31"/>
      <c r="N114" s="1"/>
    </row>
    <row r="115" spans="1:14" ht="18.75" x14ac:dyDescent="0.3">
      <c r="A115" s="18"/>
      <c r="B115" s="34">
        <v>110</v>
      </c>
      <c r="C115" s="31" t="s">
        <v>200</v>
      </c>
      <c r="D115" s="33">
        <v>150000</v>
      </c>
      <c r="E115" s="33">
        <v>19995</v>
      </c>
      <c r="F115" s="32">
        <f t="shared" si="17"/>
        <v>169995</v>
      </c>
      <c r="G115" s="34">
        <v>50</v>
      </c>
      <c r="H115" s="32">
        <v>3399.9</v>
      </c>
      <c r="I115" s="31">
        <v>48</v>
      </c>
      <c r="J115" s="35">
        <f t="shared" si="19"/>
        <v>2</v>
      </c>
      <c r="K115" s="36">
        <f t="shared" si="21"/>
        <v>163195.20000000001</v>
      </c>
      <c r="L115" s="32">
        <f t="shared" si="20"/>
        <v>6799.7999999999884</v>
      </c>
      <c r="M115" s="31"/>
      <c r="N115" s="1"/>
    </row>
    <row r="116" spans="1:14" ht="18.75" x14ac:dyDescent="0.3">
      <c r="A116" s="18"/>
      <c r="B116" s="34">
        <v>111</v>
      </c>
      <c r="C116" s="31" t="s">
        <v>199</v>
      </c>
      <c r="D116" s="33">
        <v>150000</v>
      </c>
      <c r="E116" s="33">
        <v>19995</v>
      </c>
      <c r="F116" s="32">
        <f t="shared" si="17"/>
        <v>169995</v>
      </c>
      <c r="G116" s="34">
        <v>50</v>
      </c>
      <c r="H116" s="32">
        <v>3399.9</v>
      </c>
      <c r="I116" s="31">
        <v>48</v>
      </c>
      <c r="J116" s="35">
        <f t="shared" si="19"/>
        <v>2</v>
      </c>
      <c r="K116" s="36">
        <f t="shared" si="21"/>
        <v>163195.20000000001</v>
      </c>
      <c r="L116" s="32">
        <f t="shared" si="20"/>
        <v>6799.7999999999884</v>
      </c>
      <c r="M116" s="31"/>
      <c r="N116" s="1"/>
    </row>
    <row r="117" spans="1:14" ht="18.75" x14ac:dyDescent="0.3">
      <c r="A117" s="18"/>
      <c r="B117" s="34">
        <v>112</v>
      </c>
      <c r="C117" s="31" t="s">
        <v>129</v>
      </c>
      <c r="D117" s="33">
        <v>150000</v>
      </c>
      <c r="E117" s="33">
        <v>19995</v>
      </c>
      <c r="F117" s="32">
        <f t="shared" si="17"/>
        <v>169995</v>
      </c>
      <c r="G117" s="34">
        <v>50</v>
      </c>
      <c r="H117" s="32">
        <v>3399.9</v>
      </c>
      <c r="I117" s="31">
        <v>31</v>
      </c>
      <c r="J117" s="35">
        <f t="shared" si="19"/>
        <v>19</v>
      </c>
      <c r="K117" s="36">
        <f t="shared" si="21"/>
        <v>105396.90000000001</v>
      </c>
      <c r="L117" s="32">
        <f t="shared" si="20"/>
        <v>64598.099999999991</v>
      </c>
      <c r="M117" s="31"/>
      <c r="N117" s="1"/>
    </row>
    <row r="118" spans="1:14" ht="18.75" x14ac:dyDescent="0.3">
      <c r="A118" s="18"/>
      <c r="B118" s="34">
        <v>113</v>
      </c>
      <c r="C118" s="31" t="s">
        <v>130</v>
      </c>
      <c r="D118" s="33">
        <v>150000</v>
      </c>
      <c r="E118" s="33">
        <v>19995</v>
      </c>
      <c r="F118" s="32">
        <f t="shared" si="17"/>
        <v>169995</v>
      </c>
      <c r="G118" s="34">
        <v>50</v>
      </c>
      <c r="H118" s="32">
        <v>3399.9</v>
      </c>
      <c r="I118" s="31">
        <v>32</v>
      </c>
      <c r="J118" s="35">
        <f t="shared" si="19"/>
        <v>18</v>
      </c>
      <c r="K118" s="36">
        <f t="shared" si="21"/>
        <v>108796.8</v>
      </c>
      <c r="L118" s="32">
        <f t="shared" si="20"/>
        <v>61198.2</v>
      </c>
      <c r="M118" s="31"/>
      <c r="N118" s="1"/>
    </row>
    <row r="119" spans="1:14" ht="18.75" x14ac:dyDescent="0.3">
      <c r="A119" s="18"/>
      <c r="B119" s="34">
        <v>114</v>
      </c>
      <c r="C119" s="31" t="s">
        <v>131</v>
      </c>
      <c r="D119" s="33">
        <v>150000</v>
      </c>
      <c r="E119" s="33">
        <v>19995</v>
      </c>
      <c r="F119" s="32">
        <f t="shared" ref="F119:F150" si="22">D119+E119</f>
        <v>169995</v>
      </c>
      <c r="G119" s="34">
        <v>50</v>
      </c>
      <c r="H119" s="32">
        <v>3399.9</v>
      </c>
      <c r="I119" s="31">
        <v>33</v>
      </c>
      <c r="J119" s="35">
        <f t="shared" si="19"/>
        <v>17</v>
      </c>
      <c r="K119" s="36">
        <f t="shared" si="21"/>
        <v>112196.7</v>
      </c>
      <c r="L119" s="32">
        <f t="shared" si="20"/>
        <v>57798.3</v>
      </c>
      <c r="M119" s="31"/>
      <c r="N119" s="1"/>
    </row>
    <row r="120" spans="1:14" ht="18.75" x14ac:dyDescent="0.3">
      <c r="A120" s="18"/>
      <c r="B120" s="34">
        <v>115</v>
      </c>
      <c r="C120" s="31" t="s">
        <v>201</v>
      </c>
      <c r="D120" s="33">
        <v>150000</v>
      </c>
      <c r="E120" s="33">
        <v>19995</v>
      </c>
      <c r="F120" s="32">
        <f t="shared" si="22"/>
        <v>169995</v>
      </c>
      <c r="G120" s="34">
        <v>50</v>
      </c>
      <c r="H120" s="32">
        <v>3399.9</v>
      </c>
      <c r="I120" s="31">
        <v>33</v>
      </c>
      <c r="J120" s="35">
        <f t="shared" si="19"/>
        <v>17</v>
      </c>
      <c r="K120" s="36">
        <f t="shared" si="21"/>
        <v>112196.7</v>
      </c>
      <c r="L120" s="32">
        <f t="shared" si="20"/>
        <v>57798.3</v>
      </c>
      <c r="M120" s="31"/>
      <c r="N120" s="1"/>
    </row>
    <row r="121" spans="1:14" ht="18.75" x14ac:dyDescent="0.3">
      <c r="A121" s="18"/>
      <c r="B121" s="34">
        <v>116</v>
      </c>
      <c r="C121" s="31" t="s">
        <v>133</v>
      </c>
      <c r="D121" s="33">
        <v>150000</v>
      </c>
      <c r="E121" s="33">
        <v>19995</v>
      </c>
      <c r="F121" s="32">
        <f t="shared" si="22"/>
        <v>169995</v>
      </c>
      <c r="G121" s="34">
        <v>50</v>
      </c>
      <c r="H121" s="32">
        <v>3399.9</v>
      </c>
      <c r="I121" s="31">
        <v>33</v>
      </c>
      <c r="J121" s="35">
        <f t="shared" si="19"/>
        <v>17</v>
      </c>
      <c r="K121" s="36">
        <f t="shared" si="21"/>
        <v>112196.7</v>
      </c>
      <c r="L121" s="32">
        <f t="shared" si="20"/>
        <v>57798.3</v>
      </c>
      <c r="M121" s="31"/>
      <c r="N121" s="1"/>
    </row>
    <row r="122" spans="1:14" ht="18.75" x14ac:dyDescent="0.3">
      <c r="A122" s="18"/>
      <c r="B122" s="34">
        <v>117</v>
      </c>
      <c r="C122" s="31" t="s">
        <v>134</v>
      </c>
      <c r="D122" s="33">
        <v>150000</v>
      </c>
      <c r="E122" s="33">
        <v>19995</v>
      </c>
      <c r="F122" s="32">
        <f t="shared" si="22"/>
        <v>169995</v>
      </c>
      <c r="G122" s="34">
        <v>50</v>
      </c>
      <c r="H122" s="32">
        <v>3399.9</v>
      </c>
      <c r="I122" s="31">
        <v>48</v>
      </c>
      <c r="J122" s="35">
        <f t="shared" si="19"/>
        <v>2</v>
      </c>
      <c r="K122" s="36">
        <f t="shared" si="21"/>
        <v>163195.20000000001</v>
      </c>
      <c r="L122" s="32">
        <f t="shared" si="20"/>
        <v>6799.7999999999884</v>
      </c>
      <c r="M122" s="31"/>
      <c r="N122" s="1"/>
    </row>
    <row r="123" spans="1:14" ht="18.75" x14ac:dyDescent="0.3">
      <c r="A123" s="18"/>
      <c r="B123" s="34">
        <v>118</v>
      </c>
      <c r="C123" s="31" t="s">
        <v>203</v>
      </c>
      <c r="D123" s="33">
        <v>150000</v>
      </c>
      <c r="E123" s="33">
        <v>19995</v>
      </c>
      <c r="F123" s="32">
        <f t="shared" si="22"/>
        <v>169995</v>
      </c>
      <c r="G123" s="34">
        <v>50</v>
      </c>
      <c r="H123" s="32">
        <v>3399.9</v>
      </c>
      <c r="I123" s="31">
        <v>48</v>
      </c>
      <c r="J123" s="35">
        <f t="shared" si="19"/>
        <v>2</v>
      </c>
      <c r="K123" s="36">
        <f t="shared" si="21"/>
        <v>163195.20000000001</v>
      </c>
      <c r="L123" s="32">
        <f t="shared" si="20"/>
        <v>6799.7999999999884</v>
      </c>
      <c r="M123" s="31"/>
      <c r="N123" s="1"/>
    </row>
    <row r="124" spans="1:14" ht="18.75" x14ac:dyDescent="0.3">
      <c r="A124" s="18"/>
      <c r="B124" s="34">
        <v>119</v>
      </c>
      <c r="C124" s="31" t="s">
        <v>136</v>
      </c>
      <c r="D124" s="33">
        <v>150000</v>
      </c>
      <c r="E124" s="33">
        <v>19995</v>
      </c>
      <c r="F124" s="32">
        <f t="shared" si="22"/>
        <v>169995</v>
      </c>
      <c r="G124" s="34">
        <v>50</v>
      </c>
      <c r="H124" s="32">
        <v>3399.9</v>
      </c>
      <c r="I124" s="31">
        <v>48</v>
      </c>
      <c r="J124" s="35">
        <f t="shared" si="19"/>
        <v>2</v>
      </c>
      <c r="K124" s="36">
        <f t="shared" si="21"/>
        <v>163195.20000000001</v>
      </c>
      <c r="L124" s="32">
        <f t="shared" si="20"/>
        <v>6799.7999999999884</v>
      </c>
      <c r="M124" s="31"/>
      <c r="N124" s="1"/>
    </row>
    <row r="125" spans="1:14" ht="18.75" x14ac:dyDescent="0.3">
      <c r="A125" s="18"/>
      <c r="B125" s="34">
        <v>120</v>
      </c>
      <c r="C125" s="31" t="s">
        <v>137</v>
      </c>
      <c r="D125" s="33">
        <v>150000</v>
      </c>
      <c r="E125" s="33">
        <v>19995</v>
      </c>
      <c r="F125" s="32">
        <f t="shared" si="22"/>
        <v>169995</v>
      </c>
      <c r="G125" s="34">
        <v>50</v>
      </c>
      <c r="H125" s="32">
        <v>3399.9</v>
      </c>
      <c r="I125" s="31">
        <v>33</v>
      </c>
      <c r="J125" s="35">
        <f t="shared" si="19"/>
        <v>17</v>
      </c>
      <c r="K125" s="36">
        <f t="shared" si="21"/>
        <v>112196.7</v>
      </c>
      <c r="L125" s="32">
        <f t="shared" si="20"/>
        <v>57798.3</v>
      </c>
      <c r="M125" s="31"/>
      <c r="N125" s="1"/>
    </row>
    <row r="126" spans="1:14" ht="18.75" x14ac:dyDescent="0.3">
      <c r="A126" s="18"/>
      <c r="B126" s="34">
        <v>121</v>
      </c>
      <c r="C126" s="31" t="s">
        <v>230</v>
      </c>
      <c r="D126" s="33">
        <v>150000</v>
      </c>
      <c r="E126" s="33">
        <v>19995</v>
      </c>
      <c r="F126" s="32">
        <f t="shared" si="22"/>
        <v>169995</v>
      </c>
      <c r="G126" s="34">
        <v>50</v>
      </c>
      <c r="H126" s="32">
        <v>3399.9</v>
      </c>
      <c r="I126" s="31">
        <v>38</v>
      </c>
      <c r="J126" s="35">
        <f t="shared" si="19"/>
        <v>12</v>
      </c>
      <c r="K126" s="36">
        <f t="shared" si="21"/>
        <v>129196.2</v>
      </c>
      <c r="L126" s="32">
        <f t="shared" si="20"/>
        <v>40798.800000000003</v>
      </c>
      <c r="M126" s="31"/>
      <c r="N126" s="1"/>
    </row>
    <row r="127" spans="1:14" ht="18.75" x14ac:dyDescent="0.3">
      <c r="A127" s="18"/>
      <c r="B127" s="34">
        <v>122</v>
      </c>
      <c r="C127" s="31" t="s">
        <v>139</v>
      </c>
      <c r="D127" s="33">
        <v>150000</v>
      </c>
      <c r="E127" s="33">
        <v>19995</v>
      </c>
      <c r="F127" s="32">
        <f t="shared" si="22"/>
        <v>169995</v>
      </c>
      <c r="G127" s="34">
        <v>50</v>
      </c>
      <c r="H127" s="32">
        <v>3399.9</v>
      </c>
      <c r="I127" s="31">
        <v>33</v>
      </c>
      <c r="J127" s="35">
        <f t="shared" si="19"/>
        <v>17</v>
      </c>
      <c r="K127" s="36">
        <f t="shared" si="21"/>
        <v>112196.7</v>
      </c>
      <c r="L127" s="32">
        <f t="shared" si="20"/>
        <v>57798.3</v>
      </c>
      <c r="M127" s="31"/>
      <c r="N127" s="1"/>
    </row>
    <row r="128" spans="1:14" ht="18.75" x14ac:dyDescent="0.3">
      <c r="A128" s="18"/>
      <c r="B128" s="34">
        <v>123</v>
      </c>
      <c r="C128" s="31" t="s">
        <v>229</v>
      </c>
      <c r="D128" s="33">
        <v>150000</v>
      </c>
      <c r="E128" s="33">
        <v>19995</v>
      </c>
      <c r="F128" s="32">
        <f t="shared" si="22"/>
        <v>169995</v>
      </c>
      <c r="G128" s="34">
        <v>50</v>
      </c>
      <c r="H128" s="32">
        <v>3399.9</v>
      </c>
      <c r="I128" s="31">
        <v>28</v>
      </c>
      <c r="J128" s="35">
        <f t="shared" si="19"/>
        <v>22</v>
      </c>
      <c r="K128" s="36">
        <f t="shared" si="21"/>
        <v>95197.2</v>
      </c>
      <c r="L128" s="36">
        <f t="shared" si="20"/>
        <v>74797.8</v>
      </c>
      <c r="M128" s="31"/>
      <c r="N128" s="1"/>
    </row>
    <row r="129" spans="1:14" ht="18.75" x14ac:dyDescent="0.3">
      <c r="A129" s="18"/>
      <c r="B129" s="34">
        <v>124</v>
      </c>
      <c r="C129" s="31" t="s">
        <v>207</v>
      </c>
      <c r="D129" s="33">
        <v>150000</v>
      </c>
      <c r="E129" s="33">
        <v>19995</v>
      </c>
      <c r="F129" s="32">
        <f t="shared" si="22"/>
        <v>169995</v>
      </c>
      <c r="G129" s="34">
        <v>50</v>
      </c>
      <c r="H129" s="32">
        <v>3399.9</v>
      </c>
      <c r="I129" s="31">
        <v>28</v>
      </c>
      <c r="J129" s="35">
        <f t="shared" si="19"/>
        <v>22</v>
      </c>
      <c r="K129" s="36">
        <f t="shared" ref="K129:K157" si="23">I129*H129</f>
        <v>95197.2</v>
      </c>
      <c r="L129" s="36">
        <f>F129-H129</f>
        <v>166595.1</v>
      </c>
      <c r="M129" s="31"/>
      <c r="N129" s="1"/>
    </row>
    <row r="130" spans="1:14" ht="18.75" x14ac:dyDescent="0.3">
      <c r="A130" s="18"/>
      <c r="B130" s="34">
        <v>125</v>
      </c>
      <c r="C130" s="50" t="s">
        <v>147</v>
      </c>
      <c r="D130" s="33">
        <v>150000</v>
      </c>
      <c r="E130" s="33">
        <v>19995</v>
      </c>
      <c r="F130" s="32">
        <f t="shared" si="22"/>
        <v>169995</v>
      </c>
      <c r="G130" s="34">
        <v>50</v>
      </c>
      <c r="H130" s="32">
        <v>3399.9</v>
      </c>
      <c r="I130" s="50">
        <v>22</v>
      </c>
      <c r="J130" s="35">
        <f t="shared" si="19"/>
        <v>28</v>
      </c>
      <c r="K130" s="36">
        <f t="shared" si="23"/>
        <v>74797.8</v>
      </c>
      <c r="L130" s="36">
        <f t="shared" ref="L130:L157" si="24">F130-K130</f>
        <v>95197.2</v>
      </c>
      <c r="M130" s="31"/>
      <c r="N130" s="1"/>
    </row>
    <row r="131" spans="1:14" ht="18.75" x14ac:dyDescent="0.3">
      <c r="A131" s="18"/>
      <c r="B131" s="34">
        <v>126</v>
      </c>
      <c r="C131" s="50" t="s">
        <v>151</v>
      </c>
      <c r="D131" s="33">
        <v>150000</v>
      </c>
      <c r="E131" s="33">
        <v>19995</v>
      </c>
      <c r="F131" s="32">
        <f t="shared" si="22"/>
        <v>169995</v>
      </c>
      <c r="G131" s="34">
        <v>50</v>
      </c>
      <c r="H131" s="32">
        <v>3399.9</v>
      </c>
      <c r="I131" s="50">
        <v>22</v>
      </c>
      <c r="J131" s="35">
        <f t="shared" si="19"/>
        <v>28</v>
      </c>
      <c r="K131" s="36">
        <f t="shared" si="23"/>
        <v>74797.8</v>
      </c>
      <c r="L131" s="36">
        <f t="shared" si="24"/>
        <v>95197.2</v>
      </c>
      <c r="M131" s="31"/>
      <c r="N131" s="1"/>
    </row>
    <row r="132" spans="1:14" ht="18.75" x14ac:dyDescent="0.3">
      <c r="A132" s="18"/>
      <c r="B132" s="34">
        <v>127</v>
      </c>
      <c r="C132" s="50" t="s">
        <v>152</v>
      </c>
      <c r="D132" s="33">
        <v>150000</v>
      </c>
      <c r="E132" s="33">
        <v>19995</v>
      </c>
      <c r="F132" s="32">
        <f t="shared" si="22"/>
        <v>169995</v>
      </c>
      <c r="G132" s="34">
        <v>50</v>
      </c>
      <c r="H132" s="32">
        <v>3399.9</v>
      </c>
      <c r="I132" s="50">
        <v>22</v>
      </c>
      <c r="J132" s="35">
        <f t="shared" si="19"/>
        <v>28</v>
      </c>
      <c r="K132" s="36">
        <f t="shared" si="23"/>
        <v>74797.8</v>
      </c>
      <c r="L132" s="36">
        <f t="shared" si="24"/>
        <v>95197.2</v>
      </c>
      <c r="M132" s="31"/>
      <c r="N132" s="1"/>
    </row>
    <row r="133" spans="1:14" ht="18.75" x14ac:dyDescent="0.3">
      <c r="A133" s="18"/>
      <c r="B133" s="34">
        <v>128</v>
      </c>
      <c r="C133" s="50" t="s">
        <v>153</v>
      </c>
      <c r="D133" s="33">
        <v>150000</v>
      </c>
      <c r="E133" s="33">
        <v>19995</v>
      </c>
      <c r="F133" s="32">
        <f t="shared" si="22"/>
        <v>169995</v>
      </c>
      <c r="G133" s="34">
        <v>50</v>
      </c>
      <c r="H133" s="32">
        <v>3399.9</v>
      </c>
      <c r="I133" s="50">
        <v>22</v>
      </c>
      <c r="J133" s="35">
        <f t="shared" si="19"/>
        <v>28</v>
      </c>
      <c r="K133" s="36">
        <f t="shared" si="23"/>
        <v>74797.8</v>
      </c>
      <c r="L133" s="36">
        <f t="shared" si="24"/>
        <v>95197.2</v>
      </c>
      <c r="M133" s="31"/>
      <c r="N133" s="1"/>
    </row>
    <row r="134" spans="1:14" ht="18.75" x14ac:dyDescent="0.3">
      <c r="A134" s="18"/>
      <c r="B134" s="34">
        <v>129</v>
      </c>
      <c r="C134" s="50" t="s">
        <v>216</v>
      </c>
      <c r="D134" s="33">
        <v>150000</v>
      </c>
      <c r="E134" s="33">
        <v>19995</v>
      </c>
      <c r="F134" s="32">
        <f t="shared" si="22"/>
        <v>169995</v>
      </c>
      <c r="G134" s="34">
        <v>50</v>
      </c>
      <c r="H134" s="32">
        <v>3399.9</v>
      </c>
      <c r="I134" s="50">
        <v>14</v>
      </c>
      <c r="J134" s="35">
        <f t="shared" ref="J134:J157" si="25">G134-I134</f>
        <v>36</v>
      </c>
      <c r="K134" s="36">
        <f t="shared" si="23"/>
        <v>47598.6</v>
      </c>
      <c r="L134" s="36">
        <f t="shared" si="24"/>
        <v>122396.4</v>
      </c>
      <c r="M134" s="31"/>
      <c r="N134" s="1"/>
    </row>
    <row r="135" spans="1:14" ht="18.75" x14ac:dyDescent="0.3">
      <c r="A135" s="18"/>
      <c r="B135" s="34">
        <v>130</v>
      </c>
      <c r="C135" s="50" t="s">
        <v>213</v>
      </c>
      <c r="D135" s="33">
        <v>150000</v>
      </c>
      <c r="E135" s="33">
        <v>19995</v>
      </c>
      <c r="F135" s="32">
        <f t="shared" si="22"/>
        <v>169995</v>
      </c>
      <c r="G135" s="34">
        <v>50</v>
      </c>
      <c r="H135" s="32">
        <v>3399.9</v>
      </c>
      <c r="I135" s="50">
        <v>14</v>
      </c>
      <c r="J135" s="35">
        <f t="shared" si="25"/>
        <v>36</v>
      </c>
      <c r="K135" s="36">
        <f t="shared" si="23"/>
        <v>47598.6</v>
      </c>
      <c r="L135" s="36">
        <f t="shared" si="24"/>
        <v>122396.4</v>
      </c>
      <c r="M135" s="31"/>
      <c r="N135" s="1"/>
    </row>
    <row r="136" spans="1:14" ht="18.75" x14ac:dyDescent="0.3">
      <c r="A136" s="18"/>
      <c r="B136" s="34">
        <v>131</v>
      </c>
      <c r="C136" s="50" t="s">
        <v>23</v>
      </c>
      <c r="D136" s="33">
        <v>150000</v>
      </c>
      <c r="E136" s="33">
        <v>19995</v>
      </c>
      <c r="F136" s="32">
        <f t="shared" si="22"/>
        <v>169995</v>
      </c>
      <c r="G136" s="34">
        <v>50</v>
      </c>
      <c r="H136" s="32">
        <v>3399.9</v>
      </c>
      <c r="I136" s="50">
        <v>14</v>
      </c>
      <c r="J136" s="35">
        <f t="shared" si="25"/>
        <v>36</v>
      </c>
      <c r="K136" s="36">
        <f t="shared" si="23"/>
        <v>47598.6</v>
      </c>
      <c r="L136" s="36">
        <f t="shared" si="24"/>
        <v>122396.4</v>
      </c>
      <c r="M136" s="31"/>
      <c r="N136" s="1"/>
    </row>
    <row r="137" spans="1:14" ht="18.75" x14ac:dyDescent="0.3">
      <c r="A137" s="18"/>
      <c r="B137" s="34">
        <v>132</v>
      </c>
      <c r="C137" s="50" t="s">
        <v>24</v>
      </c>
      <c r="D137" s="33">
        <v>150000</v>
      </c>
      <c r="E137" s="33">
        <v>19995</v>
      </c>
      <c r="F137" s="32">
        <f t="shared" si="22"/>
        <v>169995</v>
      </c>
      <c r="G137" s="34">
        <v>50</v>
      </c>
      <c r="H137" s="32">
        <v>3399.9</v>
      </c>
      <c r="I137" s="50">
        <v>14</v>
      </c>
      <c r="J137" s="35">
        <f t="shared" si="25"/>
        <v>36</v>
      </c>
      <c r="K137" s="36">
        <f t="shared" si="23"/>
        <v>47598.6</v>
      </c>
      <c r="L137" s="36">
        <f t="shared" si="24"/>
        <v>122396.4</v>
      </c>
      <c r="M137" s="31"/>
      <c r="N137" s="1"/>
    </row>
    <row r="138" spans="1:14" ht="18.75" x14ac:dyDescent="0.3">
      <c r="A138" s="18"/>
      <c r="B138" s="34">
        <v>133</v>
      </c>
      <c r="C138" s="50" t="s">
        <v>27</v>
      </c>
      <c r="D138" s="33">
        <v>150000</v>
      </c>
      <c r="E138" s="33">
        <v>19995</v>
      </c>
      <c r="F138" s="32">
        <f t="shared" si="22"/>
        <v>169995</v>
      </c>
      <c r="G138" s="34">
        <v>50</v>
      </c>
      <c r="H138" s="32">
        <v>3399.9</v>
      </c>
      <c r="I138" s="50">
        <v>12</v>
      </c>
      <c r="J138" s="35">
        <f t="shared" si="25"/>
        <v>38</v>
      </c>
      <c r="K138" s="36">
        <f t="shared" si="23"/>
        <v>40798.800000000003</v>
      </c>
      <c r="L138" s="36">
        <f t="shared" si="24"/>
        <v>129196.2</v>
      </c>
      <c r="M138" s="31"/>
      <c r="N138" s="1"/>
    </row>
    <row r="139" spans="1:14" ht="18.75" x14ac:dyDescent="0.3">
      <c r="A139" s="18"/>
      <c r="B139" s="34">
        <v>134</v>
      </c>
      <c r="C139" s="29" t="s">
        <v>32</v>
      </c>
      <c r="D139" s="33">
        <v>150000</v>
      </c>
      <c r="E139" s="33">
        <v>19995</v>
      </c>
      <c r="F139" s="32">
        <f t="shared" si="22"/>
        <v>169995</v>
      </c>
      <c r="G139" s="34">
        <v>50</v>
      </c>
      <c r="H139" s="32">
        <v>3399.9</v>
      </c>
      <c r="I139" s="50">
        <v>12</v>
      </c>
      <c r="J139" s="35">
        <f t="shared" si="25"/>
        <v>38</v>
      </c>
      <c r="K139" s="36">
        <f t="shared" si="23"/>
        <v>40798.800000000003</v>
      </c>
      <c r="L139" s="36">
        <f t="shared" si="24"/>
        <v>129196.2</v>
      </c>
      <c r="M139" s="31"/>
      <c r="N139" s="1"/>
    </row>
    <row r="140" spans="1:14" ht="18.75" x14ac:dyDescent="0.3">
      <c r="A140" s="18"/>
      <c r="B140" s="34">
        <v>135</v>
      </c>
      <c r="C140" s="29" t="s">
        <v>33</v>
      </c>
      <c r="D140" s="33">
        <v>150000</v>
      </c>
      <c r="E140" s="33">
        <v>19995</v>
      </c>
      <c r="F140" s="32">
        <f t="shared" si="22"/>
        <v>169995</v>
      </c>
      <c r="G140" s="34">
        <v>50</v>
      </c>
      <c r="H140" s="32">
        <v>3399.9</v>
      </c>
      <c r="I140" s="50">
        <v>12</v>
      </c>
      <c r="J140" s="35">
        <f t="shared" si="25"/>
        <v>38</v>
      </c>
      <c r="K140" s="36">
        <f t="shared" si="23"/>
        <v>40798.800000000003</v>
      </c>
      <c r="L140" s="36">
        <f t="shared" si="24"/>
        <v>129196.2</v>
      </c>
      <c r="M140" s="31"/>
      <c r="N140" s="1"/>
    </row>
    <row r="141" spans="1:14" ht="18.75" x14ac:dyDescent="0.3">
      <c r="A141" s="18"/>
      <c r="B141" s="34">
        <v>136</v>
      </c>
      <c r="C141" s="29" t="s">
        <v>34</v>
      </c>
      <c r="D141" s="33">
        <v>150000</v>
      </c>
      <c r="E141" s="33">
        <v>19995</v>
      </c>
      <c r="F141" s="32">
        <f t="shared" si="22"/>
        <v>169995</v>
      </c>
      <c r="G141" s="34">
        <v>50</v>
      </c>
      <c r="H141" s="32">
        <v>3399.9</v>
      </c>
      <c r="I141" s="50">
        <v>12</v>
      </c>
      <c r="J141" s="35">
        <f t="shared" si="25"/>
        <v>38</v>
      </c>
      <c r="K141" s="36">
        <f t="shared" si="23"/>
        <v>40798.800000000003</v>
      </c>
      <c r="L141" s="36">
        <f t="shared" si="24"/>
        <v>129196.2</v>
      </c>
      <c r="M141" s="31"/>
      <c r="N141" s="1"/>
    </row>
    <row r="142" spans="1:14" ht="18.75" x14ac:dyDescent="0.3">
      <c r="A142" s="18"/>
      <c r="B142" s="34">
        <v>137</v>
      </c>
      <c r="C142" s="29" t="s">
        <v>41</v>
      </c>
      <c r="D142" s="33">
        <v>150000</v>
      </c>
      <c r="E142" s="33">
        <v>19995</v>
      </c>
      <c r="F142" s="32">
        <f t="shared" si="22"/>
        <v>169995</v>
      </c>
      <c r="G142" s="34">
        <v>50</v>
      </c>
      <c r="H142" s="32">
        <v>3399.9</v>
      </c>
      <c r="I142" s="50">
        <v>8</v>
      </c>
      <c r="J142" s="35">
        <f t="shared" si="25"/>
        <v>42</v>
      </c>
      <c r="K142" s="36">
        <f t="shared" si="23"/>
        <v>27199.200000000001</v>
      </c>
      <c r="L142" s="36">
        <f t="shared" si="24"/>
        <v>142795.79999999999</v>
      </c>
      <c r="M142" s="31"/>
      <c r="N142" s="1"/>
    </row>
    <row r="143" spans="1:14" ht="18.75" x14ac:dyDescent="0.3">
      <c r="B143" s="34">
        <v>138</v>
      </c>
      <c r="C143" s="29" t="s">
        <v>157</v>
      </c>
      <c r="D143" s="33">
        <v>150000</v>
      </c>
      <c r="E143" s="33">
        <v>19995</v>
      </c>
      <c r="F143" s="32">
        <f t="shared" si="22"/>
        <v>169995</v>
      </c>
      <c r="G143" s="34">
        <v>50</v>
      </c>
      <c r="H143" s="32">
        <v>3399</v>
      </c>
      <c r="I143" s="50">
        <v>24</v>
      </c>
      <c r="J143" s="35">
        <f t="shared" si="25"/>
        <v>26</v>
      </c>
      <c r="K143" s="36">
        <f t="shared" si="23"/>
        <v>81576</v>
      </c>
      <c r="L143" s="36">
        <f t="shared" si="24"/>
        <v>88419</v>
      </c>
      <c r="M143" s="31"/>
      <c r="N143" s="1"/>
    </row>
    <row r="144" spans="1:14" ht="18.75" x14ac:dyDescent="0.3">
      <c r="B144" s="34">
        <v>139</v>
      </c>
      <c r="C144" s="29" t="s">
        <v>158</v>
      </c>
      <c r="D144" s="33">
        <v>150000</v>
      </c>
      <c r="E144" s="33">
        <v>19995</v>
      </c>
      <c r="F144" s="32">
        <f t="shared" si="22"/>
        <v>169995</v>
      </c>
      <c r="G144" s="34">
        <v>50</v>
      </c>
      <c r="H144" s="32">
        <v>3399.9</v>
      </c>
      <c r="I144" s="31">
        <v>48</v>
      </c>
      <c r="J144" s="35">
        <f t="shared" si="25"/>
        <v>2</v>
      </c>
      <c r="K144" s="36">
        <f t="shared" si="23"/>
        <v>163195.20000000001</v>
      </c>
      <c r="L144" s="36">
        <f t="shared" si="24"/>
        <v>6799.7999999999884</v>
      </c>
      <c r="M144" s="31"/>
      <c r="N144" s="1"/>
    </row>
    <row r="145" spans="2:14" ht="18.75" x14ac:dyDescent="0.3">
      <c r="B145" s="34">
        <v>140</v>
      </c>
      <c r="C145" s="29" t="s">
        <v>165</v>
      </c>
      <c r="D145" s="33">
        <v>150000</v>
      </c>
      <c r="E145" s="33">
        <v>19995</v>
      </c>
      <c r="F145" s="32">
        <f t="shared" si="22"/>
        <v>169995</v>
      </c>
      <c r="G145" s="34">
        <v>50</v>
      </c>
      <c r="H145" s="32">
        <v>3399</v>
      </c>
      <c r="I145" s="50">
        <v>24</v>
      </c>
      <c r="J145" s="35">
        <f t="shared" si="25"/>
        <v>26</v>
      </c>
      <c r="K145" s="36">
        <f t="shared" si="23"/>
        <v>81576</v>
      </c>
      <c r="L145" s="36">
        <f t="shared" si="24"/>
        <v>88419</v>
      </c>
      <c r="M145" s="31"/>
      <c r="N145" s="1"/>
    </row>
    <row r="146" spans="2:14" ht="18.75" x14ac:dyDescent="0.3">
      <c r="B146" s="34">
        <v>141</v>
      </c>
      <c r="C146" s="29" t="s">
        <v>168</v>
      </c>
      <c r="D146" s="33">
        <v>150000</v>
      </c>
      <c r="E146" s="33">
        <v>19995</v>
      </c>
      <c r="F146" s="32">
        <f t="shared" si="22"/>
        <v>169995</v>
      </c>
      <c r="G146" s="34">
        <v>50</v>
      </c>
      <c r="H146" s="32">
        <v>3399</v>
      </c>
      <c r="I146" s="50">
        <v>24</v>
      </c>
      <c r="J146" s="35">
        <f t="shared" si="25"/>
        <v>26</v>
      </c>
      <c r="K146" s="36">
        <f t="shared" si="23"/>
        <v>81576</v>
      </c>
      <c r="L146" s="36">
        <f t="shared" si="24"/>
        <v>88419</v>
      </c>
      <c r="M146" s="31"/>
      <c r="N146" s="1"/>
    </row>
    <row r="147" spans="2:14" ht="18.75" x14ac:dyDescent="0.3">
      <c r="B147" s="34">
        <v>142</v>
      </c>
      <c r="C147" s="29" t="s">
        <v>181</v>
      </c>
      <c r="D147" s="33">
        <v>150000</v>
      </c>
      <c r="E147" s="33">
        <v>19995</v>
      </c>
      <c r="F147" s="32">
        <f t="shared" si="22"/>
        <v>169995</v>
      </c>
      <c r="G147" s="34">
        <v>50</v>
      </c>
      <c r="H147" s="32">
        <v>3399</v>
      </c>
      <c r="I147" s="50">
        <v>22</v>
      </c>
      <c r="J147" s="35">
        <f t="shared" si="25"/>
        <v>28</v>
      </c>
      <c r="K147" s="36">
        <f t="shared" si="23"/>
        <v>74778</v>
      </c>
      <c r="L147" s="36">
        <f t="shared" si="24"/>
        <v>95217</v>
      </c>
      <c r="M147" s="31"/>
      <c r="N147" s="1"/>
    </row>
    <row r="148" spans="2:14" ht="18.75" x14ac:dyDescent="0.3">
      <c r="B148" s="34">
        <v>143</v>
      </c>
      <c r="C148" s="29" t="s">
        <v>52</v>
      </c>
      <c r="D148" s="33">
        <v>150000</v>
      </c>
      <c r="E148" s="33">
        <v>19995</v>
      </c>
      <c r="F148" s="32">
        <f t="shared" si="22"/>
        <v>169995</v>
      </c>
      <c r="G148" s="34">
        <v>50</v>
      </c>
      <c r="H148" s="32">
        <v>3399.9</v>
      </c>
      <c r="I148" s="50">
        <v>9</v>
      </c>
      <c r="J148" s="35">
        <f t="shared" si="25"/>
        <v>41</v>
      </c>
      <c r="K148" s="36">
        <f t="shared" si="23"/>
        <v>30599.100000000002</v>
      </c>
      <c r="L148" s="36">
        <f t="shared" si="24"/>
        <v>139395.9</v>
      </c>
      <c r="M148" s="31"/>
      <c r="N148" s="1"/>
    </row>
    <row r="149" spans="2:14" ht="18.75" x14ac:dyDescent="0.3">
      <c r="B149" s="34">
        <v>144</v>
      </c>
      <c r="C149" s="29" t="s">
        <v>53</v>
      </c>
      <c r="D149" s="33">
        <v>150000</v>
      </c>
      <c r="E149" s="33">
        <v>19995</v>
      </c>
      <c r="F149" s="32">
        <f t="shared" si="22"/>
        <v>169995</v>
      </c>
      <c r="G149" s="34">
        <v>50</v>
      </c>
      <c r="H149" s="32">
        <v>3399.9</v>
      </c>
      <c r="I149" s="50">
        <v>9</v>
      </c>
      <c r="J149" s="35">
        <f t="shared" si="25"/>
        <v>41</v>
      </c>
      <c r="K149" s="36">
        <f t="shared" si="23"/>
        <v>30599.100000000002</v>
      </c>
      <c r="L149" s="36">
        <f t="shared" si="24"/>
        <v>139395.9</v>
      </c>
      <c r="M149" s="31"/>
      <c r="N149" s="1"/>
    </row>
    <row r="150" spans="2:14" ht="18.75" x14ac:dyDescent="0.3">
      <c r="B150" s="34">
        <v>145</v>
      </c>
      <c r="C150" s="29" t="s">
        <v>250</v>
      </c>
      <c r="D150" s="33">
        <v>150000</v>
      </c>
      <c r="E150" s="33">
        <v>19995</v>
      </c>
      <c r="F150" s="32">
        <f t="shared" si="22"/>
        <v>169995</v>
      </c>
      <c r="G150" s="34">
        <v>50</v>
      </c>
      <c r="H150" s="32">
        <v>3399.9</v>
      </c>
      <c r="I150" s="50">
        <v>9</v>
      </c>
      <c r="J150" s="35">
        <f t="shared" si="25"/>
        <v>41</v>
      </c>
      <c r="K150" s="36">
        <f t="shared" si="23"/>
        <v>30599.100000000002</v>
      </c>
      <c r="L150" s="36">
        <f t="shared" si="24"/>
        <v>139395.9</v>
      </c>
      <c r="M150" s="31"/>
      <c r="N150" s="1"/>
    </row>
    <row r="151" spans="2:14" ht="18.75" x14ac:dyDescent="0.3">
      <c r="B151" s="34">
        <v>146</v>
      </c>
      <c r="C151" s="29" t="s">
        <v>51</v>
      </c>
      <c r="D151" s="33">
        <v>150000</v>
      </c>
      <c r="E151" s="33">
        <v>19995</v>
      </c>
      <c r="F151" s="32">
        <f t="shared" ref="F151:F156" si="26">D151+E151</f>
        <v>169995</v>
      </c>
      <c r="G151" s="34">
        <v>50</v>
      </c>
      <c r="H151" s="32">
        <v>3339.9</v>
      </c>
      <c r="I151" s="50">
        <v>9</v>
      </c>
      <c r="J151" s="35">
        <f t="shared" si="25"/>
        <v>41</v>
      </c>
      <c r="K151" s="36">
        <f t="shared" si="23"/>
        <v>30059.100000000002</v>
      </c>
      <c r="L151" s="36">
        <f t="shared" si="24"/>
        <v>139935.9</v>
      </c>
      <c r="M151" s="31"/>
      <c r="N151" s="1"/>
    </row>
    <row r="152" spans="2:14" ht="18.75" x14ac:dyDescent="0.3">
      <c r="B152" s="34">
        <v>147</v>
      </c>
      <c r="C152" s="29" t="s">
        <v>58</v>
      </c>
      <c r="D152" s="33">
        <v>150000</v>
      </c>
      <c r="E152" s="33">
        <v>19995</v>
      </c>
      <c r="F152" s="32">
        <f t="shared" si="26"/>
        <v>169995</v>
      </c>
      <c r="G152" s="34">
        <v>50</v>
      </c>
      <c r="H152" s="32">
        <v>3399.9</v>
      </c>
      <c r="I152" s="50">
        <v>7</v>
      </c>
      <c r="J152" s="35">
        <f t="shared" si="25"/>
        <v>43</v>
      </c>
      <c r="K152" s="36">
        <f t="shared" si="23"/>
        <v>23799.3</v>
      </c>
      <c r="L152" s="36">
        <f t="shared" si="24"/>
        <v>146195.70000000001</v>
      </c>
      <c r="M152" s="31"/>
      <c r="N152" s="1"/>
    </row>
    <row r="153" spans="2:14" ht="18.75" x14ac:dyDescent="0.3">
      <c r="B153" s="34">
        <v>148</v>
      </c>
      <c r="C153" s="29" t="s">
        <v>61</v>
      </c>
      <c r="D153" s="33">
        <v>150000</v>
      </c>
      <c r="E153" s="33">
        <v>19995</v>
      </c>
      <c r="F153" s="32">
        <f t="shared" si="26"/>
        <v>169995</v>
      </c>
      <c r="G153" s="34">
        <v>50</v>
      </c>
      <c r="H153" s="32">
        <v>3399.9</v>
      </c>
      <c r="I153" s="50">
        <v>7</v>
      </c>
      <c r="J153" s="35">
        <f t="shared" si="25"/>
        <v>43</v>
      </c>
      <c r="K153" s="36">
        <f t="shared" si="23"/>
        <v>23799.3</v>
      </c>
      <c r="L153" s="36">
        <f t="shared" si="24"/>
        <v>146195.70000000001</v>
      </c>
      <c r="M153" s="31"/>
      <c r="N153" s="1"/>
    </row>
    <row r="154" spans="2:14" ht="18.75" x14ac:dyDescent="0.3">
      <c r="B154" s="34">
        <v>149</v>
      </c>
      <c r="C154" s="29" t="s">
        <v>60</v>
      </c>
      <c r="D154" s="33">
        <v>150000</v>
      </c>
      <c r="E154" s="33">
        <v>19995</v>
      </c>
      <c r="F154" s="32">
        <f t="shared" si="26"/>
        <v>169995</v>
      </c>
      <c r="G154" s="34">
        <v>50</v>
      </c>
      <c r="H154" s="32">
        <v>3399.9</v>
      </c>
      <c r="I154" s="50">
        <v>7</v>
      </c>
      <c r="J154" s="35">
        <f t="shared" si="25"/>
        <v>43</v>
      </c>
      <c r="K154" s="36">
        <f t="shared" si="23"/>
        <v>23799.3</v>
      </c>
      <c r="L154" s="36">
        <f t="shared" si="24"/>
        <v>146195.70000000001</v>
      </c>
      <c r="M154" s="31"/>
      <c r="N154" s="1"/>
    </row>
    <row r="155" spans="2:14" ht="18.75" x14ac:dyDescent="0.3">
      <c r="B155" s="34">
        <v>150</v>
      </c>
      <c r="C155" s="29" t="s">
        <v>258</v>
      </c>
      <c r="D155" s="33">
        <v>150000</v>
      </c>
      <c r="E155" s="33">
        <v>19995</v>
      </c>
      <c r="F155" s="32">
        <f t="shared" si="26"/>
        <v>169995</v>
      </c>
      <c r="G155" s="34">
        <v>50</v>
      </c>
      <c r="H155" s="32">
        <v>3399.9</v>
      </c>
      <c r="I155" s="50">
        <v>4</v>
      </c>
      <c r="J155" s="35">
        <f t="shared" si="25"/>
        <v>46</v>
      </c>
      <c r="K155" s="36">
        <f t="shared" si="23"/>
        <v>13599.6</v>
      </c>
      <c r="L155" s="36">
        <f t="shared" si="24"/>
        <v>156395.4</v>
      </c>
      <c r="M155" s="31"/>
      <c r="N155" s="1"/>
    </row>
    <row r="156" spans="2:14" ht="18.75" x14ac:dyDescent="0.3">
      <c r="B156" s="34">
        <v>151</v>
      </c>
      <c r="C156" s="66" t="s">
        <v>262</v>
      </c>
      <c r="D156" s="33">
        <v>150000</v>
      </c>
      <c r="E156" s="33">
        <v>19995</v>
      </c>
      <c r="F156" s="32">
        <f t="shared" si="26"/>
        <v>169995</v>
      </c>
      <c r="G156" s="34">
        <v>50</v>
      </c>
      <c r="H156" s="32">
        <v>3399.9</v>
      </c>
      <c r="I156" s="50">
        <v>2</v>
      </c>
      <c r="J156" s="35">
        <f t="shared" si="25"/>
        <v>48</v>
      </c>
      <c r="K156" s="36">
        <f t="shared" si="23"/>
        <v>6799.8</v>
      </c>
      <c r="L156" s="36">
        <f t="shared" si="24"/>
        <v>163195.20000000001</v>
      </c>
      <c r="M156" s="31"/>
      <c r="N156" s="1"/>
    </row>
    <row r="157" spans="2:14" ht="18.75" x14ac:dyDescent="0.3">
      <c r="B157" s="34">
        <v>152</v>
      </c>
      <c r="C157" s="66" t="s">
        <v>263</v>
      </c>
      <c r="D157" s="32">
        <v>330000</v>
      </c>
      <c r="E157" s="33">
        <v>43989</v>
      </c>
      <c r="F157" s="32">
        <f t="shared" ref="F157:F158" si="27">D157+E157</f>
        <v>373989</v>
      </c>
      <c r="G157" s="34">
        <v>50</v>
      </c>
      <c r="H157" s="32">
        <v>7479.78</v>
      </c>
      <c r="I157" s="50">
        <v>7</v>
      </c>
      <c r="J157" s="35">
        <f t="shared" si="25"/>
        <v>43</v>
      </c>
      <c r="K157" s="36">
        <f t="shared" si="23"/>
        <v>52358.46</v>
      </c>
      <c r="L157" s="36">
        <f t="shared" si="24"/>
        <v>321630.53999999998</v>
      </c>
      <c r="M157" s="31"/>
      <c r="N157" s="1"/>
    </row>
    <row r="158" spans="2:14" ht="18.75" x14ac:dyDescent="0.3">
      <c r="B158" s="34">
        <v>153</v>
      </c>
      <c r="C158" s="66" t="s">
        <v>264</v>
      </c>
      <c r="D158" s="32">
        <v>330000</v>
      </c>
      <c r="E158" s="33">
        <v>43989</v>
      </c>
      <c r="F158" s="32">
        <f t="shared" si="27"/>
        <v>373989</v>
      </c>
      <c r="G158" s="34">
        <v>50</v>
      </c>
      <c r="H158" s="32">
        <v>7479.78</v>
      </c>
      <c r="I158" s="50">
        <v>7</v>
      </c>
      <c r="J158" s="35">
        <f t="shared" ref="J158:J160" si="28">G158-I158</f>
        <v>43</v>
      </c>
      <c r="K158" s="36">
        <f t="shared" ref="K158:K160" si="29">I158*H158</f>
        <v>52358.46</v>
      </c>
      <c r="L158" s="36">
        <f t="shared" ref="L158:L160" si="30">F158-K158</f>
        <v>321630.53999999998</v>
      </c>
      <c r="M158" s="31"/>
      <c r="N158" s="1"/>
    </row>
    <row r="159" spans="2:14" ht="18.75" x14ac:dyDescent="0.3">
      <c r="B159" s="34">
        <v>154</v>
      </c>
      <c r="C159" s="66" t="s">
        <v>265</v>
      </c>
      <c r="D159" s="33">
        <v>450000</v>
      </c>
      <c r="E159" s="33">
        <v>59985</v>
      </c>
      <c r="F159" s="32">
        <f>D159+E159</f>
        <v>509985</v>
      </c>
      <c r="G159" s="34">
        <v>50</v>
      </c>
      <c r="H159" s="32">
        <v>10199.700000000001</v>
      </c>
      <c r="I159" s="50">
        <v>7</v>
      </c>
      <c r="J159" s="35">
        <f t="shared" si="28"/>
        <v>43</v>
      </c>
      <c r="K159" s="36">
        <f t="shared" si="29"/>
        <v>71397.900000000009</v>
      </c>
      <c r="L159" s="36">
        <f t="shared" si="30"/>
        <v>438587.1</v>
      </c>
      <c r="M159" s="31"/>
      <c r="N159" s="1"/>
    </row>
    <row r="160" spans="2:14" ht="18.75" x14ac:dyDescent="0.3">
      <c r="B160" s="34">
        <v>155</v>
      </c>
      <c r="C160" s="66" t="s">
        <v>269</v>
      </c>
      <c r="D160" s="33"/>
      <c r="E160" s="33"/>
      <c r="F160" s="32">
        <v>90664</v>
      </c>
      <c r="G160" s="34">
        <v>8</v>
      </c>
      <c r="H160" s="32">
        <v>11333</v>
      </c>
      <c r="I160" s="50">
        <v>1</v>
      </c>
      <c r="J160" s="35">
        <f t="shared" si="28"/>
        <v>7</v>
      </c>
      <c r="K160" s="36">
        <f t="shared" si="29"/>
        <v>11333</v>
      </c>
      <c r="L160" s="36">
        <f t="shared" si="30"/>
        <v>79331</v>
      </c>
      <c r="M160" s="31" t="s">
        <v>221</v>
      </c>
      <c r="N160" s="1"/>
    </row>
    <row r="161" spans="2:14" ht="18.75" x14ac:dyDescent="0.3">
      <c r="B161" s="34">
        <v>156</v>
      </c>
      <c r="C161" s="66" t="s">
        <v>270</v>
      </c>
      <c r="D161" s="33">
        <v>500000</v>
      </c>
      <c r="E161" s="33">
        <v>66650</v>
      </c>
      <c r="F161" s="32">
        <f>D161+E161</f>
        <v>566650</v>
      </c>
      <c r="G161" s="34">
        <v>50</v>
      </c>
      <c r="H161" s="32">
        <v>11333</v>
      </c>
      <c r="I161" s="50">
        <v>1</v>
      </c>
      <c r="J161" s="35">
        <f t="shared" ref="J161:J163" si="31">G161-I161</f>
        <v>49</v>
      </c>
      <c r="K161" s="36">
        <f t="shared" ref="K161:K163" si="32">I161*H161</f>
        <v>11333</v>
      </c>
      <c r="L161" s="36">
        <f t="shared" ref="L161:L163" si="33">F161-K161</f>
        <v>555317</v>
      </c>
      <c r="M161" s="31" t="s">
        <v>273</v>
      </c>
      <c r="N161" s="1"/>
    </row>
    <row r="162" spans="2:14" ht="18.75" x14ac:dyDescent="0.3">
      <c r="B162" s="34">
        <v>157</v>
      </c>
      <c r="C162" s="66" t="s">
        <v>271</v>
      </c>
      <c r="D162" s="32">
        <v>330000</v>
      </c>
      <c r="E162" s="33">
        <v>43989</v>
      </c>
      <c r="F162" s="32">
        <f t="shared" ref="F162:F163" si="34">D162+E162</f>
        <v>373989</v>
      </c>
      <c r="G162" s="34">
        <v>50</v>
      </c>
      <c r="H162" s="32">
        <v>7479.78</v>
      </c>
      <c r="I162" s="50">
        <v>1</v>
      </c>
      <c r="J162" s="35">
        <f t="shared" si="31"/>
        <v>49</v>
      </c>
      <c r="K162" s="36">
        <f t="shared" si="32"/>
        <v>7479.78</v>
      </c>
      <c r="L162" s="36">
        <f t="shared" si="33"/>
        <v>366509.22</v>
      </c>
      <c r="M162" s="31" t="s">
        <v>273</v>
      </c>
      <c r="N162" s="1"/>
    </row>
    <row r="163" spans="2:14" ht="18.75" x14ac:dyDescent="0.3">
      <c r="B163" s="34">
        <v>158</v>
      </c>
      <c r="C163" s="66" t="s">
        <v>272</v>
      </c>
      <c r="D163" s="32">
        <v>330000</v>
      </c>
      <c r="E163" s="33">
        <v>43989</v>
      </c>
      <c r="F163" s="32">
        <f t="shared" si="34"/>
        <v>373989</v>
      </c>
      <c r="G163" s="34">
        <v>50</v>
      </c>
      <c r="H163" s="32">
        <v>7479.78</v>
      </c>
      <c r="I163" s="50">
        <v>1</v>
      </c>
      <c r="J163" s="35">
        <f t="shared" si="31"/>
        <v>49</v>
      </c>
      <c r="K163" s="36">
        <f t="shared" si="32"/>
        <v>7479.78</v>
      </c>
      <c r="L163" s="36">
        <f t="shared" si="33"/>
        <v>366509.22</v>
      </c>
      <c r="M163" s="31" t="s">
        <v>273</v>
      </c>
      <c r="N163" s="1"/>
    </row>
    <row r="164" spans="2:14" s="57" customFormat="1" ht="18.75" x14ac:dyDescent="0.3">
      <c r="B164" s="71"/>
      <c r="C164" s="30" t="s">
        <v>296</v>
      </c>
      <c r="D164" s="76">
        <f>SUM(D6:D163)</f>
        <v>46760000</v>
      </c>
      <c r="E164" s="76">
        <f t="shared" ref="E164:F164" si="35">SUM(E6:E163)</f>
        <v>6198449.9199999999</v>
      </c>
      <c r="F164" s="76">
        <f t="shared" si="35"/>
        <v>53049113.920000002</v>
      </c>
      <c r="G164" s="71"/>
      <c r="H164" s="76">
        <f>SUM(H6:H163)</f>
        <v>1083130.4800000025</v>
      </c>
      <c r="I164" s="73"/>
      <c r="J164" s="74"/>
      <c r="K164" s="76">
        <f t="shared" ref="K164:L164" si="36">SUM(K6:K163)</f>
        <v>23559059.469999995</v>
      </c>
      <c r="L164" s="76">
        <f t="shared" si="36"/>
        <v>29581851.750000004</v>
      </c>
      <c r="M164" s="53"/>
      <c r="N164" s="2"/>
    </row>
    <row r="165" spans="2:14" ht="18.75" x14ac:dyDescent="0.3">
      <c r="B165" s="34"/>
      <c r="C165" s="48"/>
      <c r="D165" s="43"/>
      <c r="E165" s="44"/>
      <c r="F165" s="43"/>
      <c r="G165" s="41"/>
      <c r="H165" s="43"/>
      <c r="I165" s="46"/>
      <c r="J165" s="47"/>
      <c r="K165" s="45"/>
      <c r="L165" s="45"/>
      <c r="M165" s="49"/>
      <c r="N165" s="1"/>
    </row>
    <row r="166" spans="2:14" ht="18.75" x14ac:dyDescent="0.3">
      <c r="B166" s="9"/>
      <c r="C166" s="8" t="s">
        <v>217</v>
      </c>
      <c r="D166" s="9"/>
      <c r="E166" s="9"/>
      <c r="F166" s="9"/>
      <c r="G166" s="9"/>
      <c r="H166" s="9"/>
      <c r="I166" s="9"/>
      <c r="J166" s="9"/>
      <c r="K166" s="9"/>
      <c r="L166" s="9"/>
      <c r="M166" s="49"/>
      <c r="N166" s="1"/>
    </row>
    <row r="167" spans="2:14" ht="18.75" x14ac:dyDescent="0.3">
      <c r="B167" s="34">
        <v>1</v>
      </c>
      <c r="C167" s="9" t="s">
        <v>160</v>
      </c>
      <c r="D167" s="12">
        <v>500000</v>
      </c>
      <c r="E167" s="12">
        <v>66650</v>
      </c>
      <c r="F167" s="12">
        <v>566650</v>
      </c>
      <c r="G167" s="14">
        <v>50</v>
      </c>
      <c r="H167" s="12">
        <v>11333</v>
      </c>
      <c r="I167" s="14">
        <v>27</v>
      </c>
      <c r="J167" s="35">
        <f t="shared" ref="J167:J178" si="37">G167-I167</f>
        <v>23</v>
      </c>
      <c r="K167" s="36">
        <f t="shared" ref="K167:K178" si="38">H167*I167</f>
        <v>305991</v>
      </c>
      <c r="L167" s="32">
        <f t="shared" ref="L167:L178" si="39">F167-K167</f>
        <v>260659</v>
      </c>
      <c r="M167" s="49"/>
      <c r="N167" s="1"/>
    </row>
    <row r="168" spans="2:14" ht="18.75" x14ac:dyDescent="0.3">
      <c r="B168" s="34">
        <v>2</v>
      </c>
      <c r="C168" s="9" t="s">
        <v>164</v>
      </c>
      <c r="D168" s="12">
        <v>450000</v>
      </c>
      <c r="E168" s="12">
        <v>59985</v>
      </c>
      <c r="F168" s="12">
        <v>509985</v>
      </c>
      <c r="G168" s="14">
        <v>50</v>
      </c>
      <c r="H168" s="12">
        <v>10199.700000000001</v>
      </c>
      <c r="I168" s="14">
        <v>32</v>
      </c>
      <c r="J168" s="35">
        <f t="shared" si="37"/>
        <v>18</v>
      </c>
      <c r="K168" s="36">
        <f t="shared" si="38"/>
        <v>326390.40000000002</v>
      </c>
      <c r="L168" s="32">
        <f t="shared" si="39"/>
        <v>183594.59999999998</v>
      </c>
      <c r="M168" s="49"/>
      <c r="N168" s="1"/>
    </row>
    <row r="169" spans="2:14" ht="18.75" x14ac:dyDescent="0.3">
      <c r="B169" s="34">
        <v>3</v>
      </c>
      <c r="C169" s="9" t="s">
        <v>184</v>
      </c>
      <c r="D169" s="12">
        <v>330000</v>
      </c>
      <c r="E169" s="12">
        <v>43989</v>
      </c>
      <c r="F169" s="12">
        <v>373989</v>
      </c>
      <c r="G169" s="14">
        <v>50</v>
      </c>
      <c r="H169" s="12">
        <v>7479.78</v>
      </c>
      <c r="I169" s="14">
        <v>45</v>
      </c>
      <c r="J169" s="35">
        <f t="shared" si="37"/>
        <v>5</v>
      </c>
      <c r="K169" s="36">
        <f t="shared" si="38"/>
        <v>336590.1</v>
      </c>
      <c r="L169" s="32">
        <f t="shared" si="39"/>
        <v>37398.900000000023</v>
      </c>
      <c r="M169" s="49"/>
      <c r="N169" s="1"/>
    </row>
    <row r="170" spans="2:14" ht="18.75" x14ac:dyDescent="0.3">
      <c r="B170" s="34">
        <v>4</v>
      </c>
      <c r="C170" s="9" t="s">
        <v>180</v>
      </c>
      <c r="D170" s="12">
        <v>330000</v>
      </c>
      <c r="E170" s="12">
        <v>43989</v>
      </c>
      <c r="F170" s="12">
        <v>373989</v>
      </c>
      <c r="G170" s="14">
        <v>50</v>
      </c>
      <c r="H170" s="12">
        <v>7479.78</v>
      </c>
      <c r="I170" s="14">
        <v>27</v>
      </c>
      <c r="J170" s="35">
        <f t="shared" si="37"/>
        <v>23</v>
      </c>
      <c r="K170" s="36">
        <f t="shared" si="38"/>
        <v>201954.06</v>
      </c>
      <c r="L170" s="32">
        <f t="shared" si="39"/>
        <v>172034.94</v>
      </c>
      <c r="M170" s="49"/>
      <c r="N170" s="1"/>
    </row>
    <row r="171" spans="2:14" ht="18.75" x14ac:dyDescent="0.3">
      <c r="B171" s="34">
        <v>5</v>
      </c>
      <c r="C171" s="9" t="s">
        <v>162</v>
      </c>
      <c r="D171" s="12">
        <v>150000</v>
      </c>
      <c r="E171" s="12">
        <v>19995</v>
      </c>
      <c r="F171" s="12">
        <v>169995</v>
      </c>
      <c r="G171" s="14">
        <v>50</v>
      </c>
      <c r="H171" s="12">
        <v>3399.9</v>
      </c>
      <c r="I171" s="14">
        <v>27</v>
      </c>
      <c r="J171" s="35">
        <f t="shared" si="37"/>
        <v>23</v>
      </c>
      <c r="K171" s="36">
        <f t="shared" si="38"/>
        <v>91797.3</v>
      </c>
      <c r="L171" s="32">
        <f t="shared" si="39"/>
        <v>78197.7</v>
      </c>
      <c r="M171" s="49"/>
      <c r="N171" s="1"/>
    </row>
    <row r="172" spans="2:14" ht="18.75" x14ac:dyDescent="0.3">
      <c r="B172" s="34">
        <v>6</v>
      </c>
      <c r="C172" s="9" t="s">
        <v>163</v>
      </c>
      <c r="D172" s="12">
        <v>150000</v>
      </c>
      <c r="E172" s="12">
        <v>19995</v>
      </c>
      <c r="F172" s="12">
        <v>169995</v>
      </c>
      <c r="G172" s="14">
        <v>50</v>
      </c>
      <c r="H172" s="12">
        <v>3399.9</v>
      </c>
      <c r="I172" s="14">
        <v>27</v>
      </c>
      <c r="J172" s="35">
        <f t="shared" si="37"/>
        <v>23</v>
      </c>
      <c r="K172" s="36">
        <f t="shared" si="38"/>
        <v>91797.3</v>
      </c>
      <c r="L172" s="32">
        <f t="shared" si="39"/>
        <v>78197.7</v>
      </c>
      <c r="M172" s="49"/>
      <c r="N172" s="1"/>
    </row>
    <row r="173" spans="2:14" ht="18.75" x14ac:dyDescent="0.3">
      <c r="B173" s="34">
        <v>7</v>
      </c>
      <c r="C173" s="9" t="s">
        <v>167</v>
      </c>
      <c r="D173" s="12">
        <v>150000</v>
      </c>
      <c r="E173" s="12">
        <v>19995</v>
      </c>
      <c r="F173" s="12">
        <v>169995</v>
      </c>
      <c r="G173" s="14">
        <v>50</v>
      </c>
      <c r="H173" s="12">
        <v>3399.9</v>
      </c>
      <c r="I173" s="14">
        <v>27</v>
      </c>
      <c r="J173" s="35">
        <f t="shared" si="37"/>
        <v>23</v>
      </c>
      <c r="K173" s="36">
        <f t="shared" si="38"/>
        <v>91797.3</v>
      </c>
      <c r="L173" s="32">
        <f t="shared" si="39"/>
        <v>78197.7</v>
      </c>
      <c r="M173" s="49"/>
      <c r="N173" s="1"/>
    </row>
    <row r="174" spans="2:14" ht="18.75" x14ac:dyDescent="0.3">
      <c r="B174" s="34">
        <v>8</v>
      </c>
      <c r="C174" s="9" t="s">
        <v>186</v>
      </c>
      <c r="D174" s="12">
        <v>150000</v>
      </c>
      <c r="E174" s="12">
        <v>19995</v>
      </c>
      <c r="F174" s="12">
        <v>169995</v>
      </c>
      <c r="G174" s="14">
        <v>50</v>
      </c>
      <c r="H174" s="12">
        <v>3399.9</v>
      </c>
      <c r="I174" s="14">
        <v>27</v>
      </c>
      <c r="J174" s="35">
        <f t="shared" si="37"/>
        <v>23</v>
      </c>
      <c r="K174" s="36">
        <f t="shared" si="38"/>
        <v>91797.3</v>
      </c>
      <c r="L174" s="32">
        <f t="shared" si="39"/>
        <v>78197.7</v>
      </c>
      <c r="M174" s="49"/>
      <c r="N174" s="1"/>
    </row>
    <row r="175" spans="2:14" ht="18.75" x14ac:dyDescent="0.3">
      <c r="B175" s="34">
        <v>9</v>
      </c>
      <c r="C175" s="9" t="s">
        <v>188</v>
      </c>
      <c r="D175" s="12">
        <v>150000</v>
      </c>
      <c r="E175" s="12">
        <v>19995</v>
      </c>
      <c r="F175" s="12">
        <v>169995</v>
      </c>
      <c r="G175" s="14">
        <v>50</v>
      </c>
      <c r="H175" s="12">
        <v>3399.9</v>
      </c>
      <c r="I175" s="14">
        <v>27</v>
      </c>
      <c r="J175" s="35">
        <f t="shared" si="37"/>
        <v>23</v>
      </c>
      <c r="K175" s="36">
        <f t="shared" si="38"/>
        <v>91797.3</v>
      </c>
      <c r="L175" s="32">
        <f t="shared" si="39"/>
        <v>78197.7</v>
      </c>
      <c r="M175" s="42"/>
      <c r="N175" s="1"/>
    </row>
    <row r="176" spans="2:14" ht="18.75" x14ac:dyDescent="0.3">
      <c r="B176" s="34">
        <v>10</v>
      </c>
      <c r="C176" s="9" t="s">
        <v>166</v>
      </c>
      <c r="D176" s="12">
        <v>150000</v>
      </c>
      <c r="E176" s="12">
        <v>19995</v>
      </c>
      <c r="F176" s="12">
        <v>169995</v>
      </c>
      <c r="G176" s="14">
        <v>50</v>
      </c>
      <c r="H176" s="12">
        <v>3399.9</v>
      </c>
      <c r="I176" s="14">
        <v>27</v>
      </c>
      <c r="J176" s="35">
        <f t="shared" si="37"/>
        <v>23</v>
      </c>
      <c r="K176" s="36">
        <f t="shared" si="38"/>
        <v>91797.3</v>
      </c>
      <c r="L176" s="32">
        <f t="shared" si="39"/>
        <v>78197.7</v>
      </c>
      <c r="M176" s="42"/>
      <c r="N176" s="1"/>
    </row>
    <row r="177" spans="2:14" ht="18.75" x14ac:dyDescent="0.3">
      <c r="B177" s="34">
        <v>11</v>
      </c>
      <c r="C177" s="9" t="s">
        <v>57</v>
      </c>
      <c r="D177" s="12">
        <v>450000</v>
      </c>
      <c r="E177" s="12">
        <v>59985</v>
      </c>
      <c r="F177" s="12">
        <v>509985</v>
      </c>
      <c r="G177" s="14">
        <v>50</v>
      </c>
      <c r="H177" s="12">
        <v>10199.700000000001</v>
      </c>
      <c r="I177" s="14">
        <v>6</v>
      </c>
      <c r="J177" s="35">
        <f t="shared" si="37"/>
        <v>44</v>
      </c>
      <c r="K177" s="36">
        <f t="shared" si="38"/>
        <v>61198.200000000004</v>
      </c>
      <c r="L177" s="32">
        <f t="shared" si="39"/>
        <v>448786.8</v>
      </c>
      <c r="M177" s="42"/>
      <c r="N177" s="1"/>
    </row>
    <row r="178" spans="2:14" ht="18.75" x14ac:dyDescent="0.3">
      <c r="B178" s="34">
        <v>12</v>
      </c>
      <c r="C178" s="29" t="s">
        <v>179</v>
      </c>
      <c r="D178" s="33">
        <v>500000</v>
      </c>
      <c r="E178" s="33">
        <v>66650</v>
      </c>
      <c r="F178" s="32">
        <f t="shared" ref="F178" si="40">D178+E178</f>
        <v>566650</v>
      </c>
      <c r="G178" s="34">
        <v>50</v>
      </c>
      <c r="H178" s="32">
        <v>11333</v>
      </c>
      <c r="I178" s="81">
        <v>2</v>
      </c>
      <c r="J178" s="35">
        <f t="shared" si="37"/>
        <v>48</v>
      </c>
      <c r="K178" s="36">
        <f t="shared" si="38"/>
        <v>22666</v>
      </c>
      <c r="L178" s="32">
        <f t="shared" si="39"/>
        <v>543984</v>
      </c>
      <c r="M178" s="31"/>
      <c r="N178" s="100"/>
    </row>
    <row r="179" spans="2:14" s="75" customFormat="1" ht="18.75" x14ac:dyDescent="0.3">
      <c r="B179" s="71"/>
      <c r="C179" s="30" t="s">
        <v>296</v>
      </c>
      <c r="D179" s="72">
        <f>SUM(D167:D178)</f>
        <v>3460000</v>
      </c>
      <c r="E179" s="72">
        <f t="shared" ref="E179:F179" si="41">SUM(E167:E178)</f>
        <v>461218</v>
      </c>
      <c r="F179" s="72">
        <f t="shared" si="41"/>
        <v>3921218</v>
      </c>
      <c r="G179" s="71"/>
      <c r="H179" s="72">
        <f>SUM(H167:H178)</f>
        <v>78424.360000000015</v>
      </c>
      <c r="I179" s="73"/>
      <c r="J179" s="74"/>
      <c r="K179" s="72">
        <f t="shared" ref="K179:L179" si="42">SUM(K167:K178)</f>
        <v>1805573.5600000003</v>
      </c>
      <c r="L179" s="72">
        <f t="shared" si="42"/>
        <v>2115644.4399999995</v>
      </c>
      <c r="M179" s="53"/>
      <c r="N179" s="109"/>
    </row>
    <row r="180" spans="2:14" ht="18.75" x14ac:dyDescent="0.3">
      <c r="B180" s="41"/>
      <c r="C180" s="29"/>
      <c r="D180" s="33"/>
      <c r="E180" s="33"/>
      <c r="F180" s="32"/>
      <c r="G180" s="34"/>
      <c r="H180" s="32"/>
      <c r="I180" s="50"/>
      <c r="J180" s="35"/>
      <c r="K180" s="36"/>
      <c r="L180" s="36"/>
      <c r="M180" s="31"/>
      <c r="N180" s="1"/>
    </row>
    <row r="181" spans="2:14" ht="18.75" x14ac:dyDescent="0.3">
      <c r="B181" s="7">
        <f>B178+B163</f>
        <v>170</v>
      </c>
      <c r="C181" s="30" t="s">
        <v>297</v>
      </c>
      <c r="D181" s="17">
        <f>D179+D164</f>
        <v>50220000</v>
      </c>
      <c r="E181" s="17">
        <f t="shared" ref="E181:F181" si="43">E179+E164</f>
        <v>6659667.9199999999</v>
      </c>
      <c r="F181" s="17">
        <f t="shared" si="43"/>
        <v>56970331.920000002</v>
      </c>
      <c r="G181" s="17"/>
      <c r="H181" s="17">
        <f>H179+H164</f>
        <v>1161554.8400000026</v>
      </c>
      <c r="I181" s="17"/>
      <c r="J181" s="17"/>
      <c r="K181" s="17">
        <f>K179+K164</f>
        <v>25364633.029999994</v>
      </c>
      <c r="L181" s="17">
        <f>L179+L164</f>
        <v>31697496.190000005</v>
      </c>
      <c r="M181" s="9"/>
      <c r="N181" s="1"/>
    </row>
    <row r="182" spans="2:14" ht="18.75" x14ac:dyDescent="0.3">
      <c r="B182" s="7"/>
      <c r="C182" s="30"/>
      <c r="D182" s="17"/>
      <c r="E182" s="17"/>
      <c r="F182" s="17"/>
      <c r="G182" s="17"/>
      <c r="H182" s="17"/>
      <c r="I182" s="17"/>
      <c r="J182" s="17"/>
      <c r="K182" s="17"/>
      <c r="L182" s="17"/>
      <c r="M182" s="9"/>
      <c r="N182" s="1"/>
    </row>
    <row r="183" spans="2:14" ht="18.75" x14ac:dyDescent="0.3">
      <c r="B183" s="7"/>
      <c r="C183" s="30"/>
      <c r="D183" s="17"/>
      <c r="E183" s="17"/>
      <c r="F183" s="17"/>
      <c r="G183" s="17"/>
      <c r="H183" s="17"/>
      <c r="I183" s="17"/>
      <c r="J183" s="17"/>
      <c r="K183" s="17"/>
      <c r="L183" s="17"/>
      <c r="M183" s="9"/>
      <c r="N183" s="1"/>
    </row>
    <row r="184" spans="2:14" ht="18.75" x14ac:dyDescent="0.3">
      <c r="B184" s="1"/>
      <c r="C184" s="8" t="s">
        <v>280</v>
      </c>
      <c r="D184" s="12"/>
      <c r="E184" s="12"/>
      <c r="F184" s="12"/>
      <c r="G184" s="12"/>
      <c r="H184" s="12"/>
      <c r="I184" s="12"/>
      <c r="J184" s="12"/>
      <c r="K184" s="12"/>
      <c r="L184" s="12"/>
      <c r="M184" s="1"/>
      <c r="N184" s="1"/>
    </row>
    <row r="185" spans="2:14" ht="37.5" x14ac:dyDescent="0.3">
      <c r="B185" s="7" t="s">
        <v>2</v>
      </c>
      <c r="C185" s="7" t="s">
        <v>0</v>
      </c>
      <c r="D185" s="8" t="s">
        <v>3</v>
      </c>
      <c r="E185" s="8" t="s">
        <v>4</v>
      </c>
      <c r="F185" s="8" t="s">
        <v>1</v>
      </c>
      <c r="G185" s="10" t="s">
        <v>11</v>
      </c>
      <c r="H185" s="10" t="s">
        <v>10</v>
      </c>
      <c r="I185" s="11" t="s">
        <v>5</v>
      </c>
      <c r="J185" s="11" t="s">
        <v>6</v>
      </c>
      <c r="K185" s="10" t="s">
        <v>7</v>
      </c>
      <c r="L185" s="10" t="s">
        <v>8</v>
      </c>
      <c r="M185" s="10" t="s">
        <v>9</v>
      </c>
      <c r="N185" s="1"/>
    </row>
    <row r="186" spans="2:14" ht="18.75" x14ac:dyDescent="0.3">
      <c r="B186" s="88">
        <v>1</v>
      </c>
      <c r="C186" s="66" t="s">
        <v>281</v>
      </c>
      <c r="D186" s="33">
        <v>450000</v>
      </c>
      <c r="E186" s="33">
        <v>59985</v>
      </c>
      <c r="F186" s="32">
        <f>D186+E186</f>
        <v>509985</v>
      </c>
      <c r="G186" s="34">
        <v>50</v>
      </c>
      <c r="H186" s="87">
        <v>10199.700000000001</v>
      </c>
      <c r="I186" s="9">
        <v>49</v>
      </c>
      <c r="J186" s="9">
        <f>G186-I186</f>
        <v>1</v>
      </c>
      <c r="K186" s="92">
        <f>H186*I186</f>
        <v>499785.30000000005</v>
      </c>
      <c r="L186" s="32">
        <f t="shared" ref="L186:L187" si="44">F186-K186</f>
        <v>10199.699999999953</v>
      </c>
      <c r="M186" s="9" t="s">
        <v>282</v>
      </c>
      <c r="N186" s="1"/>
    </row>
    <row r="187" spans="2:14" ht="18.75" x14ac:dyDescent="0.3">
      <c r="B187" s="88">
        <v>2</v>
      </c>
      <c r="C187" s="66" t="s">
        <v>295</v>
      </c>
      <c r="D187" s="12">
        <v>150000</v>
      </c>
      <c r="E187" s="12">
        <v>19995</v>
      </c>
      <c r="F187" s="12">
        <v>169995</v>
      </c>
      <c r="G187" s="14">
        <v>50</v>
      </c>
      <c r="H187" s="90">
        <v>3399.9</v>
      </c>
      <c r="I187" s="9">
        <v>33</v>
      </c>
      <c r="J187" s="9">
        <f>G187-I187</f>
        <v>17</v>
      </c>
      <c r="K187" s="92">
        <f>H187*I187</f>
        <v>112196.7</v>
      </c>
      <c r="L187" s="32">
        <f t="shared" si="44"/>
        <v>57798.3</v>
      </c>
      <c r="M187" s="89"/>
      <c r="N187" s="1"/>
    </row>
    <row r="188" spans="2:14" ht="18.75" x14ac:dyDescent="0.3">
      <c r="B188" s="7"/>
      <c r="C188" s="30" t="s">
        <v>297</v>
      </c>
      <c r="D188" s="17">
        <f>SUM(D186:D187)</f>
        <v>600000</v>
      </c>
      <c r="E188" s="17">
        <f t="shared" ref="E188:F188" si="45">SUM(E186:E187)</f>
        <v>79980</v>
      </c>
      <c r="F188" s="17">
        <f t="shared" si="45"/>
        <v>679980</v>
      </c>
      <c r="G188" s="17"/>
      <c r="H188" s="17">
        <f>SUM(H186:H187)</f>
        <v>13599.6</v>
      </c>
      <c r="I188" s="17"/>
      <c r="J188" s="17"/>
      <c r="K188" s="17">
        <f t="shared" ref="K188:L188" si="46">SUM(K186:K187)</f>
        <v>611982</v>
      </c>
      <c r="L188" s="17">
        <f t="shared" si="46"/>
        <v>67997.999999999956</v>
      </c>
      <c r="M188" s="9"/>
      <c r="N188" s="1"/>
    </row>
    <row r="189" spans="2:14" ht="18.75" x14ac:dyDescent="0.3">
      <c r="B189" s="7"/>
      <c r="C189" s="30"/>
      <c r="D189" s="17"/>
      <c r="E189" s="17"/>
      <c r="F189" s="17"/>
      <c r="G189" s="17"/>
      <c r="H189" s="17"/>
      <c r="I189" s="17"/>
      <c r="J189" s="17"/>
      <c r="K189" s="17"/>
      <c r="L189" s="17"/>
      <c r="M189" s="9"/>
      <c r="N189" s="1"/>
    </row>
    <row r="190" spans="2:14" ht="18.75" x14ac:dyDescent="0.3">
      <c r="B190" s="7"/>
      <c r="C190" s="30" t="s">
        <v>279</v>
      </c>
      <c r="D190" s="17">
        <f>D188+D181</f>
        <v>50820000</v>
      </c>
      <c r="E190" s="17">
        <f t="shared" ref="E190:F190" si="47">E188+E181</f>
        <v>6739647.9199999999</v>
      </c>
      <c r="F190" s="17">
        <f t="shared" si="47"/>
        <v>57650311.920000002</v>
      </c>
      <c r="G190" s="17"/>
      <c r="H190" s="17">
        <f>H188+H181</f>
        <v>1175154.4400000027</v>
      </c>
      <c r="I190" s="17"/>
      <c r="J190" s="17"/>
      <c r="K190" s="17">
        <f t="shared" ref="K190:L190" si="48">K188+K181</f>
        <v>25976615.029999994</v>
      </c>
      <c r="L190" s="17">
        <f t="shared" si="48"/>
        <v>31765494.190000005</v>
      </c>
      <c r="M190" s="9"/>
      <c r="N190" s="1"/>
    </row>
    <row r="191" spans="2:14" ht="18.75" x14ac:dyDescent="0.3">
      <c r="B191" s="7"/>
      <c r="C191" s="30"/>
      <c r="D191" s="17"/>
      <c r="E191" s="17"/>
      <c r="F191" s="17"/>
      <c r="G191" s="17"/>
      <c r="H191" s="17"/>
      <c r="I191" s="17"/>
      <c r="J191" s="17"/>
      <c r="K191" s="17"/>
      <c r="L191" s="17"/>
      <c r="M191" s="9"/>
      <c r="N191" s="1"/>
    </row>
    <row r="192" spans="2:14" ht="18.75" x14ac:dyDescent="0.3">
      <c r="B192" s="7"/>
      <c r="C192" s="30"/>
      <c r="D192" s="17"/>
      <c r="E192" s="17"/>
      <c r="F192" s="17"/>
      <c r="G192" s="17"/>
      <c r="H192" s="17"/>
      <c r="I192" s="17"/>
      <c r="J192" s="17"/>
      <c r="K192" s="17"/>
      <c r="L192" s="17"/>
      <c r="M192" s="9"/>
      <c r="N192" s="1"/>
    </row>
    <row r="193" spans="1:14" ht="18.75" x14ac:dyDescent="0.3">
      <c r="B193" s="1"/>
      <c r="C193" s="8" t="s">
        <v>227</v>
      </c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</row>
    <row r="194" spans="1:14" ht="18.75" x14ac:dyDescent="0.3">
      <c r="A194" s="18"/>
      <c r="B194" s="34">
        <v>1</v>
      </c>
      <c r="C194" s="29" t="s">
        <v>161</v>
      </c>
      <c r="D194" s="33">
        <v>500000</v>
      </c>
      <c r="E194" s="33">
        <v>66650</v>
      </c>
      <c r="F194" s="32">
        <f>D194+E194</f>
        <v>566650</v>
      </c>
      <c r="G194" s="34">
        <v>50</v>
      </c>
      <c r="H194" s="32">
        <v>11333</v>
      </c>
      <c r="I194" s="50">
        <v>23</v>
      </c>
      <c r="J194" s="35">
        <f>G194-I194</f>
        <v>27</v>
      </c>
      <c r="K194" s="36">
        <f>I194*H194</f>
        <v>260659</v>
      </c>
      <c r="L194" s="36">
        <f>F194-K194</f>
        <v>305991</v>
      </c>
      <c r="M194" s="53" t="s">
        <v>234</v>
      </c>
      <c r="N194" s="1"/>
    </row>
    <row r="195" spans="1:14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</row>
    <row r="196" spans="1:14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</row>
    <row r="199" spans="1:14" x14ac:dyDescent="0.25">
      <c r="H199" s="54"/>
    </row>
  </sheetData>
  <pageMargins left="0.7" right="0.7" top="0.75" bottom="0.75" header="0.3" footer="0.3"/>
  <pageSetup paperSize="5" scale="55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N197"/>
  <sheetViews>
    <sheetView topLeftCell="E1" workbookViewId="0">
      <selection activeCell="B2" sqref="B2:M198"/>
    </sheetView>
  </sheetViews>
  <sheetFormatPr defaultRowHeight="15" x14ac:dyDescent="0.25"/>
  <cols>
    <col min="3" max="3" width="44.42578125" customWidth="1"/>
    <col min="4" max="4" width="19.7109375" bestFit="1" customWidth="1"/>
    <col min="5" max="5" width="18.28515625" bestFit="1" customWidth="1"/>
    <col min="6" max="6" width="19.7109375" bestFit="1" customWidth="1"/>
    <col min="8" max="8" width="18.28515625" bestFit="1" customWidth="1"/>
    <col min="9" max="9" width="13.140625" customWidth="1"/>
    <col min="10" max="10" width="14.140625" customWidth="1"/>
    <col min="11" max="12" width="19.7109375" bestFit="1" customWidth="1"/>
    <col min="13" max="13" width="20.7109375" customWidth="1"/>
  </cols>
  <sheetData>
    <row r="2" spans="1:13" ht="18.75" x14ac:dyDescent="0.3">
      <c r="B2" s="5"/>
      <c r="C2" s="6" t="s">
        <v>12</v>
      </c>
      <c r="D2" s="5"/>
      <c r="E2" s="6"/>
      <c r="F2" s="6"/>
      <c r="G2" s="5"/>
      <c r="H2" s="5"/>
      <c r="I2" s="5"/>
      <c r="J2" s="5"/>
      <c r="K2" s="5"/>
      <c r="L2" s="5"/>
      <c r="M2" s="5"/>
    </row>
    <row r="3" spans="1:13" ht="18.75" x14ac:dyDescent="0.3">
      <c r="B3" s="5"/>
      <c r="C3" s="6" t="s">
        <v>274</v>
      </c>
      <c r="D3" s="5"/>
      <c r="E3" s="6"/>
      <c r="F3" s="6"/>
      <c r="G3" s="6"/>
      <c r="H3" s="5"/>
      <c r="I3" s="5"/>
      <c r="J3" s="5"/>
      <c r="K3" s="5"/>
      <c r="L3" s="5"/>
      <c r="M3" s="5"/>
    </row>
    <row r="4" spans="1:13" ht="18.75" x14ac:dyDescent="0.3"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</row>
    <row r="5" spans="1:13" ht="56.2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</row>
    <row r="6" spans="1:13" ht="18.75" x14ac:dyDescent="0.3">
      <c r="A6" s="18"/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33" si="0">D6+E6</f>
        <v>566650</v>
      </c>
      <c r="G6" s="34">
        <v>50</v>
      </c>
      <c r="H6" s="32">
        <v>11333</v>
      </c>
      <c r="I6" s="31">
        <v>34</v>
      </c>
      <c r="J6" s="35">
        <f t="shared" ref="J6:J37" si="1">G6-I6</f>
        <v>16</v>
      </c>
      <c r="K6" s="33">
        <f t="shared" ref="K6:K13" si="2">H6*I6</f>
        <v>385322</v>
      </c>
      <c r="L6" s="36">
        <f t="shared" ref="L6:L37" si="3">F6-K6</f>
        <v>181328</v>
      </c>
      <c r="M6" s="31"/>
    </row>
    <row r="7" spans="1:13" ht="18.75" x14ac:dyDescent="0.3">
      <c r="A7" s="18"/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34</v>
      </c>
      <c r="J7" s="35">
        <f t="shared" si="1"/>
        <v>16</v>
      </c>
      <c r="K7" s="33">
        <f t="shared" si="2"/>
        <v>385322</v>
      </c>
      <c r="L7" s="36">
        <f t="shared" si="3"/>
        <v>181328</v>
      </c>
      <c r="M7" s="31"/>
    </row>
    <row r="8" spans="1:13" ht="18.75" x14ac:dyDescent="0.3">
      <c r="A8" s="18"/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49</v>
      </c>
      <c r="J8" s="35">
        <f t="shared" si="1"/>
        <v>1</v>
      </c>
      <c r="K8" s="36">
        <f t="shared" si="2"/>
        <v>555317</v>
      </c>
      <c r="L8" s="32">
        <f t="shared" si="3"/>
        <v>11333</v>
      </c>
      <c r="M8" s="31"/>
    </row>
    <row r="9" spans="1:13" ht="18.75" x14ac:dyDescent="0.3">
      <c r="A9" s="18"/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49</v>
      </c>
      <c r="J9" s="35">
        <f t="shared" si="1"/>
        <v>1</v>
      </c>
      <c r="K9" s="36">
        <f t="shared" si="2"/>
        <v>555317</v>
      </c>
      <c r="L9" s="32">
        <f t="shared" si="3"/>
        <v>11333</v>
      </c>
      <c r="M9" s="31"/>
    </row>
    <row r="10" spans="1:13" ht="18.75" x14ac:dyDescent="0.3">
      <c r="A10" s="18"/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49</v>
      </c>
      <c r="J10" s="35">
        <f t="shared" si="1"/>
        <v>1</v>
      </c>
      <c r="K10" s="36">
        <f t="shared" si="2"/>
        <v>555317</v>
      </c>
      <c r="L10" s="32">
        <f t="shared" si="3"/>
        <v>11333</v>
      </c>
      <c r="M10" s="31"/>
    </row>
    <row r="11" spans="1:13" ht="18.75" x14ac:dyDescent="0.3">
      <c r="A11" s="18"/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34</v>
      </c>
      <c r="J11" s="35">
        <f t="shared" si="1"/>
        <v>16</v>
      </c>
      <c r="K11" s="36">
        <f t="shared" si="2"/>
        <v>385322</v>
      </c>
      <c r="L11" s="36">
        <f t="shared" si="3"/>
        <v>181328</v>
      </c>
      <c r="M11" s="31"/>
    </row>
    <row r="12" spans="1:13" ht="18.75" x14ac:dyDescent="0.3">
      <c r="A12" s="18"/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33</v>
      </c>
      <c r="J12" s="35">
        <f t="shared" si="1"/>
        <v>17</v>
      </c>
      <c r="K12" s="36">
        <f t="shared" si="2"/>
        <v>373989</v>
      </c>
      <c r="L12" s="36">
        <f t="shared" si="3"/>
        <v>192661</v>
      </c>
      <c r="M12" s="31"/>
    </row>
    <row r="13" spans="1:13" ht="18.75" x14ac:dyDescent="0.3">
      <c r="A13" s="18"/>
      <c r="B13" s="34">
        <v>8</v>
      </c>
      <c r="C13" s="31" t="s">
        <v>123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34</v>
      </c>
      <c r="J13" s="35">
        <f t="shared" si="1"/>
        <v>16</v>
      </c>
      <c r="K13" s="36">
        <f t="shared" si="2"/>
        <v>385322</v>
      </c>
      <c r="L13" s="36">
        <f t="shared" si="3"/>
        <v>181328</v>
      </c>
      <c r="M13" s="31"/>
    </row>
    <row r="14" spans="1:13" ht="18.75" x14ac:dyDescent="0.3">
      <c r="A14" s="18"/>
      <c r="B14" s="34">
        <v>9</v>
      </c>
      <c r="C14" s="31" t="s">
        <v>144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29</v>
      </c>
      <c r="J14" s="35">
        <f t="shared" si="1"/>
        <v>21</v>
      </c>
      <c r="K14" s="36">
        <f t="shared" ref="K14:K22" si="4">I14*H14</f>
        <v>328657</v>
      </c>
      <c r="L14" s="36">
        <f t="shared" si="3"/>
        <v>237993</v>
      </c>
      <c r="M14" s="31"/>
    </row>
    <row r="15" spans="1:13" ht="18.75" x14ac:dyDescent="0.3">
      <c r="A15" s="18"/>
      <c r="B15" s="34">
        <v>10</v>
      </c>
      <c r="C15" s="31" t="s">
        <v>145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29</v>
      </c>
      <c r="J15" s="35">
        <f t="shared" si="1"/>
        <v>21</v>
      </c>
      <c r="K15" s="36">
        <f t="shared" si="4"/>
        <v>328657</v>
      </c>
      <c r="L15" s="36">
        <f t="shared" si="3"/>
        <v>237993</v>
      </c>
      <c r="M15" s="31"/>
    </row>
    <row r="16" spans="1:13" ht="18.75" x14ac:dyDescent="0.3">
      <c r="A16" s="18"/>
      <c r="B16" s="34">
        <v>11</v>
      </c>
      <c r="C16" s="50" t="s">
        <v>154</v>
      </c>
      <c r="D16" s="33">
        <v>500000</v>
      </c>
      <c r="E16" s="33">
        <v>31991.919999999998</v>
      </c>
      <c r="F16" s="32">
        <f t="shared" si="0"/>
        <v>531991.92000000004</v>
      </c>
      <c r="G16" s="34">
        <v>24</v>
      </c>
      <c r="H16" s="32">
        <v>22166.33</v>
      </c>
      <c r="I16" s="50">
        <v>23</v>
      </c>
      <c r="J16" s="35">
        <f t="shared" si="1"/>
        <v>1</v>
      </c>
      <c r="K16" s="36">
        <f t="shared" si="4"/>
        <v>509825.59</v>
      </c>
      <c r="L16" s="36">
        <f t="shared" si="3"/>
        <v>22166.330000000016</v>
      </c>
      <c r="M16" s="31"/>
    </row>
    <row r="17" spans="1:13" ht="18.75" x14ac:dyDescent="0.3">
      <c r="A17" s="18"/>
      <c r="B17" s="34">
        <v>12</v>
      </c>
      <c r="C17" s="50" t="s">
        <v>208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50">
        <v>20</v>
      </c>
      <c r="J17" s="35">
        <f t="shared" si="1"/>
        <v>30</v>
      </c>
      <c r="K17" s="36">
        <f t="shared" si="4"/>
        <v>226660</v>
      </c>
      <c r="L17" s="36">
        <f t="shared" si="3"/>
        <v>339990</v>
      </c>
      <c r="M17" s="31"/>
    </row>
    <row r="18" spans="1:13" ht="18.75" x14ac:dyDescent="0.3">
      <c r="A18" s="18"/>
      <c r="B18" s="34">
        <v>13</v>
      </c>
      <c r="C18" s="50" t="s">
        <v>14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18</v>
      </c>
      <c r="J18" s="35">
        <f t="shared" si="1"/>
        <v>32</v>
      </c>
      <c r="K18" s="36">
        <f t="shared" si="4"/>
        <v>203994</v>
      </c>
      <c r="L18" s="36">
        <f t="shared" si="3"/>
        <v>362656</v>
      </c>
      <c r="M18" s="31"/>
    </row>
    <row r="19" spans="1:13" ht="18.75" x14ac:dyDescent="0.3">
      <c r="A19" s="18"/>
      <c r="B19" s="34">
        <v>14</v>
      </c>
      <c r="C19" s="50" t="s">
        <v>15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18</v>
      </c>
      <c r="J19" s="35">
        <f t="shared" si="1"/>
        <v>32</v>
      </c>
      <c r="K19" s="36">
        <f t="shared" si="4"/>
        <v>203994</v>
      </c>
      <c r="L19" s="36">
        <f t="shared" si="3"/>
        <v>362656</v>
      </c>
      <c r="M19" s="31"/>
    </row>
    <row r="20" spans="1:13" ht="18.75" x14ac:dyDescent="0.3">
      <c r="A20" s="18"/>
      <c r="B20" s="34">
        <v>15</v>
      </c>
      <c r="C20" s="50" t="s">
        <v>16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18</v>
      </c>
      <c r="J20" s="35">
        <f t="shared" si="1"/>
        <v>32</v>
      </c>
      <c r="K20" s="36">
        <f t="shared" si="4"/>
        <v>203994</v>
      </c>
      <c r="L20" s="36">
        <f t="shared" si="3"/>
        <v>362656</v>
      </c>
      <c r="M20" s="31"/>
    </row>
    <row r="21" spans="1:13" ht="18.75" x14ac:dyDescent="0.3">
      <c r="A21" s="18"/>
      <c r="B21" s="34">
        <v>16</v>
      </c>
      <c r="C21" s="50" t="s">
        <v>232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15</v>
      </c>
      <c r="J21" s="35">
        <f t="shared" si="1"/>
        <v>35</v>
      </c>
      <c r="K21" s="36">
        <f t="shared" si="4"/>
        <v>169995</v>
      </c>
      <c r="L21" s="36">
        <f t="shared" si="3"/>
        <v>396655</v>
      </c>
      <c r="M21" s="31"/>
    </row>
    <row r="22" spans="1:13" ht="18.75" x14ac:dyDescent="0.3">
      <c r="A22" s="18"/>
      <c r="B22" s="34">
        <v>17</v>
      </c>
      <c r="C22" s="50" t="s">
        <v>214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15</v>
      </c>
      <c r="J22" s="35">
        <f t="shared" si="1"/>
        <v>35</v>
      </c>
      <c r="K22" s="36">
        <f t="shared" si="4"/>
        <v>169995</v>
      </c>
      <c r="L22" s="36">
        <f t="shared" si="3"/>
        <v>396655</v>
      </c>
      <c r="M22" s="31"/>
    </row>
    <row r="23" spans="1:13" ht="18.75" x14ac:dyDescent="0.3">
      <c r="A23" s="18"/>
      <c r="B23" s="34">
        <v>18</v>
      </c>
      <c r="C23" s="31" t="s">
        <v>219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31">
        <v>47</v>
      </c>
      <c r="J23" s="35">
        <f t="shared" si="1"/>
        <v>3</v>
      </c>
      <c r="K23" s="36">
        <f>H23*I23</f>
        <v>532651</v>
      </c>
      <c r="L23" s="32">
        <f t="shared" si="3"/>
        <v>33999</v>
      </c>
      <c r="M23" s="31"/>
    </row>
    <row r="24" spans="1:13" ht="18.75" x14ac:dyDescent="0.3">
      <c r="A24" s="18"/>
      <c r="B24" s="34">
        <v>19</v>
      </c>
      <c r="C24" s="50" t="s">
        <v>31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12</v>
      </c>
      <c r="J24" s="35">
        <f t="shared" si="1"/>
        <v>38</v>
      </c>
      <c r="K24" s="36">
        <f t="shared" ref="K24:K36" si="5">I24*H24</f>
        <v>135996</v>
      </c>
      <c r="L24" s="36">
        <f t="shared" si="3"/>
        <v>430654</v>
      </c>
      <c r="M24" s="31"/>
    </row>
    <row r="25" spans="1:13" ht="18.75" x14ac:dyDescent="0.3">
      <c r="A25" s="18"/>
      <c r="B25" s="34">
        <v>20</v>
      </c>
      <c r="C25" s="29" t="s">
        <v>170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34</v>
      </c>
      <c r="J25" s="35">
        <f t="shared" si="1"/>
        <v>16</v>
      </c>
      <c r="K25" s="36">
        <f t="shared" si="5"/>
        <v>385322</v>
      </c>
      <c r="L25" s="36">
        <f t="shared" si="3"/>
        <v>181328</v>
      </c>
      <c r="M25" s="31"/>
    </row>
    <row r="26" spans="1:13" ht="18.75" x14ac:dyDescent="0.3">
      <c r="A26" s="18"/>
      <c r="B26" s="34">
        <v>21</v>
      </c>
      <c r="C26" s="29" t="s">
        <v>172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30</v>
      </c>
      <c r="J26" s="35">
        <f t="shared" si="1"/>
        <v>20</v>
      </c>
      <c r="K26" s="36">
        <f t="shared" si="5"/>
        <v>339990</v>
      </c>
      <c r="L26" s="36">
        <f t="shared" si="3"/>
        <v>226660</v>
      </c>
      <c r="M26" s="31"/>
    </row>
    <row r="27" spans="1:13" ht="18.75" x14ac:dyDescent="0.3">
      <c r="A27" s="18"/>
      <c r="B27" s="34">
        <v>22</v>
      </c>
      <c r="C27" s="29" t="s">
        <v>46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10</v>
      </c>
      <c r="J27" s="35">
        <f t="shared" si="1"/>
        <v>40</v>
      </c>
      <c r="K27" s="36">
        <f t="shared" si="5"/>
        <v>113330</v>
      </c>
      <c r="L27" s="36">
        <f t="shared" si="3"/>
        <v>453320</v>
      </c>
      <c r="M27" s="31"/>
    </row>
    <row r="28" spans="1:13" ht="18.75" x14ac:dyDescent="0.3">
      <c r="A28" s="18"/>
      <c r="B28" s="34">
        <v>23</v>
      </c>
      <c r="C28" s="29" t="s">
        <v>45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10</v>
      </c>
      <c r="J28" s="35">
        <f t="shared" si="1"/>
        <v>40</v>
      </c>
      <c r="K28" s="36">
        <f t="shared" si="5"/>
        <v>113330</v>
      </c>
      <c r="L28" s="36">
        <f t="shared" si="3"/>
        <v>453320</v>
      </c>
      <c r="M28" s="31"/>
    </row>
    <row r="29" spans="1:13" ht="18.75" x14ac:dyDescent="0.3">
      <c r="A29" s="18"/>
      <c r="B29" s="34">
        <v>24</v>
      </c>
      <c r="C29" s="29" t="s">
        <v>47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10</v>
      </c>
      <c r="J29" s="35">
        <f t="shared" si="1"/>
        <v>40</v>
      </c>
      <c r="K29" s="36">
        <f t="shared" si="5"/>
        <v>113330</v>
      </c>
      <c r="L29" s="36">
        <f t="shared" si="3"/>
        <v>453320</v>
      </c>
      <c r="M29" s="31"/>
    </row>
    <row r="30" spans="1:13" ht="18.75" x14ac:dyDescent="0.3">
      <c r="A30" s="18"/>
      <c r="B30" s="34">
        <v>25</v>
      </c>
      <c r="C30" s="29" t="s">
        <v>44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9</v>
      </c>
      <c r="J30" s="35">
        <f t="shared" si="1"/>
        <v>41</v>
      </c>
      <c r="K30" s="36">
        <f t="shared" si="5"/>
        <v>101997</v>
      </c>
      <c r="L30" s="36">
        <f t="shared" si="3"/>
        <v>464653</v>
      </c>
      <c r="M30" s="31"/>
    </row>
    <row r="31" spans="1:13" ht="18.75" x14ac:dyDescent="0.3">
      <c r="A31" s="18"/>
      <c r="B31" s="34">
        <v>26</v>
      </c>
      <c r="C31" s="29" t="s">
        <v>66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8</v>
      </c>
      <c r="J31" s="35">
        <f t="shared" si="1"/>
        <v>42</v>
      </c>
      <c r="K31" s="36">
        <f t="shared" si="5"/>
        <v>90664</v>
      </c>
      <c r="L31" s="36">
        <f t="shared" si="3"/>
        <v>475986</v>
      </c>
      <c r="M31" s="31"/>
    </row>
    <row r="32" spans="1:13" ht="18.75" x14ac:dyDescent="0.3">
      <c r="A32" s="18"/>
      <c r="B32" s="34">
        <v>27</v>
      </c>
      <c r="C32" s="29" t="s">
        <v>67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8</v>
      </c>
      <c r="J32" s="35">
        <f t="shared" si="1"/>
        <v>42</v>
      </c>
      <c r="K32" s="36">
        <f t="shared" si="5"/>
        <v>90664</v>
      </c>
      <c r="L32" s="36">
        <f t="shared" si="3"/>
        <v>475986</v>
      </c>
      <c r="M32" s="31"/>
    </row>
    <row r="33" spans="1:13" ht="18.75" x14ac:dyDescent="0.3">
      <c r="A33" s="18"/>
      <c r="B33" s="34">
        <v>28</v>
      </c>
      <c r="C33" s="29" t="s">
        <v>68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8</v>
      </c>
      <c r="J33" s="35">
        <f t="shared" si="1"/>
        <v>42</v>
      </c>
      <c r="K33" s="36">
        <f t="shared" si="5"/>
        <v>90664</v>
      </c>
      <c r="L33" s="36">
        <f t="shared" si="3"/>
        <v>475986</v>
      </c>
      <c r="M33" s="31"/>
    </row>
    <row r="34" spans="1:13" ht="18.75" x14ac:dyDescent="0.3">
      <c r="A34" s="18"/>
      <c r="B34" s="34">
        <v>29</v>
      </c>
      <c r="C34" s="29" t="s">
        <v>253</v>
      </c>
      <c r="D34" s="33">
        <v>500000</v>
      </c>
      <c r="E34" s="33">
        <v>66650</v>
      </c>
      <c r="F34" s="32">
        <f t="shared" ref="F34:F35" si="6">D34+E34</f>
        <v>566650</v>
      </c>
      <c r="G34" s="34">
        <v>50</v>
      </c>
      <c r="H34" s="32">
        <v>11333</v>
      </c>
      <c r="I34" s="50">
        <v>5</v>
      </c>
      <c r="J34" s="35">
        <f t="shared" si="1"/>
        <v>45</v>
      </c>
      <c r="K34" s="36">
        <f t="shared" si="5"/>
        <v>56665</v>
      </c>
      <c r="L34" s="36">
        <f t="shared" si="3"/>
        <v>509985</v>
      </c>
      <c r="M34" s="31"/>
    </row>
    <row r="35" spans="1:13" ht="18.75" x14ac:dyDescent="0.3">
      <c r="A35" s="18"/>
      <c r="B35" s="34">
        <v>30</v>
      </c>
      <c r="C35" s="29" t="s">
        <v>254</v>
      </c>
      <c r="D35" s="33">
        <v>500000</v>
      </c>
      <c r="E35" s="33">
        <v>66650</v>
      </c>
      <c r="F35" s="32">
        <f t="shared" si="6"/>
        <v>566650</v>
      </c>
      <c r="G35" s="34">
        <v>50</v>
      </c>
      <c r="H35" s="32">
        <v>11333</v>
      </c>
      <c r="I35" s="50">
        <v>5</v>
      </c>
      <c r="J35" s="35">
        <f t="shared" si="1"/>
        <v>45</v>
      </c>
      <c r="K35" s="36">
        <f t="shared" si="5"/>
        <v>56665</v>
      </c>
      <c r="L35" s="36">
        <f t="shared" si="3"/>
        <v>509985</v>
      </c>
      <c r="M35" s="31"/>
    </row>
    <row r="36" spans="1:13" ht="18.75" x14ac:dyDescent="0.3">
      <c r="A36" s="18"/>
      <c r="B36" s="34">
        <v>31</v>
      </c>
      <c r="C36" s="31" t="s">
        <v>74</v>
      </c>
      <c r="D36" s="33">
        <v>450000</v>
      </c>
      <c r="E36" s="33">
        <v>59985</v>
      </c>
      <c r="F36" s="32">
        <f t="shared" ref="F36:F62" si="7">D36+E36</f>
        <v>509985</v>
      </c>
      <c r="G36" s="34">
        <v>50</v>
      </c>
      <c r="H36" s="32">
        <v>10199.700000000001</v>
      </c>
      <c r="I36" s="31">
        <v>31</v>
      </c>
      <c r="J36" s="35">
        <f t="shared" si="1"/>
        <v>19</v>
      </c>
      <c r="K36" s="32">
        <f t="shared" si="5"/>
        <v>316190.7</v>
      </c>
      <c r="L36" s="33">
        <f t="shared" si="3"/>
        <v>193794.3</v>
      </c>
      <c r="M36" s="31"/>
    </row>
    <row r="37" spans="1:13" ht="18.75" x14ac:dyDescent="0.3">
      <c r="A37" s="18"/>
      <c r="B37" s="34">
        <v>32</v>
      </c>
      <c r="C37" s="31" t="s">
        <v>77</v>
      </c>
      <c r="D37" s="33">
        <v>450000</v>
      </c>
      <c r="E37" s="33">
        <v>59985</v>
      </c>
      <c r="F37" s="32">
        <f t="shared" si="7"/>
        <v>509985</v>
      </c>
      <c r="G37" s="34">
        <v>50</v>
      </c>
      <c r="H37" s="32">
        <v>10199.700000000001</v>
      </c>
      <c r="I37" s="52">
        <v>30</v>
      </c>
      <c r="J37" s="35">
        <f t="shared" si="1"/>
        <v>20</v>
      </c>
      <c r="K37" s="32">
        <f t="shared" ref="K37:K43" si="8">H37*I37</f>
        <v>305991</v>
      </c>
      <c r="L37" s="33">
        <f t="shared" si="3"/>
        <v>203994</v>
      </c>
      <c r="M37" s="31"/>
    </row>
    <row r="38" spans="1:13" ht="18.75" x14ac:dyDescent="0.3">
      <c r="A38" s="18"/>
      <c r="B38" s="34">
        <v>33</v>
      </c>
      <c r="C38" s="31" t="s">
        <v>78</v>
      </c>
      <c r="D38" s="33">
        <v>450000</v>
      </c>
      <c r="E38" s="33">
        <v>59985</v>
      </c>
      <c r="F38" s="32">
        <f t="shared" si="7"/>
        <v>509985</v>
      </c>
      <c r="G38" s="34">
        <v>50</v>
      </c>
      <c r="H38" s="32">
        <v>10199.700000000001</v>
      </c>
      <c r="I38" s="52">
        <v>30</v>
      </c>
      <c r="J38" s="35">
        <f t="shared" ref="J38:J69" si="9">G38-I38</f>
        <v>20</v>
      </c>
      <c r="K38" s="32">
        <f t="shared" si="8"/>
        <v>305991</v>
      </c>
      <c r="L38" s="32">
        <f t="shared" ref="L38:L69" si="10">F38-K38</f>
        <v>203994</v>
      </c>
      <c r="M38" s="31"/>
    </row>
    <row r="39" spans="1:13" ht="18.75" x14ac:dyDescent="0.3">
      <c r="A39" s="18"/>
      <c r="B39" s="34">
        <v>34</v>
      </c>
      <c r="C39" s="31" t="s">
        <v>82</v>
      </c>
      <c r="D39" s="33">
        <v>450000</v>
      </c>
      <c r="E39" s="33">
        <v>59985</v>
      </c>
      <c r="F39" s="32">
        <f t="shared" si="7"/>
        <v>509985</v>
      </c>
      <c r="G39" s="34">
        <v>50</v>
      </c>
      <c r="H39" s="32">
        <v>10199.700000000001</v>
      </c>
      <c r="I39" s="31">
        <v>34</v>
      </c>
      <c r="J39" s="35">
        <f t="shared" si="9"/>
        <v>16</v>
      </c>
      <c r="K39" s="36">
        <f t="shared" si="8"/>
        <v>346789.80000000005</v>
      </c>
      <c r="L39" s="36">
        <f t="shared" si="10"/>
        <v>163195.19999999995</v>
      </c>
      <c r="M39" s="31"/>
    </row>
    <row r="40" spans="1:13" ht="18.75" x14ac:dyDescent="0.3">
      <c r="A40" s="18"/>
      <c r="B40" s="34">
        <v>35</v>
      </c>
      <c r="C40" s="31" t="s">
        <v>99</v>
      </c>
      <c r="D40" s="33">
        <v>450000</v>
      </c>
      <c r="E40" s="33">
        <v>59985</v>
      </c>
      <c r="F40" s="32">
        <f t="shared" si="7"/>
        <v>509985</v>
      </c>
      <c r="G40" s="34">
        <v>50</v>
      </c>
      <c r="H40" s="36">
        <v>10199.700000000001</v>
      </c>
      <c r="I40" s="31">
        <v>34</v>
      </c>
      <c r="J40" s="35">
        <f t="shared" si="9"/>
        <v>16</v>
      </c>
      <c r="K40" s="36">
        <f t="shared" si="8"/>
        <v>346789.80000000005</v>
      </c>
      <c r="L40" s="36">
        <f t="shared" si="10"/>
        <v>163195.19999999995</v>
      </c>
      <c r="M40" s="31"/>
    </row>
    <row r="41" spans="1:13" ht="18.75" x14ac:dyDescent="0.3">
      <c r="A41" s="18"/>
      <c r="B41" s="34">
        <v>36</v>
      </c>
      <c r="C41" s="31" t="s">
        <v>196</v>
      </c>
      <c r="D41" s="33">
        <v>450000</v>
      </c>
      <c r="E41" s="33">
        <v>59985</v>
      </c>
      <c r="F41" s="32">
        <f t="shared" si="7"/>
        <v>509985</v>
      </c>
      <c r="G41" s="34">
        <v>50</v>
      </c>
      <c r="H41" s="32">
        <v>10199.700000000001</v>
      </c>
      <c r="I41" s="31">
        <v>49</v>
      </c>
      <c r="J41" s="35">
        <f t="shared" si="9"/>
        <v>1</v>
      </c>
      <c r="K41" s="36">
        <f t="shared" si="8"/>
        <v>499785.30000000005</v>
      </c>
      <c r="L41" s="32">
        <f t="shared" si="10"/>
        <v>10199.699999999953</v>
      </c>
      <c r="M41" s="31"/>
    </row>
    <row r="42" spans="1:13" ht="18.75" x14ac:dyDescent="0.3">
      <c r="A42" s="18"/>
      <c r="B42" s="34">
        <v>37</v>
      </c>
      <c r="C42" s="31" t="s">
        <v>122</v>
      </c>
      <c r="D42" s="33">
        <v>450000</v>
      </c>
      <c r="E42" s="33">
        <v>59985</v>
      </c>
      <c r="F42" s="32">
        <f t="shared" si="7"/>
        <v>509985</v>
      </c>
      <c r="G42" s="34">
        <v>50</v>
      </c>
      <c r="H42" s="36">
        <v>10199.700000000001</v>
      </c>
      <c r="I42" s="31">
        <v>34</v>
      </c>
      <c r="J42" s="35">
        <f t="shared" si="9"/>
        <v>16</v>
      </c>
      <c r="K42" s="36">
        <f t="shared" si="8"/>
        <v>346789.80000000005</v>
      </c>
      <c r="L42" s="36">
        <f t="shared" si="10"/>
        <v>163195.19999999995</v>
      </c>
      <c r="M42" s="31"/>
    </row>
    <row r="43" spans="1:13" ht="18.75" x14ac:dyDescent="0.3">
      <c r="A43" s="18"/>
      <c r="B43" s="34">
        <v>38</v>
      </c>
      <c r="C43" s="31" t="s">
        <v>204</v>
      </c>
      <c r="D43" s="33">
        <v>450000</v>
      </c>
      <c r="E43" s="33">
        <v>59985</v>
      </c>
      <c r="F43" s="32">
        <f t="shared" si="7"/>
        <v>509985</v>
      </c>
      <c r="G43" s="34">
        <v>50</v>
      </c>
      <c r="H43" s="32">
        <v>10199.700000000001</v>
      </c>
      <c r="I43" s="31">
        <v>39</v>
      </c>
      <c r="J43" s="35">
        <f t="shared" si="9"/>
        <v>11</v>
      </c>
      <c r="K43" s="36">
        <f t="shared" si="8"/>
        <v>397788.30000000005</v>
      </c>
      <c r="L43" s="32">
        <f t="shared" si="10"/>
        <v>112196.69999999995</v>
      </c>
      <c r="M43" s="31"/>
    </row>
    <row r="44" spans="1:13" ht="18.75" x14ac:dyDescent="0.3">
      <c r="A44" s="18"/>
      <c r="B44" s="34">
        <v>39</v>
      </c>
      <c r="C44" s="50" t="s">
        <v>146</v>
      </c>
      <c r="D44" s="33">
        <v>450000</v>
      </c>
      <c r="E44" s="33">
        <v>59985</v>
      </c>
      <c r="F44" s="32">
        <f t="shared" si="7"/>
        <v>509985</v>
      </c>
      <c r="G44" s="34">
        <v>50</v>
      </c>
      <c r="H44" s="32">
        <v>10199.700000000001</v>
      </c>
      <c r="I44" s="50">
        <v>23</v>
      </c>
      <c r="J44" s="35">
        <f t="shared" si="9"/>
        <v>27</v>
      </c>
      <c r="K44" s="36">
        <f t="shared" ref="K44:K53" si="11">I44*H44</f>
        <v>234593.1</v>
      </c>
      <c r="L44" s="36">
        <f t="shared" si="10"/>
        <v>275391.90000000002</v>
      </c>
      <c r="M44" s="31"/>
    </row>
    <row r="45" spans="1:13" ht="18.75" x14ac:dyDescent="0.3">
      <c r="A45" s="18"/>
      <c r="B45" s="34">
        <v>40</v>
      </c>
      <c r="C45" s="50" t="s">
        <v>231</v>
      </c>
      <c r="D45" s="33">
        <v>450000</v>
      </c>
      <c r="E45" s="33">
        <v>59985</v>
      </c>
      <c r="F45" s="32">
        <f t="shared" si="7"/>
        <v>509985</v>
      </c>
      <c r="G45" s="34">
        <v>50</v>
      </c>
      <c r="H45" s="32">
        <v>10199.700000000001</v>
      </c>
      <c r="I45" s="50">
        <v>23</v>
      </c>
      <c r="J45" s="35">
        <f t="shared" si="9"/>
        <v>27</v>
      </c>
      <c r="K45" s="36">
        <f t="shared" si="11"/>
        <v>234593.1</v>
      </c>
      <c r="L45" s="36">
        <f t="shared" si="10"/>
        <v>275391.90000000002</v>
      </c>
      <c r="M45" s="31"/>
    </row>
    <row r="46" spans="1:13" ht="18.75" x14ac:dyDescent="0.3">
      <c r="A46" s="18"/>
      <c r="B46" s="34">
        <v>41</v>
      </c>
      <c r="C46" s="50" t="s">
        <v>17</v>
      </c>
      <c r="D46" s="33">
        <v>450000</v>
      </c>
      <c r="E46" s="33">
        <v>59985</v>
      </c>
      <c r="F46" s="32">
        <f t="shared" si="7"/>
        <v>509985</v>
      </c>
      <c r="G46" s="34">
        <v>50</v>
      </c>
      <c r="H46" s="32">
        <v>10199.700000000001</v>
      </c>
      <c r="I46" s="50">
        <v>18</v>
      </c>
      <c r="J46" s="35">
        <f t="shared" si="9"/>
        <v>32</v>
      </c>
      <c r="K46" s="36">
        <f t="shared" si="11"/>
        <v>183594.6</v>
      </c>
      <c r="L46" s="36">
        <f t="shared" si="10"/>
        <v>326390.40000000002</v>
      </c>
      <c r="M46" s="31"/>
    </row>
    <row r="47" spans="1:13" ht="18.75" x14ac:dyDescent="0.3">
      <c r="A47" s="18"/>
      <c r="B47" s="34">
        <v>42</v>
      </c>
      <c r="C47" s="50" t="s">
        <v>22</v>
      </c>
      <c r="D47" s="33">
        <v>450000</v>
      </c>
      <c r="E47" s="33">
        <v>59985</v>
      </c>
      <c r="F47" s="32">
        <f t="shared" si="7"/>
        <v>509985</v>
      </c>
      <c r="G47" s="34">
        <v>50</v>
      </c>
      <c r="H47" s="32">
        <v>10199.700000000001</v>
      </c>
      <c r="I47" s="50">
        <v>15</v>
      </c>
      <c r="J47" s="35">
        <f t="shared" si="9"/>
        <v>35</v>
      </c>
      <c r="K47" s="36">
        <f t="shared" si="11"/>
        <v>152995.5</v>
      </c>
      <c r="L47" s="36">
        <f t="shared" si="10"/>
        <v>356989.5</v>
      </c>
      <c r="M47" s="31"/>
    </row>
    <row r="48" spans="1:13" ht="18.75" x14ac:dyDescent="0.3">
      <c r="A48" s="18"/>
      <c r="B48" s="34">
        <v>43</v>
      </c>
      <c r="C48" s="29" t="s">
        <v>35</v>
      </c>
      <c r="D48" s="33">
        <v>450000</v>
      </c>
      <c r="E48" s="33">
        <v>59985</v>
      </c>
      <c r="F48" s="32">
        <f t="shared" si="7"/>
        <v>509985</v>
      </c>
      <c r="G48" s="34">
        <v>50</v>
      </c>
      <c r="H48" s="32">
        <v>10199.700000000001</v>
      </c>
      <c r="I48" s="50">
        <v>13</v>
      </c>
      <c r="J48" s="35">
        <f t="shared" si="9"/>
        <v>37</v>
      </c>
      <c r="K48" s="36">
        <f t="shared" si="11"/>
        <v>132596.1</v>
      </c>
      <c r="L48" s="36">
        <f t="shared" si="10"/>
        <v>377388.9</v>
      </c>
      <c r="M48" s="31"/>
    </row>
    <row r="49" spans="1:13" ht="18.75" x14ac:dyDescent="0.3">
      <c r="A49" s="18"/>
      <c r="B49" s="34">
        <v>44</v>
      </c>
      <c r="C49" s="29" t="s">
        <v>48</v>
      </c>
      <c r="D49" s="33">
        <v>450000</v>
      </c>
      <c r="E49" s="33">
        <v>59985</v>
      </c>
      <c r="F49" s="32">
        <f t="shared" si="7"/>
        <v>509985</v>
      </c>
      <c r="G49" s="34">
        <v>50</v>
      </c>
      <c r="H49" s="32">
        <v>10199.700000000001</v>
      </c>
      <c r="I49" s="50">
        <v>10</v>
      </c>
      <c r="J49" s="35">
        <f t="shared" si="9"/>
        <v>40</v>
      </c>
      <c r="K49" s="36">
        <f t="shared" si="11"/>
        <v>101997</v>
      </c>
      <c r="L49" s="36">
        <f t="shared" si="10"/>
        <v>407988</v>
      </c>
      <c r="M49" s="31"/>
    </row>
    <row r="50" spans="1:13" ht="18.75" x14ac:dyDescent="0.3">
      <c r="A50" s="18"/>
      <c r="B50" s="34">
        <v>45</v>
      </c>
      <c r="C50" s="29" t="s">
        <v>63</v>
      </c>
      <c r="D50" s="33">
        <v>450000</v>
      </c>
      <c r="E50" s="33">
        <v>59985</v>
      </c>
      <c r="F50" s="32">
        <f t="shared" si="7"/>
        <v>509985</v>
      </c>
      <c r="G50" s="34">
        <v>50</v>
      </c>
      <c r="H50" s="32">
        <v>10199.700000000001</v>
      </c>
      <c r="I50" s="50">
        <v>8</v>
      </c>
      <c r="J50" s="35">
        <f t="shared" si="9"/>
        <v>42</v>
      </c>
      <c r="K50" s="36">
        <f t="shared" si="11"/>
        <v>81597.600000000006</v>
      </c>
      <c r="L50" s="36">
        <f t="shared" si="10"/>
        <v>428387.4</v>
      </c>
      <c r="M50" s="31"/>
    </row>
    <row r="51" spans="1:13" ht="18.75" x14ac:dyDescent="0.3">
      <c r="A51" s="18"/>
      <c r="B51" s="34">
        <v>46</v>
      </c>
      <c r="C51" s="29" t="s">
        <v>65</v>
      </c>
      <c r="D51" s="33">
        <v>450000</v>
      </c>
      <c r="E51" s="33">
        <v>59985</v>
      </c>
      <c r="F51" s="32">
        <f t="shared" si="7"/>
        <v>509985</v>
      </c>
      <c r="G51" s="34">
        <v>50</v>
      </c>
      <c r="H51" s="32">
        <v>10199.700000000001</v>
      </c>
      <c r="I51" s="50">
        <v>8</v>
      </c>
      <c r="J51" s="35">
        <f t="shared" si="9"/>
        <v>42</v>
      </c>
      <c r="K51" s="36">
        <f t="shared" si="11"/>
        <v>81597.600000000006</v>
      </c>
      <c r="L51" s="36">
        <f t="shared" si="10"/>
        <v>428387.4</v>
      </c>
      <c r="M51" s="31"/>
    </row>
    <row r="52" spans="1:13" ht="18.75" x14ac:dyDescent="0.3">
      <c r="A52" s="18"/>
      <c r="B52" s="34">
        <v>47</v>
      </c>
      <c r="C52" s="29" t="s">
        <v>59</v>
      </c>
      <c r="D52" s="33">
        <v>450000</v>
      </c>
      <c r="E52" s="33">
        <v>59985</v>
      </c>
      <c r="F52" s="32">
        <f t="shared" si="7"/>
        <v>509985</v>
      </c>
      <c r="G52" s="34">
        <v>50</v>
      </c>
      <c r="H52" s="32">
        <v>10199.700000000001</v>
      </c>
      <c r="I52" s="50">
        <v>8</v>
      </c>
      <c r="J52" s="35">
        <f t="shared" si="9"/>
        <v>42</v>
      </c>
      <c r="K52" s="36">
        <f t="shared" si="11"/>
        <v>81597.600000000006</v>
      </c>
      <c r="L52" s="36">
        <f t="shared" si="10"/>
        <v>428387.4</v>
      </c>
      <c r="M52" s="31"/>
    </row>
    <row r="53" spans="1:13" ht="18.75" x14ac:dyDescent="0.3">
      <c r="A53" s="18"/>
      <c r="B53" s="34">
        <v>48</v>
      </c>
      <c r="C53" s="29" t="s">
        <v>206</v>
      </c>
      <c r="D53" s="33">
        <v>450000</v>
      </c>
      <c r="E53" s="33">
        <v>59985</v>
      </c>
      <c r="F53" s="32">
        <f t="shared" si="7"/>
        <v>509985</v>
      </c>
      <c r="G53" s="34">
        <v>50</v>
      </c>
      <c r="H53" s="32">
        <v>10199.700000000001</v>
      </c>
      <c r="I53" s="50">
        <v>5</v>
      </c>
      <c r="J53" s="35">
        <f t="shared" si="9"/>
        <v>45</v>
      </c>
      <c r="K53" s="36">
        <f t="shared" si="11"/>
        <v>50998.5</v>
      </c>
      <c r="L53" s="36">
        <f t="shared" si="10"/>
        <v>458986.5</v>
      </c>
      <c r="M53" s="31"/>
    </row>
    <row r="54" spans="1:13" ht="18.75" x14ac:dyDescent="0.3">
      <c r="A54" s="18"/>
      <c r="B54" s="34">
        <v>49</v>
      </c>
      <c r="C54" s="31" t="s">
        <v>189</v>
      </c>
      <c r="D54" s="32">
        <v>330000</v>
      </c>
      <c r="E54" s="33">
        <v>43989</v>
      </c>
      <c r="F54" s="32">
        <f t="shared" si="7"/>
        <v>373989</v>
      </c>
      <c r="G54" s="34">
        <v>50</v>
      </c>
      <c r="H54" s="32">
        <v>7479.78</v>
      </c>
      <c r="I54" s="31">
        <v>49</v>
      </c>
      <c r="J54" s="35">
        <f t="shared" si="9"/>
        <v>1</v>
      </c>
      <c r="K54" s="33">
        <f>H54*I54</f>
        <v>366509.22</v>
      </c>
      <c r="L54" s="32">
        <f t="shared" si="10"/>
        <v>7479.7800000000279</v>
      </c>
      <c r="M54" s="53"/>
    </row>
    <row r="55" spans="1:13" ht="18.75" x14ac:dyDescent="0.3">
      <c r="A55" s="18"/>
      <c r="B55" s="34">
        <v>50</v>
      </c>
      <c r="C55" s="31" t="s">
        <v>79</v>
      </c>
      <c r="D55" s="32">
        <v>330000</v>
      </c>
      <c r="E55" s="33">
        <v>43989</v>
      </c>
      <c r="F55" s="32">
        <f t="shared" si="7"/>
        <v>373989</v>
      </c>
      <c r="G55" s="34">
        <v>50</v>
      </c>
      <c r="H55" s="32">
        <v>7479.78</v>
      </c>
      <c r="I55" s="31">
        <v>30</v>
      </c>
      <c r="J55" s="35">
        <f t="shared" si="9"/>
        <v>20</v>
      </c>
      <c r="K55" s="32">
        <f>H55*I55</f>
        <v>224393.4</v>
      </c>
      <c r="L55" s="36">
        <f t="shared" si="10"/>
        <v>149595.6</v>
      </c>
      <c r="M55" s="31"/>
    </row>
    <row r="56" spans="1:13" ht="18.75" x14ac:dyDescent="0.3">
      <c r="A56" s="18"/>
      <c r="B56" s="34">
        <v>51</v>
      </c>
      <c r="C56" s="31" t="s">
        <v>95</v>
      </c>
      <c r="D56" s="32">
        <v>330000</v>
      </c>
      <c r="E56" s="33">
        <v>43989</v>
      </c>
      <c r="F56" s="32">
        <f t="shared" si="7"/>
        <v>373989</v>
      </c>
      <c r="G56" s="34">
        <v>50</v>
      </c>
      <c r="H56" s="32">
        <v>7479.78</v>
      </c>
      <c r="I56" s="31">
        <v>30</v>
      </c>
      <c r="J56" s="35">
        <f t="shared" si="9"/>
        <v>20</v>
      </c>
      <c r="K56" s="36">
        <f>H56*I56</f>
        <v>224393.4</v>
      </c>
      <c r="L56" s="32">
        <f t="shared" si="10"/>
        <v>149595.6</v>
      </c>
      <c r="M56" s="31"/>
    </row>
    <row r="57" spans="1:13" ht="18.75" x14ac:dyDescent="0.3">
      <c r="A57" s="18"/>
      <c r="B57" s="34">
        <v>52</v>
      </c>
      <c r="C57" s="31" t="s">
        <v>96</v>
      </c>
      <c r="D57" s="32">
        <v>330000</v>
      </c>
      <c r="E57" s="33">
        <v>43989</v>
      </c>
      <c r="F57" s="32">
        <f t="shared" si="7"/>
        <v>373989</v>
      </c>
      <c r="G57" s="34">
        <v>50</v>
      </c>
      <c r="H57" s="36">
        <v>7479.78</v>
      </c>
      <c r="I57" s="31">
        <v>34</v>
      </c>
      <c r="J57" s="35">
        <f t="shared" si="9"/>
        <v>16</v>
      </c>
      <c r="K57" s="36">
        <f>H57*I57</f>
        <v>254312.52</v>
      </c>
      <c r="L57" s="36">
        <f t="shared" si="10"/>
        <v>119676.48000000001</v>
      </c>
      <c r="M57" s="31"/>
    </row>
    <row r="58" spans="1:13" ht="18.75" x14ac:dyDescent="0.3">
      <c r="A58" s="18"/>
      <c r="B58" s="34">
        <v>53</v>
      </c>
      <c r="C58" s="50" t="s">
        <v>18</v>
      </c>
      <c r="D58" s="32">
        <v>330000</v>
      </c>
      <c r="E58" s="33">
        <v>43989</v>
      </c>
      <c r="F58" s="32">
        <f t="shared" si="7"/>
        <v>373989</v>
      </c>
      <c r="G58" s="34">
        <v>50</v>
      </c>
      <c r="H58" s="36">
        <v>7479.78</v>
      </c>
      <c r="I58" s="50">
        <v>18</v>
      </c>
      <c r="J58" s="35">
        <f t="shared" si="9"/>
        <v>32</v>
      </c>
      <c r="K58" s="36">
        <f>I58*H58</f>
        <v>134636.04</v>
      </c>
      <c r="L58" s="36">
        <f t="shared" si="10"/>
        <v>239352.95999999999</v>
      </c>
      <c r="M58" s="31"/>
    </row>
    <row r="59" spans="1:13" ht="18.75" x14ac:dyDescent="0.3">
      <c r="A59" s="18"/>
      <c r="B59" s="34">
        <v>54</v>
      </c>
      <c r="C59" s="31" t="s">
        <v>233</v>
      </c>
      <c r="D59" s="32">
        <v>330000</v>
      </c>
      <c r="E59" s="33">
        <v>43989</v>
      </c>
      <c r="F59" s="32">
        <f t="shared" si="7"/>
        <v>373989</v>
      </c>
      <c r="G59" s="34">
        <v>50</v>
      </c>
      <c r="H59" s="36">
        <v>7479.78</v>
      </c>
      <c r="I59" s="31">
        <v>34</v>
      </c>
      <c r="J59" s="35">
        <f t="shared" si="9"/>
        <v>16</v>
      </c>
      <c r="K59" s="36">
        <f>H59*I59</f>
        <v>254312.52</v>
      </c>
      <c r="L59" s="36">
        <f t="shared" si="10"/>
        <v>119676.48000000001</v>
      </c>
      <c r="M59" s="31"/>
    </row>
    <row r="60" spans="1:13" ht="18.75" x14ac:dyDescent="0.3">
      <c r="A60" s="18"/>
      <c r="B60" s="34">
        <v>55</v>
      </c>
      <c r="C60" s="31" t="s">
        <v>220</v>
      </c>
      <c r="D60" s="32">
        <v>330000</v>
      </c>
      <c r="E60" s="33">
        <v>43989</v>
      </c>
      <c r="F60" s="32">
        <f t="shared" si="7"/>
        <v>373989</v>
      </c>
      <c r="G60" s="34">
        <v>50</v>
      </c>
      <c r="H60" s="32">
        <v>7479.78</v>
      </c>
      <c r="I60" s="31">
        <v>34</v>
      </c>
      <c r="J60" s="35">
        <f t="shared" si="9"/>
        <v>16</v>
      </c>
      <c r="K60" s="36">
        <f>H60*I60</f>
        <v>254312.52</v>
      </c>
      <c r="L60" s="32">
        <f t="shared" si="10"/>
        <v>119676.48000000001</v>
      </c>
      <c r="M60" s="31"/>
    </row>
    <row r="61" spans="1:13" ht="18.75" x14ac:dyDescent="0.3">
      <c r="A61" s="18"/>
      <c r="B61" s="34">
        <v>56</v>
      </c>
      <c r="C61" s="31" t="s">
        <v>140</v>
      </c>
      <c r="D61" s="32">
        <v>330000</v>
      </c>
      <c r="E61" s="33">
        <v>43989</v>
      </c>
      <c r="F61" s="32">
        <f t="shared" si="7"/>
        <v>373989</v>
      </c>
      <c r="G61" s="34">
        <v>50</v>
      </c>
      <c r="H61" s="36">
        <v>7479.78</v>
      </c>
      <c r="I61" s="31">
        <v>34</v>
      </c>
      <c r="J61" s="35">
        <f t="shared" si="9"/>
        <v>16</v>
      </c>
      <c r="K61" s="36">
        <f>H61*I61</f>
        <v>254312.52</v>
      </c>
      <c r="L61" s="36">
        <f t="shared" si="10"/>
        <v>119676.48000000001</v>
      </c>
      <c r="M61" s="31"/>
    </row>
    <row r="62" spans="1:13" ht="18.75" x14ac:dyDescent="0.3">
      <c r="A62" s="18"/>
      <c r="B62" s="34">
        <v>57</v>
      </c>
      <c r="C62" s="31" t="s">
        <v>175</v>
      </c>
      <c r="D62" s="32">
        <v>330000</v>
      </c>
      <c r="E62" s="33">
        <v>43989</v>
      </c>
      <c r="F62" s="32">
        <f t="shared" si="7"/>
        <v>373989</v>
      </c>
      <c r="G62" s="34">
        <v>50</v>
      </c>
      <c r="H62" s="36">
        <v>7479.78</v>
      </c>
      <c r="I62" s="31">
        <v>29</v>
      </c>
      <c r="J62" s="35">
        <f t="shared" si="9"/>
        <v>21</v>
      </c>
      <c r="K62" s="36">
        <f>H62*I62</f>
        <v>216913.62</v>
      </c>
      <c r="L62" s="36">
        <f t="shared" si="10"/>
        <v>157075.38</v>
      </c>
      <c r="M62" s="31"/>
    </row>
    <row r="63" spans="1:13" ht="18.75" x14ac:dyDescent="0.3">
      <c r="A63" s="18"/>
      <c r="B63" s="34">
        <v>58</v>
      </c>
      <c r="C63" s="50" t="s">
        <v>149</v>
      </c>
      <c r="D63" s="33">
        <v>330000</v>
      </c>
      <c r="E63" s="33">
        <v>43989</v>
      </c>
      <c r="F63" s="32">
        <v>373989</v>
      </c>
      <c r="G63" s="34">
        <v>50</v>
      </c>
      <c r="H63" s="32">
        <v>7478.78</v>
      </c>
      <c r="I63" s="50">
        <v>23</v>
      </c>
      <c r="J63" s="35">
        <f t="shared" si="9"/>
        <v>27</v>
      </c>
      <c r="K63" s="36">
        <f t="shared" ref="K63:K87" si="12">I63*H63</f>
        <v>172011.94</v>
      </c>
      <c r="L63" s="36">
        <f t="shared" si="10"/>
        <v>201977.06</v>
      </c>
      <c r="M63" s="31"/>
    </row>
    <row r="64" spans="1:13" ht="18.75" x14ac:dyDescent="0.3">
      <c r="A64" s="18"/>
      <c r="B64" s="34">
        <v>59</v>
      </c>
      <c r="C64" s="50" t="s">
        <v>150</v>
      </c>
      <c r="D64" s="33">
        <v>330000</v>
      </c>
      <c r="E64" s="33">
        <v>43989</v>
      </c>
      <c r="F64" s="32">
        <f t="shared" ref="F64:F84" si="13">D64+E64</f>
        <v>373989</v>
      </c>
      <c r="G64" s="34">
        <v>50</v>
      </c>
      <c r="H64" s="32">
        <v>7479.78</v>
      </c>
      <c r="I64" s="50">
        <v>23</v>
      </c>
      <c r="J64" s="35">
        <f t="shared" si="9"/>
        <v>27</v>
      </c>
      <c r="K64" s="36">
        <f t="shared" si="12"/>
        <v>172034.94</v>
      </c>
      <c r="L64" s="36">
        <f t="shared" si="10"/>
        <v>201954.06</v>
      </c>
      <c r="M64" s="31"/>
    </row>
    <row r="65" spans="1:13" ht="18.75" x14ac:dyDescent="0.3">
      <c r="A65" s="18"/>
      <c r="B65" s="34">
        <v>60</v>
      </c>
      <c r="C65" s="50" t="s">
        <v>209</v>
      </c>
      <c r="D65" s="33">
        <v>330000</v>
      </c>
      <c r="E65" s="33">
        <v>43989</v>
      </c>
      <c r="F65" s="32">
        <f t="shared" si="13"/>
        <v>373989</v>
      </c>
      <c r="G65" s="34">
        <v>50</v>
      </c>
      <c r="H65" s="32">
        <v>7479.78</v>
      </c>
      <c r="I65" s="50">
        <v>20</v>
      </c>
      <c r="J65" s="35">
        <f t="shared" si="9"/>
        <v>30</v>
      </c>
      <c r="K65" s="36">
        <f t="shared" si="12"/>
        <v>149595.6</v>
      </c>
      <c r="L65" s="36">
        <f t="shared" si="10"/>
        <v>224393.4</v>
      </c>
      <c r="M65" s="31"/>
    </row>
    <row r="66" spans="1:13" ht="18.75" x14ac:dyDescent="0.3">
      <c r="A66" s="18"/>
      <c r="B66" s="34">
        <v>61</v>
      </c>
      <c r="C66" s="50" t="s">
        <v>210</v>
      </c>
      <c r="D66" s="33">
        <v>330000</v>
      </c>
      <c r="E66" s="33">
        <v>43989</v>
      </c>
      <c r="F66" s="32">
        <f t="shared" si="13"/>
        <v>373989</v>
      </c>
      <c r="G66" s="34">
        <v>50</v>
      </c>
      <c r="H66" s="32">
        <v>7479.78</v>
      </c>
      <c r="I66" s="50">
        <v>20</v>
      </c>
      <c r="J66" s="35">
        <f t="shared" si="9"/>
        <v>30</v>
      </c>
      <c r="K66" s="36">
        <f t="shared" si="12"/>
        <v>149595.6</v>
      </c>
      <c r="L66" s="36">
        <f t="shared" si="10"/>
        <v>224393.4</v>
      </c>
      <c r="M66" s="31"/>
    </row>
    <row r="67" spans="1:13" ht="18.75" x14ac:dyDescent="0.3">
      <c r="A67" s="18"/>
      <c r="B67" s="34">
        <v>62</v>
      </c>
      <c r="C67" s="50" t="s">
        <v>211</v>
      </c>
      <c r="D67" s="33">
        <v>330000</v>
      </c>
      <c r="E67" s="33">
        <v>43989</v>
      </c>
      <c r="F67" s="32">
        <f t="shared" si="13"/>
        <v>373989</v>
      </c>
      <c r="G67" s="34">
        <v>50</v>
      </c>
      <c r="H67" s="32">
        <v>7479.78</v>
      </c>
      <c r="I67" s="50">
        <v>20</v>
      </c>
      <c r="J67" s="35">
        <f t="shared" si="9"/>
        <v>30</v>
      </c>
      <c r="K67" s="36">
        <f t="shared" si="12"/>
        <v>149595.6</v>
      </c>
      <c r="L67" s="36">
        <f t="shared" si="10"/>
        <v>224393.4</v>
      </c>
      <c r="M67" s="31"/>
    </row>
    <row r="68" spans="1:13" ht="18.75" x14ac:dyDescent="0.3">
      <c r="A68" s="18"/>
      <c r="B68" s="34">
        <v>63</v>
      </c>
      <c r="C68" s="50" t="s">
        <v>212</v>
      </c>
      <c r="D68" s="33">
        <v>330000</v>
      </c>
      <c r="E68" s="33">
        <v>43989</v>
      </c>
      <c r="F68" s="32">
        <f t="shared" si="13"/>
        <v>373989</v>
      </c>
      <c r="G68" s="34">
        <v>50</v>
      </c>
      <c r="H68" s="32">
        <v>7479.78</v>
      </c>
      <c r="I68" s="50">
        <v>19</v>
      </c>
      <c r="J68" s="35">
        <f t="shared" si="9"/>
        <v>31</v>
      </c>
      <c r="K68" s="36">
        <f t="shared" si="12"/>
        <v>142115.82</v>
      </c>
      <c r="L68" s="36">
        <f t="shared" si="10"/>
        <v>231873.18</v>
      </c>
      <c r="M68" s="31"/>
    </row>
    <row r="69" spans="1:13" ht="18.75" x14ac:dyDescent="0.3">
      <c r="A69" s="18"/>
      <c r="B69" s="34">
        <v>64</v>
      </c>
      <c r="C69" s="50" t="s">
        <v>13</v>
      </c>
      <c r="D69" s="33">
        <v>330000</v>
      </c>
      <c r="E69" s="33">
        <v>43989</v>
      </c>
      <c r="F69" s="32">
        <f t="shared" si="13"/>
        <v>373989</v>
      </c>
      <c r="G69" s="34">
        <v>50</v>
      </c>
      <c r="H69" s="32">
        <v>7479.78</v>
      </c>
      <c r="I69" s="50">
        <v>20</v>
      </c>
      <c r="J69" s="35">
        <f t="shared" si="9"/>
        <v>30</v>
      </c>
      <c r="K69" s="36">
        <f t="shared" si="12"/>
        <v>149595.6</v>
      </c>
      <c r="L69" s="36">
        <f t="shared" si="10"/>
        <v>224393.4</v>
      </c>
      <c r="M69" s="31"/>
    </row>
    <row r="70" spans="1:13" ht="18.75" x14ac:dyDescent="0.3">
      <c r="A70" s="18"/>
      <c r="B70" s="34">
        <v>65</v>
      </c>
      <c r="C70" s="50" t="s">
        <v>19</v>
      </c>
      <c r="D70" s="32">
        <v>330000</v>
      </c>
      <c r="E70" s="33">
        <v>43989</v>
      </c>
      <c r="F70" s="32">
        <f t="shared" si="13"/>
        <v>373989</v>
      </c>
      <c r="G70" s="34">
        <v>50</v>
      </c>
      <c r="H70" s="36">
        <v>7479.78</v>
      </c>
      <c r="I70" s="50">
        <v>18</v>
      </c>
      <c r="J70" s="35">
        <f t="shared" ref="J70:J101" si="14">G70-I70</f>
        <v>32</v>
      </c>
      <c r="K70" s="36">
        <f t="shared" si="12"/>
        <v>134636.04</v>
      </c>
      <c r="L70" s="36">
        <f t="shared" ref="L70:L101" si="15">F70-K70</f>
        <v>239352.95999999999</v>
      </c>
      <c r="M70" s="31"/>
    </row>
    <row r="71" spans="1:13" ht="18.75" x14ac:dyDescent="0.3">
      <c r="A71" s="18"/>
      <c r="B71" s="34">
        <v>66</v>
      </c>
      <c r="C71" s="50" t="s">
        <v>215</v>
      </c>
      <c r="D71" s="32">
        <v>330000</v>
      </c>
      <c r="E71" s="33">
        <v>43989</v>
      </c>
      <c r="F71" s="32">
        <f t="shared" si="13"/>
        <v>373989</v>
      </c>
      <c r="G71" s="34">
        <v>50</v>
      </c>
      <c r="H71" s="36">
        <v>7479.78</v>
      </c>
      <c r="I71" s="50">
        <v>15</v>
      </c>
      <c r="J71" s="35">
        <f t="shared" si="14"/>
        <v>35</v>
      </c>
      <c r="K71" s="36">
        <f t="shared" si="12"/>
        <v>112196.7</v>
      </c>
      <c r="L71" s="36">
        <f t="shared" si="15"/>
        <v>261792.3</v>
      </c>
      <c r="M71" s="31"/>
    </row>
    <row r="72" spans="1:13" ht="18.75" x14ac:dyDescent="0.3">
      <c r="A72" s="18"/>
      <c r="B72" s="34">
        <v>67</v>
      </c>
      <c r="C72" s="50" t="s">
        <v>25</v>
      </c>
      <c r="D72" s="32">
        <v>330000</v>
      </c>
      <c r="E72" s="33">
        <v>43989</v>
      </c>
      <c r="F72" s="32">
        <f t="shared" si="13"/>
        <v>373989</v>
      </c>
      <c r="G72" s="34">
        <v>50</v>
      </c>
      <c r="H72" s="36">
        <v>7479.78</v>
      </c>
      <c r="I72" s="50">
        <v>13</v>
      </c>
      <c r="J72" s="35">
        <f t="shared" si="14"/>
        <v>37</v>
      </c>
      <c r="K72" s="36">
        <f t="shared" si="12"/>
        <v>97237.14</v>
      </c>
      <c r="L72" s="36">
        <f t="shared" si="15"/>
        <v>276751.86</v>
      </c>
      <c r="M72" s="31"/>
    </row>
    <row r="73" spans="1:13" ht="18.75" x14ac:dyDescent="0.3">
      <c r="A73" s="18"/>
      <c r="B73" s="34">
        <v>68</v>
      </c>
      <c r="C73" s="50" t="s">
        <v>26</v>
      </c>
      <c r="D73" s="32">
        <v>330000</v>
      </c>
      <c r="E73" s="33">
        <v>43989</v>
      </c>
      <c r="F73" s="32">
        <f t="shared" si="13"/>
        <v>373989</v>
      </c>
      <c r="G73" s="34">
        <v>50</v>
      </c>
      <c r="H73" s="36">
        <v>7479.78</v>
      </c>
      <c r="I73" s="50">
        <v>13</v>
      </c>
      <c r="J73" s="35">
        <f t="shared" si="14"/>
        <v>37</v>
      </c>
      <c r="K73" s="36">
        <f t="shared" si="12"/>
        <v>97237.14</v>
      </c>
      <c r="L73" s="36">
        <f t="shared" si="15"/>
        <v>276751.86</v>
      </c>
      <c r="M73" s="31"/>
    </row>
    <row r="74" spans="1:13" ht="18.75" x14ac:dyDescent="0.3">
      <c r="A74" s="18"/>
      <c r="B74" s="34">
        <v>69</v>
      </c>
      <c r="C74" s="50" t="s">
        <v>30</v>
      </c>
      <c r="D74" s="32">
        <v>330000</v>
      </c>
      <c r="E74" s="33">
        <v>43989</v>
      </c>
      <c r="F74" s="32">
        <f t="shared" si="13"/>
        <v>373989</v>
      </c>
      <c r="G74" s="34">
        <v>50</v>
      </c>
      <c r="H74" s="36">
        <v>7479.78</v>
      </c>
      <c r="I74" s="50">
        <v>12</v>
      </c>
      <c r="J74" s="35">
        <f t="shared" si="14"/>
        <v>38</v>
      </c>
      <c r="K74" s="36">
        <f t="shared" si="12"/>
        <v>89757.36</v>
      </c>
      <c r="L74" s="36">
        <f t="shared" si="15"/>
        <v>284231.64</v>
      </c>
      <c r="M74" s="31"/>
    </row>
    <row r="75" spans="1:13" ht="18.75" x14ac:dyDescent="0.3">
      <c r="A75" s="18"/>
      <c r="B75" s="34">
        <v>70</v>
      </c>
      <c r="C75" s="29" t="s">
        <v>36</v>
      </c>
      <c r="D75" s="32">
        <v>330000</v>
      </c>
      <c r="E75" s="33">
        <v>43989</v>
      </c>
      <c r="F75" s="32">
        <f t="shared" si="13"/>
        <v>373989</v>
      </c>
      <c r="G75" s="34">
        <v>50</v>
      </c>
      <c r="H75" s="36">
        <v>7479.78</v>
      </c>
      <c r="I75" s="50">
        <v>12</v>
      </c>
      <c r="J75" s="35">
        <f t="shared" si="14"/>
        <v>38</v>
      </c>
      <c r="K75" s="36">
        <f t="shared" si="12"/>
        <v>89757.36</v>
      </c>
      <c r="L75" s="36">
        <f t="shared" si="15"/>
        <v>284231.64</v>
      </c>
      <c r="M75" s="31"/>
    </row>
    <row r="76" spans="1:13" ht="18.75" x14ac:dyDescent="0.3">
      <c r="A76" s="18"/>
      <c r="B76" s="34">
        <v>71</v>
      </c>
      <c r="C76" s="29" t="s">
        <v>37</v>
      </c>
      <c r="D76" s="32">
        <v>330000</v>
      </c>
      <c r="E76" s="33">
        <v>43989</v>
      </c>
      <c r="F76" s="32">
        <f t="shared" si="13"/>
        <v>373989</v>
      </c>
      <c r="G76" s="34">
        <v>50</v>
      </c>
      <c r="H76" s="36">
        <v>7479.78</v>
      </c>
      <c r="I76" s="50">
        <v>13</v>
      </c>
      <c r="J76" s="35">
        <f t="shared" si="14"/>
        <v>37</v>
      </c>
      <c r="K76" s="36">
        <f t="shared" si="12"/>
        <v>97237.14</v>
      </c>
      <c r="L76" s="36">
        <f t="shared" si="15"/>
        <v>276751.86</v>
      </c>
      <c r="M76" s="31"/>
    </row>
    <row r="77" spans="1:13" ht="18.75" x14ac:dyDescent="0.3">
      <c r="A77" s="18"/>
      <c r="B77" s="34">
        <v>72</v>
      </c>
      <c r="C77" s="29" t="s">
        <v>40</v>
      </c>
      <c r="D77" s="32">
        <v>330000</v>
      </c>
      <c r="E77" s="33">
        <v>43989</v>
      </c>
      <c r="F77" s="32">
        <f t="shared" si="13"/>
        <v>373989</v>
      </c>
      <c r="G77" s="34">
        <v>50</v>
      </c>
      <c r="H77" s="36">
        <v>7479.78</v>
      </c>
      <c r="I77" s="50">
        <v>35</v>
      </c>
      <c r="J77" s="35">
        <f t="shared" si="14"/>
        <v>15</v>
      </c>
      <c r="K77" s="36">
        <f t="shared" si="12"/>
        <v>261792.3</v>
      </c>
      <c r="L77" s="36">
        <f t="shared" si="15"/>
        <v>112196.70000000001</v>
      </c>
      <c r="M77" s="31"/>
    </row>
    <row r="78" spans="1:13" ht="18.75" x14ac:dyDescent="0.3">
      <c r="A78" s="18"/>
      <c r="B78" s="34">
        <v>73</v>
      </c>
      <c r="C78" s="29" t="s">
        <v>173</v>
      </c>
      <c r="D78" s="32">
        <v>330000</v>
      </c>
      <c r="E78" s="33">
        <v>43989</v>
      </c>
      <c r="F78" s="32">
        <f t="shared" si="13"/>
        <v>373989</v>
      </c>
      <c r="G78" s="34">
        <v>50</v>
      </c>
      <c r="H78" s="32">
        <v>7479.78</v>
      </c>
      <c r="I78" s="50">
        <v>24</v>
      </c>
      <c r="J78" s="35">
        <f t="shared" si="14"/>
        <v>26</v>
      </c>
      <c r="K78" s="36">
        <f t="shared" si="12"/>
        <v>179514.72</v>
      </c>
      <c r="L78" s="36">
        <f t="shared" si="15"/>
        <v>194474.28</v>
      </c>
      <c r="M78" s="31"/>
    </row>
    <row r="79" spans="1:13" ht="18.75" x14ac:dyDescent="0.3">
      <c r="A79" s="18"/>
      <c r="B79" s="34">
        <v>74</v>
      </c>
      <c r="C79" s="29" t="s">
        <v>49</v>
      </c>
      <c r="D79" s="32">
        <v>330000</v>
      </c>
      <c r="E79" s="33">
        <v>43989</v>
      </c>
      <c r="F79" s="32">
        <f t="shared" si="13"/>
        <v>373989</v>
      </c>
      <c r="G79" s="34">
        <v>50</v>
      </c>
      <c r="H79" s="32">
        <v>7479.78</v>
      </c>
      <c r="I79" s="50">
        <v>10</v>
      </c>
      <c r="J79" s="35">
        <f t="shared" si="14"/>
        <v>40</v>
      </c>
      <c r="K79" s="36">
        <f t="shared" si="12"/>
        <v>74797.8</v>
      </c>
      <c r="L79" s="36">
        <f t="shared" si="15"/>
        <v>299191.2</v>
      </c>
      <c r="M79" s="31"/>
    </row>
    <row r="80" spans="1:13" ht="18.75" x14ac:dyDescent="0.3">
      <c r="A80" s="18"/>
      <c r="B80" s="34">
        <v>75</v>
      </c>
      <c r="C80" s="29" t="s">
        <v>50</v>
      </c>
      <c r="D80" s="32">
        <v>330000</v>
      </c>
      <c r="E80" s="33">
        <v>43989</v>
      </c>
      <c r="F80" s="32">
        <f t="shared" si="13"/>
        <v>373989</v>
      </c>
      <c r="G80" s="34">
        <v>50</v>
      </c>
      <c r="H80" s="32">
        <v>7479.78</v>
      </c>
      <c r="I80" s="50">
        <v>10</v>
      </c>
      <c r="J80" s="35">
        <f t="shared" si="14"/>
        <v>40</v>
      </c>
      <c r="K80" s="36">
        <f t="shared" si="12"/>
        <v>74797.8</v>
      </c>
      <c r="L80" s="36">
        <f t="shared" si="15"/>
        <v>299191.2</v>
      </c>
      <c r="M80" s="31"/>
    </row>
    <row r="81" spans="1:13" ht="18.75" x14ac:dyDescent="0.3">
      <c r="A81" s="18"/>
      <c r="B81" s="34">
        <v>76</v>
      </c>
      <c r="C81" s="29" t="s">
        <v>70</v>
      </c>
      <c r="D81" s="32">
        <v>330000</v>
      </c>
      <c r="E81" s="33">
        <v>43989</v>
      </c>
      <c r="F81" s="32">
        <f t="shared" si="13"/>
        <v>373989</v>
      </c>
      <c r="G81" s="34">
        <v>50</v>
      </c>
      <c r="H81" s="32">
        <v>7479.78</v>
      </c>
      <c r="I81" s="50">
        <v>8</v>
      </c>
      <c r="J81" s="35">
        <f t="shared" si="14"/>
        <v>42</v>
      </c>
      <c r="K81" s="36">
        <f t="shared" si="12"/>
        <v>59838.239999999998</v>
      </c>
      <c r="L81" s="36">
        <f t="shared" si="15"/>
        <v>314150.76</v>
      </c>
      <c r="M81" s="31"/>
    </row>
    <row r="82" spans="1:13" ht="18.75" x14ac:dyDescent="0.3">
      <c r="A82" s="18"/>
      <c r="B82" s="34">
        <v>77</v>
      </c>
      <c r="C82" s="29" t="s">
        <v>69</v>
      </c>
      <c r="D82" s="32">
        <v>330000</v>
      </c>
      <c r="E82" s="33">
        <v>43989</v>
      </c>
      <c r="F82" s="32">
        <f t="shared" si="13"/>
        <v>373989</v>
      </c>
      <c r="G82" s="34">
        <v>50</v>
      </c>
      <c r="H82" s="32">
        <v>7479.78</v>
      </c>
      <c r="I82" s="50">
        <v>8</v>
      </c>
      <c r="J82" s="35">
        <f t="shared" si="14"/>
        <v>42</v>
      </c>
      <c r="K82" s="36">
        <f t="shared" si="12"/>
        <v>59838.239999999998</v>
      </c>
      <c r="L82" s="36">
        <f t="shared" si="15"/>
        <v>314150.76</v>
      </c>
      <c r="M82" s="31"/>
    </row>
    <row r="83" spans="1:13" ht="18.75" x14ac:dyDescent="0.3">
      <c r="A83" s="18"/>
      <c r="B83" s="34">
        <v>78</v>
      </c>
      <c r="C83" s="29" t="s">
        <v>62</v>
      </c>
      <c r="D83" s="32">
        <v>330000</v>
      </c>
      <c r="E83" s="33">
        <v>43989</v>
      </c>
      <c r="F83" s="32">
        <f t="shared" si="13"/>
        <v>373989</v>
      </c>
      <c r="G83" s="34">
        <v>50</v>
      </c>
      <c r="H83" s="32">
        <v>7479.78</v>
      </c>
      <c r="I83" s="50">
        <v>8</v>
      </c>
      <c r="J83" s="35">
        <f t="shared" si="14"/>
        <v>42</v>
      </c>
      <c r="K83" s="36">
        <f t="shared" si="12"/>
        <v>59838.239999999998</v>
      </c>
      <c r="L83" s="36">
        <f t="shared" si="15"/>
        <v>314150.76</v>
      </c>
      <c r="M83" s="31"/>
    </row>
    <row r="84" spans="1:13" ht="18.75" x14ac:dyDescent="0.3">
      <c r="A84" s="18"/>
      <c r="B84" s="34">
        <v>79</v>
      </c>
      <c r="C84" s="29" t="s">
        <v>64</v>
      </c>
      <c r="D84" s="32">
        <v>330000</v>
      </c>
      <c r="E84" s="33">
        <v>43989</v>
      </c>
      <c r="F84" s="32">
        <f t="shared" si="13"/>
        <v>373989</v>
      </c>
      <c r="G84" s="34">
        <v>50</v>
      </c>
      <c r="H84" s="32">
        <v>7479.78</v>
      </c>
      <c r="I84" s="50">
        <v>8</v>
      </c>
      <c r="J84" s="35">
        <f t="shared" si="14"/>
        <v>42</v>
      </c>
      <c r="K84" s="36">
        <f t="shared" si="12"/>
        <v>59838.239999999998</v>
      </c>
      <c r="L84" s="36">
        <f t="shared" si="15"/>
        <v>314150.76</v>
      </c>
      <c r="M84" s="31"/>
    </row>
    <row r="85" spans="1:13" ht="18.75" x14ac:dyDescent="0.3">
      <c r="A85" s="18"/>
      <c r="B85" s="34">
        <v>80</v>
      </c>
      <c r="C85" s="29" t="s">
        <v>257</v>
      </c>
      <c r="D85" s="32">
        <v>330000</v>
      </c>
      <c r="E85" s="33">
        <v>43989</v>
      </c>
      <c r="F85" s="32">
        <f t="shared" ref="F85:F86" si="16">D85+E85</f>
        <v>373989</v>
      </c>
      <c r="G85" s="34">
        <v>50</v>
      </c>
      <c r="H85" s="32">
        <v>7479.78</v>
      </c>
      <c r="I85" s="50">
        <v>5</v>
      </c>
      <c r="J85" s="35">
        <f t="shared" si="14"/>
        <v>45</v>
      </c>
      <c r="K85" s="36">
        <f t="shared" si="12"/>
        <v>37398.9</v>
      </c>
      <c r="L85" s="36">
        <f t="shared" si="15"/>
        <v>336590.1</v>
      </c>
      <c r="M85" s="31"/>
    </row>
    <row r="86" spans="1:13" ht="18.75" x14ac:dyDescent="0.3">
      <c r="A86" s="18"/>
      <c r="B86" s="34">
        <v>81</v>
      </c>
      <c r="C86" s="29" t="s">
        <v>256</v>
      </c>
      <c r="D86" s="32">
        <v>330000</v>
      </c>
      <c r="E86" s="33">
        <v>43989</v>
      </c>
      <c r="F86" s="32">
        <f t="shared" si="16"/>
        <v>373989</v>
      </c>
      <c r="G86" s="34">
        <v>50</v>
      </c>
      <c r="H86" s="32">
        <v>7479.78</v>
      </c>
      <c r="I86" s="50">
        <v>5</v>
      </c>
      <c r="J86" s="35">
        <f t="shared" si="14"/>
        <v>45</v>
      </c>
      <c r="K86" s="36">
        <f t="shared" si="12"/>
        <v>37398.9</v>
      </c>
      <c r="L86" s="36">
        <f t="shared" si="15"/>
        <v>336590.1</v>
      </c>
      <c r="M86" s="31"/>
    </row>
    <row r="87" spans="1:13" ht="18.75" x14ac:dyDescent="0.3">
      <c r="A87" s="18"/>
      <c r="B87" s="34">
        <v>82</v>
      </c>
      <c r="C87" s="66" t="s">
        <v>260</v>
      </c>
      <c r="D87" s="33">
        <v>150000</v>
      </c>
      <c r="E87" s="33">
        <v>19995</v>
      </c>
      <c r="F87" s="32">
        <f t="shared" ref="F87:F118" si="17">D87+E87</f>
        <v>169995</v>
      </c>
      <c r="G87" s="34">
        <v>37</v>
      </c>
      <c r="H87" s="32">
        <v>4566.57</v>
      </c>
      <c r="I87" s="50">
        <v>4</v>
      </c>
      <c r="J87" s="35">
        <f t="shared" si="14"/>
        <v>33</v>
      </c>
      <c r="K87" s="36">
        <f t="shared" si="12"/>
        <v>18266.28</v>
      </c>
      <c r="L87" s="36">
        <f t="shared" si="15"/>
        <v>151728.72</v>
      </c>
      <c r="M87" s="31"/>
    </row>
    <row r="88" spans="1:13" ht="18.75" x14ac:dyDescent="0.3">
      <c r="A88" s="18"/>
      <c r="B88" s="34">
        <v>83</v>
      </c>
      <c r="C88" s="31" t="s">
        <v>73</v>
      </c>
      <c r="D88" s="33">
        <v>150000</v>
      </c>
      <c r="E88" s="33">
        <v>19995</v>
      </c>
      <c r="F88" s="32">
        <f t="shared" si="17"/>
        <v>169995</v>
      </c>
      <c r="G88" s="34">
        <v>50</v>
      </c>
      <c r="H88" s="32">
        <v>3399.9</v>
      </c>
      <c r="I88" s="52">
        <v>34</v>
      </c>
      <c r="J88" s="35">
        <f t="shared" si="14"/>
        <v>16</v>
      </c>
      <c r="K88" s="32">
        <f t="shared" ref="K88:K112" si="18">H88*I88</f>
        <v>115596.6</v>
      </c>
      <c r="L88" s="33">
        <f t="shared" si="15"/>
        <v>54398.399999999994</v>
      </c>
      <c r="M88" s="31"/>
    </row>
    <row r="89" spans="1:13" ht="18.75" x14ac:dyDescent="0.3">
      <c r="A89" s="18"/>
      <c r="B89" s="34">
        <v>84</v>
      </c>
      <c r="C89" s="31" t="s">
        <v>76</v>
      </c>
      <c r="D89" s="33">
        <v>150000</v>
      </c>
      <c r="E89" s="33">
        <v>19995</v>
      </c>
      <c r="F89" s="32">
        <f t="shared" si="17"/>
        <v>169995</v>
      </c>
      <c r="G89" s="34">
        <v>50</v>
      </c>
      <c r="H89" s="32">
        <v>3399.9</v>
      </c>
      <c r="I89" s="52">
        <v>34</v>
      </c>
      <c r="J89" s="35">
        <f t="shared" si="14"/>
        <v>16</v>
      </c>
      <c r="K89" s="32">
        <f t="shared" si="18"/>
        <v>115596.6</v>
      </c>
      <c r="L89" s="32">
        <f t="shared" si="15"/>
        <v>54398.399999999994</v>
      </c>
      <c r="M89" s="31"/>
    </row>
    <row r="90" spans="1:13" ht="18.75" x14ac:dyDescent="0.3">
      <c r="A90" s="18"/>
      <c r="B90" s="34">
        <v>85</v>
      </c>
      <c r="C90" s="31" t="s">
        <v>190</v>
      </c>
      <c r="D90" s="33">
        <v>150000</v>
      </c>
      <c r="E90" s="33">
        <v>19995</v>
      </c>
      <c r="F90" s="32">
        <f t="shared" si="17"/>
        <v>169995</v>
      </c>
      <c r="G90" s="34">
        <v>50</v>
      </c>
      <c r="H90" s="32">
        <v>3399.9</v>
      </c>
      <c r="I90" s="52">
        <v>49</v>
      </c>
      <c r="J90" s="35">
        <f t="shared" si="14"/>
        <v>1</v>
      </c>
      <c r="K90" s="32">
        <f t="shared" si="18"/>
        <v>166595.1</v>
      </c>
      <c r="L90" s="33">
        <f t="shared" si="15"/>
        <v>3399.8999999999942</v>
      </c>
      <c r="M90" s="31"/>
    </row>
    <row r="91" spans="1:13" ht="18.75" x14ac:dyDescent="0.3">
      <c r="A91" s="18"/>
      <c r="B91" s="34">
        <v>86</v>
      </c>
      <c r="C91" s="31" t="s">
        <v>81</v>
      </c>
      <c r="D91" s="33">
        <v>150000</v>
      </c>
      <c r="E91" s="33">
        <v>19995</v>
      </c>
      <c r="F91" s="32">
        <f t="shared" si="17"/>
        <v>169995</v>
      </c>
      <c r="G91" s="34">
        <v>50</v>
      </c>
      <c r="H91" s="32">
        <v>3399.9</v>
      </c>
      <c r="I91" s="31">
        <v>34</v>
      </c>
      <c r="J91" s="35">
        <f t="shared" si="14"/>
        <v>16</v>
      </c>
      <c r="K91" s="36">
        <f t="shared" si="18"/>
        <v>115596.6</v>
      </c>
      <c r="L91" s="32">
        <f t="shared" si="15"/>
        <v>54398.399999999994</v>
      </c>
      <c r="M91" s="31"/>
    </row>
    <row r="92" spans="1:13" ht="18.75" x14ac:dyDescent="0.3">
      <c r="A92" s="18"/>
      <c r="B92" s="34">
        <v>87</v>
      </c>
      <c r="C92" s="31" t="s">
        <v>84</v>
      </c>
      <c r="D92" s="33">
        <v>150000</v>
      </c>
      <c r="E92" s="33">
        <v>19995</v>
      </c>
      <c r="F92" s="32">
        <f t="shared" si="17"/>
        <v>169995</v>
      </c>
      <c r="G92" s="34">
        <v>50</v>
      </c>
      <c r="H92" s="32">
        <v>3399.9</v>
      </c>
      <c r="I92" s="31">
        <v>34</v>
      </c>
      <c r="J92" s="35">
        <f t="shared" si="14"/>
        <v>16</v>
      </c>
      <c r="K92" s="36">
        <f t="shared" si="18"/>
        <v>115596.6</v>
      </c>
      <c r="L92" s="32">
        <f t="shared" si="15"/>
        <v>54398.399999999994</v>
      </c>
      <c r="M92" s="31"/>
    </row>
    <row r="93" spans="1:13" ht="18.75" x14ac:dyDescent="0.3">
      <c r="A93" s="18"/>
      <c r="B93" s="34">
        <v>88</v>
      </c>
      <c r="C93" s="31" t="s">
        <v>86</v>
      </c>
      <c r="D93" s="33">
        <v>150000</v>
      </c>
      <c r="E93" s="33">
        <v>19995</v>
      </c>
      <c r="F93" s="32">
        <f t="shared" si="17"/>
        <v>169995</v>
      </c>
      <c r="G93" s="34">
        <v>50</v>
      </c>
      <c r="H93" s="32">
        <v>3399.9</v>
      </c>
      <c r="I93" s="31">
        <v>49</v>
      </c>
      <c r="J93" s="35">
        <f t="shared" si="14"/>
        <v>1</v>
      </c>
      <c r="K93" s="36">
        <f t="shared" si="18"/>
        <v>166595.1</v>
      </c>
      <c r="L93" s="32">
        <f t="shared" si="15"/>
        <v>3399.8999999999942</v>
      </c>
      <c r="M93" s="31"/>
    </row>
    <row r="94" spans="1:13" ht="18.75" x14ac:dyDescent="0.3">
      <c r="A94" s="18"/>
      <c r="B94" s="34">
        <v>89</v>
      </c>
      <c r="C94" s="31" t="s">
        <v>87</v>
      </c>
      <c r="D94" s="33">
        <v>150000</v>
      </c>
      <c r="E94" s="33">
        <v>19995</v>
      </c>
      <c r="F94" s="32">
        <f t="shared" si="17"/>
        <v>169995</v>
      </c>
      <c r="G94" s="34">
        <v>50</v>
      </c>
      <c r="H94" s="32">
        <v>3399.9</v>
      </c>
      <c r="I94" s="31">
        <v>49</v>
      </c>
      <c r="J94" s="35">
        <f t="shared" si="14"/>
        <v>1</v>
      </c>
      <c r="K94" s="36">
        <f t="shared" si="18"/>
        <v>166595.1</v>
      </c>
      <c r="L94" s="32">
        <f t="shared" si="15"/>
        <v>3399.8999999999942</v>
      </c>
      <c r="M94" s="31"/>
    </row>
    <row r="95" spans="1:13" ht="18.75" x14ac:dyDescent="0.3">
      <c r="A95" s="18"/>
      <c r="B95" s="34">
        <v>90</v>
      </c>
      <c r="C95" s="31" t="s">
        <v>89</v>
      </c>
      <c r="D95" s="33">
        <v>150000</v>
      </c>
      <c r="E95" s="33">
        <v>19995</v>
      </c>
      <c r="F95" s="32">
        <f t="shared" si="17"/>
        <v>169995</v>
      </c>
      <c r="G95" s="34">
        <v>50</v>
      </c>
      <c r="H95" s="32">
        <v>3399.9</v>
      </c>
      <c r="I95" s="31">
        <v>34</v>
      </c>
      <c r="J95" s="35">
        <f t="shared" si="14"/>
        <v>16</v>
      </c>
      <c r="K95" s="36">
        <f t="shared" si="18"/>
        <v>115596.6</v>
      </c>
      <c r="L95" s="32">
        <f t="shared" si="15"/>
        <v>54398.399999999994</v>
      </c>
      <c r="M95" s="31"/>
    </row>
    <row r="96" spans="1:13" ht="18.75" x14ac:dyDescent="0.3">
      <c r="A96" s="18"/>
      <c r="B96" s="34">
        <v>91</v>
      </c>
      <c r="C96" s="31" t="s">
        <v>91</v>
      </c>
      <c r="D96" s="33">
        <v>150000</v>
      </c>
      <c r="E96" s="33">
        <v>19995</v>
      </c>
      <c r="F96" s="32">
        <f t="shared" si="17"/>
        <v>169995</v>
      </c>
      <c r="G96" s="34">
        <v>50</v>
      </c>
      <c r="H96" s="32">
        <v>3399.9</v>
      </c>
      <c r="I96" s="31">
        <v>49</v>
      </c>
      <c r="J96" s="35">
        <f t="shared" si="14"/>
        <v>1</v>
      </c>
      <c r="K96" s="36">
        <f t="shared" si="18"/>
        <v>166595.1</v>
      </c>
      <c r="L96" s="32">
        <f t="shared" si="15"/>
        <v>3399.8999999999942</v>
      </c>
      <c r="M96" s="31"/>
    </row>
    <row r="97" spans="1:13" ht="18.75" x14ac:dyDescent="0.3">
      <c r="A97" s="18"/>
      <c r="B97" s="34">
        <v>92</v>
      </c>
      <c r="C97" s="31" t="s">
        <v>94</v>
      </c>
      <c r="D97" s="33">
        <v>150000</v>
      </c>
      <c r="E97" s="33">
        <v>19995</v>
      </c>
      <c r="F97" s="32">
        <f t="shared" si="17"/>
        <v>169995</v>
      </c>
      <c r="G97" s="34">
        <v>50</v>
      </c>
      <c r="H97" s="32">
        <v>3399.9</v>
      </c>
      <c r="I97" s="31">
        <v>34</v>
      </c>
      <c r="J97" s="35">
        <f t="shared" si="14"/>
        <v>16</v>
      </c>
      <c r="K97" s="36">
        <f t="shared" si="18"/>
        <v>115596.6</v>
      </c>
      <c r="L97" s="32">
        <f t="shared" si="15"/>
        <v>54398.399999999994</v>
      </c>
      <c r="M97" s="31"/>
    </row>
    <row r="98" spans="1:13" ht="18.75" x14ac:dyDescent="0.3">
      <c r="A98" s="18"/>
      <c r="B98" s="34">
        <v>93</v>
      </c>
      <c r="C98" s="31" t="s">
        <v>224</v>
      </c>
      <c r="D98" s="33">
        <v>150000</v>
      </c>
      <c r="E98" s="33">
        <v>19995</v>
      </c>
      <c r="F98" s="32">
        <f t="shared" si="17"/>
        <v>169995</v>
      </c>
      <c r="G98" s="34">
        <v>50</v>
      </c>
      <c r="H98" s="32">
        <v>3399.9</v>
      </c>
      <c r="I98" s="31">
        <v>49</v>
      </c>
      <c r="J98" s="35">
        <f t="shared" si="14"/>
        <v>1</v>
      </c>
      <c r="K98" s="36">
        <f t="shared" si="18"/>
        <v>166595.1</v>
      </c>
      <c r="L98" s="32">
        <f t="shared" si="15"/>
        <v>3399.8999999999942</v>
      </c>
      <c r="M98" s="31"/>
    </row>
    <row r="99" spans="1:13" ht="18.75" x14ac:dyDescent="0.3">
      <c r="A99" s="18"/>
      <c r="B99" s="34">
        <v>94</v>
      </c>
      <c r="C99" s="31" t="s">
        <v>193</v>
      </c>
      <c r="D99" s="33">
        <v>150000</v>
      </c>
      <c r="E99" s="33">
        <v>19995</v>
      </c>
      <c r="F99" s="32">
        <f t="shared" si="17"/>
        <v>169995</v>
      </c>
      <c r="G99" s="34">
        <v>50</v>
      </c>
      <c r="H99" s="32">
        <v>3399.9</v>
      </c>
      <c r="I99" s="31">
        <v>34</v>
      </c>
      <c r="J99" s="35">
        <f t="shared" si="14"/>
        <v>16</v>
      </c>
      <c r="K99" s="36">
        <f t="shared" si="18"/>
        <v>115596.6</v>
      </c>
      <c r="L99" s="32">
        <f t="shared" si="15"/>
        <v>54398.399999999994</v>
      </c>
      <c r="M99" s="31"/>
    </row>
    <row r="100" spans="1:13" ht="18.75" x14ac:dyDescent="0.3">
      <c r="A100" s="18"/>
      <c r="B100" s="34">
        <v>95</v>
      </c>
      <c r="C100" s="31" t="s">
        <v>101</v>
      </c>
      <c r="D100" s="33">
        <v>150000</v>
      </c>
      <c r="E100" s="33">
        <v>19995</v>
      </c>
      <c r="F100" s="32">
        <f t="shared" si="17"/>
        <v>169995</v>
      </c>
      <c r="G100" s="34">
        <v>50</v>
      </c>
      <c r="H100" s="32">
        <v>3399.9</v>
      </c>
      <c r="I100" s="31">
        <v>32</v>
      </c>
      <c r="J100" s="35">
        <f t="shared" si="14"/>
        <v>18</v>
      </c>
      <c r="K100" s="36">
        <f t="shared" si="18"/>
        <v>108796.8</v>
      </c>
      <c r="L100" s="32">
        <f t="shared" si="15"/>
        <v>61198.2</v>
      </c>
      <c r="M100" s="31"/>
    </row>
    <row r="101" spans="1:13" ht="18.75" x14ac:dyDescent="0.3">
      <c r="A101" s="18"/>
      <c r="B101" s="34">
        <v>96</v>
      </c>
      <c r="C101" s="31" t="s">
        <v>102</v>
      </c>
      <c r="D101" s="33">
        <v>150000</v>
      </c>
      <c r="E101" s="33">
        <v>19995</v>
      </c>
      <c r="F101" s="32">
        <f t="shared" si="17"/>
        <v>169995</v>
      </c>
      <c r="G101" s="34">
        <v>50</v>
      </c>
      <c r="H101" s="32">
        <v>3399.9</v>
      </c>
      <c r="I101" s="31">
        <v>34</v>
      </c>
      <c r="J101" s="35">
        <f t="shared" si="14"/>
        <v>16</v>
      </c>
      <c r="K101" s="36">
        <f t="shared" si="18"/>
        <v>115596.6</v>
      </c>
      <c r="L101" s="32">
        <f t="shared" si="15"/>
        <v>54398.399999999994</v>
      </c>
      <c r="M101" s="31"/>
    </row>
    <row r="102" spans="1:13" ht="18.75" x14ac:dyDescent="0.3">
      <c r="A102" s="18"/>
      <c r="B102" s="34">
        <v>97</v>
      </c>
      <c r="C102" s="31" t="s">
        <v>104</v>
      </c>
      <c r="D102" s="33">
        <v>150000</v>
      </c>
      <c r="E102" s="33">
        <v>19995</v>
      </c>
      <c r="F102" s="32">
        <f t="shared" si="17"/>
        <v>169995</v>
      </c>
      <c r="G102" s="34">
        <v>50</v>
      </c>
      <c r="H102" s="32">
        <v>3399.9</v>
      </c>
      <c r="I102" s="31">
        <v>49</v>
      </c>
      <c r="J102" s="35">
        <f t="shared" ref="J102:J133" si="19">G102-I102</f>
        <v>1</v>
      </c>
      <c r="K102" s="36">
        <f t="shared" si="18"/>
        <v>166595.1</v>
      </c>
      <c r="L102" s="32">
        <f t="shared" ref="L102:L128" si="20">F102-K102</f>
        <v>3399.8999999999942</v>
      </c>
      <c r="M102" s="31"/>
    </row>
    <row r="103" spans="1:13" ht="18.75" x14ac:dyDescent="0.3">
      <c r="A103" s="18"/>
      <c r="B103" s="34">
        <v>98</v>
      </c>
      <c r="C103" s="31" t="s">
        <v>110</v>
      </c>
      <c r="D103" s="33">
        <v>150000</v>
      </c>
      <c r="E103" s="33">
        <v>19995</v>
      </c>
      <c r="F103" s="32">
        <f t="shared" si="17"/>
        <v>169995</v>
      </c>
      <c r="G103" s="34">
        <v>50</v>
      </c>
      <c r="H103" s="32">
        <v>3399.9</v>
      </c>
      <c r="I103" s="31">
        <v>34</v>
      </c>
      <c r="J103" s="35">
        <f t="shared" si="19"/>
        <v>16</v>
      </c>
      <c r="K103" s="36">
        <f t="shared" si="18"/>
        <v>115596.6</v>
      </c>
      <c r="L103" s="32">
        <f t="shared" si="20"/>
        <v>54398.399999999994</v>
      </c>
      <c r="M103" s="31"/>
    </row>
    <row r="104" spans="1:13" ht="18.75" x14ac:dyDescent="0.3">
      <c r="A104" s="18"/>
      <c r="B104" s="34">
        <v>99</v>
      </c>
      <c r="C104" s="31" t="s">
        <v>225</v>
      </c>
      <c r="D104" s="33">
        <v>150000</v>
      </c>
      <c r="E104" s="33">
        <v>19995</v>
      </c>
      <c r="F104" s="32">
        <f t="shared" si="17"/>
        <v>169995</v>
      </c>
      <c r="G104" s="34">
        <v>50</v>
      </c>
      <c r="H104" s="32">
        <v>3399.9</v>
      </c>
      <c r="I104" s="31">
        <v>49</v>
      </c>
      <c r="J104" s="35">
        <f t="shared" si="19"/>
        <v>1</v>
      </c>
      <c r="K104" s="36">
        <f t="shared" si="18"/>
        <v>166595.1</v>
      </c>
      <c r="L104" s="32">
        <f t="shared" si="20"/>
        <v>3399.8999999999942</v>
      </c>
      <c r="M104" s="31"/>
    </row>
    <row r="105" spans="1:13" ht="18.75" x14ac:dyDescent="0.3">
      <c r="A105" s="18"/>
      <c r="B105" s="34">
        <v>100</v>
      </c>
      <c r="C105" s="31" t="s">
        <v>113</v>
      </c>
      <c r="D105" s="33">
        <v>150000</v>
      </c>
      <c r="E105" s="33">
        <v>19995</v>
      </c>
      <c r="F105" s="32">
        <f t="shared" si="17"/>
        <v>169995</v>
      </c>
      <c r="G105" s="34">
        <v>50</v>
      </c>
      <c r="H105" s="32">
        <v>3399.9</v>
      </c>
      <c r="I105" s="31">
        <v>49</v>
      </c>
      <c r="J105" s="35">
        <f t="shared" si="19"/>
        <v>1</v>
      </c>
      <c r="K105" s="36">
        <f t="shared" si="18"/>
        <v>166595.1</v>
      </c>
      <c r="L105" s="32">
        <f t="shared" si="20"/>
        <v>3399.8999999999942</v>
      </c>
      <c r="M105" s="31"/>
    </row>
    <row r="106" spans="1:13" ht="18.75" x14ac:dyDescent="0.3">
      <c r="A106" s="18"/>
      <c r="B106" s="34">
        <v>101</v>
      </c>
      <c r="C106" s="31" t="s">
        <v>114</v>
      </c>
      <c r="D106" s="33">
        <v>150000</v>
      </c>
      <c r="E106" s="33">
        <v>19995</v>
      </c>
      <c r="F106" s="32">
        <f t="shared" si="17"/>
        <v>169995</v>
      </c>
      <c r="G106" s="34">
        <v>50</v>
      </c>
      <c r="H106" s="32">
        <v>3399.9</v>
      </c>
      <c r="I106" s="31">
        <v>34</v>
      </c>
      <c r="J106" s="35">
        <f t="shared" si="19"/>
        <v>16</v>
      </c>
      <c r="K106" s="36">
        <f t="shared" si="18"/>
        <v>115596.6</v>
      </c>
      <c r="L106" s="32">
        <f t="shared" si="20"/>
        <v>54398.399999999994</v>
      </c>
      <c r="M106" s="31"/>
    </row>
    <row r="107" spans="1:13" ht="18.75" x14ac:dyDescent="0.3">
      <c r="A107" s="18"/>
      <c r="B107" s="34">
        <v>102</v>
      </c>
      <c r="C107" s="31" t="s">
        <v>236</v>
      </c>
      <c r="D107" s="33">
        <v>150000</v>
      </c>
      <c r="E107" s="33">
        <v>19995</v>
      </c>
      <c r="F107" s="32">
        <f t="shared" si="17"/>
        <v>169995</v>
      </c>
      <c r="G107" s="34">
        <v>50</v>
      </c>
      <c r="H107" s="32">
        <v>3399.9</v>
      </c>
      <c r="I107" s="31">
        <v>34</v>
      </c>
      <c r="J107" s="35">
        <f t="shared" si="19"/>
        <v>16</v>
      </c>
      <c r="K107" s="36">
        <f t="shared" si="18"/>
        <v>115596.6</v>
      </c>
      <c r="L107" s="32">
        <f t="shared" si="20"/>
        <v>54398.399999999994</v>
      </c>
      <c r="M107" s="31"/>
    </row>
    <row r="108" spans="1:13" ht="18.75" x14ac:dyDescent="0.3">
      <c r="A108" s="18"/>
      <c r="B108" s="34">
        <v>103</v>
      </c>
      <c r="C108" s="31" t="s">
        <v>117</v>
      </c>
      <c r="D108" s="33">
        <v>150000</v>
      </c>
      <c r="E108" s="33">
        <v>19995</v>
      </c>
      <c r="F108" s="32">
        <f t="shared" si="17"/>
        <v>169995</v>
      </c>
      <c r="G108" s="34">
        <v>50</v>
      </c>
      <c r="H108" s="32">
        <v>3399.9</v>
      </c>
      <c r="I108" s="31">
        <v>49</v>
      </c>
      <c r="J108" s="35">
        <f t="shared" si="19"/>
        <v>1</v>
      </c>
      <c r="K108" s="36">
        <f t="shared" si="18"/>
        <v>166595.1</v>
      </c>
      <c r="L108" s="32">
        <f t="shared" si="20"/>
        <v>3399.8999999999942</v>
      </c>
      <c r="M108" s="31"/>
    </row>
    <row r="109" spans="1:13" ht="18.75" x14ac:dyDescent="0.3">
      <c r="A109" s="18"/>
      <c r="B109" s="34">
        <v>104</v>
      </c>
      <c r="C109" s="31" t="s">
        <v>155</v>
      </c>
      <c r="D109" s="33">
        <v>150000</v>
      </c>
      <c r="E109" s="33">
        <v>19995</v>
      </c>
      <c r="F109" s="32">
        <f t="shared" si="17"/>
        <v>169995</v>
      </c>
      <c r="G109" s="34">
        <v>50</v>
      </c>
      <c r="H109" s="32">
        <v>3399.9</v>
      </c>
      <c r="I109" s="31">
        <v>34</v>
      </c>
      <c r="J109" s="35">
        <f t="shared" si="19"/>
        <v>16</v>
      </c>
      <c r="K109" s="36">
        <f t="shared" si="18"/>
        <v>115596.6</v>
      </c>
      <c r="L109" s="32">
        <f t="shared" si="20"/>
        <v>54398.399999999994</v>
      </c>
      <c r="M109" s="31"/>
    </row>
    <row r="110" spans="1:13" ht="18.75" x14ac:dyDescent="0.3">
      <c r="A110" s="18"/>
      <c r="B110" s="34">
        <v>105</v>
      </c>
      <c r="C110" s="31" t="s">
        <v>176</v>
      </c>
      <c r="D110" s="33">
        <v>150000</v>
      </c>
      <c r="E110" s="33">
        <v>19995</v>
      </c>
      <c r="F110" s="32">
        <f t="shared" si="17"/>
        <v>169995</v>
      </c>
      <c r="G110" s="34">
        <v>50</v>
      </c>
      <c r="H110" s="32">
        <v>3399.9</v>
      </c>
      <c r="I110" s="31">
        <v>49</v>
      </c>
      <c r="J110" s="35">
        <f t="shared" si="19"/>
        <v>1</v>
      </c>
      <c r="K110" s="36">
        <f t="shared" si="18"/>
        <v>166595.1</v>
      </c>
      <c r="L110" s="32">
        <f t="shared" si="20"/>
        <v>3399.8999999999942</v>
      </c>
      <c r="M110" s="31"/>
    </row>
    <row r="111" spans="1:13" ht="18.75" x14ac:dyDescent="0.3">
      <c r="A111" s="18"/>
      <c r="B111" s="34">
        <v>106</v>
      </c>
      <c r="C111" s="31" t="s">
        <v>120</v>
      </c>
      <c r="D111" s="33">
        <v>150000</v>
      </c>
      <c r="E111" s="33">
        <v>19995</v>
      </c>
      <c r="F111" s="32">
        <f t="shared" si="17"/>
        <v>169995</v>
      </c>
      <c r="G111" s="34">
        <v>50</v>
      </c>
      <c r="H111" s="32">
        <v>3399.9</v>
      </c>
      <c r="I111" s="31">
        <v>34</v>
      </c>
      <c r="J111" s="35">
        <f t="shared" si="19"/>
        <v>16</v>
      </c>
      <c r="K111" s="36">
        <f t="shared" si="18"/>
        <v>115596.6</v>
      </c>
      <c r="L111" s="32">
        <f t="shared" si="20"/>
        <v>54398.399999999994</v>
      </c>
      <c r="M111" s="31"/>
    </row>
    <row r="112" spans="1:13" ht="18.75" x14ac:dyDescent="0.3">
      <c r="A112" s="18"/>
      <c r="B112" s="34">
        <v>107</v>
      </c>
      <c r="C112" s="31" t="s">
        <v>197</v>
      </c>
      <c r="D112" s="33">
        <v>150000</v>
      </c>
      <c r="E112" s="33">
        <v>19995</v>
      </c>
      <c r="F112" s="32">
        <f t="shared" si="17"/>
        <v>169995</v>
      </c>
      <c r="G112" s="34">
        <v>50</v>
      </c>
      <c r="H112" s="32">
        <v>3399.9</v>
      </c>
      <c r="I112" s="31">
        <v>34</v>
      </c>
      <c r="J112" s="35">
        <f t="shared" si="19"/>
        <v>16</v>
      </c>
      <c r="K112" s="36">
        <f t="shared" si="18"/>
        <v>115596.6</v>
      </c>
      <c r="L112" s="32">
        <f t="shared" si="20"/>
        <v>54398.399999999994</v>
      </c>
      <c r="M112" s="31"/>
    </row>
    <row r="113" spans="1:13" ht="18.75" x14ac:dyDescent="0.3">
      <c r="A113" s="18"/>
      <c r="B113" s="34">
        <v>108</v>
      </c>
      <c r="C113" s="31" t="s">
        <v>124</v>
      </c>
      <c r="D113" s="33">
        <v>150000</v>
      </c>
      <c r="E113" s="33">
        <v>19995</v>
      </c>
      <c r="F113" s="32">
        <f t="shared" si="17"/>
        <v>169995</v>
      </c>
      <c r="G113" s="34">
        <v>50</v>
      </c>
      <c r="H113" s="32">
        <v>3399.9</v>
      </c>
      <c r="I113" s="31">
        <v>34</v>
      </c>
      <c r="J113" s="35">
        <f t="shared" si="19"/>
        <v>16</v>
      </c>
      <c r="K113" s="36">
        <f>I113*H113</f>
        <v>115596.6</v>
      </c>
      <c r="L113" s="32">
        <f t="shared" si="20"/>
        <v>54398.399999999994</v>
      </c>
      <c r="M113" s="31"/>
    </row>
    <row r="114" spans="1:13" ht="18.75" x14ac:dyDescent="0.3">
      <c r="A114" s="18"/>
      <c r="B114" s="34">
        <v>109</v>
      </c>
      <c r="C114" s="31" t="s">
        <v>127</v>
      </c>
      <c r="D114" s="33">
        <v>150000</v>
      </c>
      <c r="E114" s="33">
        <v>19995</v>
      </c>
      <c r="F114" s="32">
        <f t="shared" si="17"/>
        <v>169995</v>
      </c>
      <c r="G114" s="34">
        <v>50</v>
      </c>
      <c r="H114" s="32">
        <v>3399.9</v>
      </c>
      <c r="I114" s="31">
        <v>49</v>
      </c>
      <c r="J114" s="35">
        <f t="shared" si="19"/>
        <v>1</v>
      </c>
      <c r="K114" s="36">
        <f t="shared" ref="K114:K128" si="21">H114*I114</f>
        <v>166595.1</v>
      </c>
      <c r="L114" s="32">
        <f t="shared" si="20"/>
        <v>3399.8999999999942</v>
      </c>
      <c r="M114" s="31"/>
    </row>
    <row r="115" spans="1:13" ht="18.75" x14ac:dyDescent="0.3">
      <c r="A115" s="18"/>
      <c r="B115" s="34">
        <v>110</v>
      </c>
      <c r="C115" s="31" t="s">
        <v>200</v>
      </c>
      <c r="D115" s="33">
        <v>150000</v>
      </c>
      <c r="E115" s="33">
        <v>19995</v>
      </c>
      <c r="F115" s="32">
        <f t="shared" si="17"/>
        <v>169995</v>
      </c>
      <c r="G115" s="34">
        <v>50</v>
      </c>
      <c r="H115" s="32">
        <v>3399.9</v>
      </c>
      <c r="I115" s="31">
        <v>49</v>
      </c>
      <c r="J115" s="35">
        <f t="shared" si="19"/>
        <v>1</v>
      </c>
      <c r="K115" s="36">
        <f t="shared" si="21"/>
        <v>166595.1</v>
      </c>
      <c r="L115" s="32">
        <f t="shared" si="20"/>
        <v>3399.8999999999942</v>
      </c>
      <c r="M115" s="31"/>
    </row>
    <row r="116" spans="1:13" ht="18.75" x14ac:dyDescent="0.3">
      <c r="A116" s="18"/>
      <c r="B116" s="34">
        <v>111</v>
      </c>
      <c r="C116" s="31" t="s">
        <v>199</v>
      </c>
      <c r="D116" s="33">
        <v>150000</v>
      </c>
      <c r="E116" s="33">
        <v>19995</v>
      </c>
      <c r="F116" s="32">
        <f t="shared" si="17"/>
        <v>169995</v>
      </c>
      <c r="G116" s="34">
        <v>50</v>
      </c>
      <c r="H116" s="32">
        <v>3399.9</v>
      </c>
      <c r="I116" s="31">
        <v>49</v>
      </c>
      <c r="J116" s="35">
        <f t="shared" si="19"/>
        <v>1</v>
      </c>
      <c r="K116" s="36">
        <f t="shared" si="21"/>
        <v>166595.1</v>
      </c>
      <c r="L116" s="32">
        <f t="shared" si="20"/>
        <v>3399.8999999999942</v>
      </c>
      <c r="M116" s="31"/>
    </row>
    <row r="117" spans="1:13" ht="18.75" x14ac:dyDescent="0.3">
      <c r="A117" s="18"/>
      <c r="B117" s="34">
        <v>112</v>
      </c>
      <c r="C117" s="31" t="s">
        <v>129</v>
      </c>
      <c r="D117" s="33">
        <v>150000</v>
      </c>
      <c r="E117" s="33">
        <v>19995</v>
      </c>
      <c r="F117" s="32">
        <f t="shared" si="17"/>
        <v>169995</v>
      </c>
      <c r="G117" s="34">
        <v>50</v>
      </c>
      <c r="H117" s="32">
        <v>3399.9</v>
      </c>
      <c r="I117" s="31">
        <v>32</v>
      </c>
      <c r="J117" s="35">
        <f t="shared" si="19"/>
        <v>18</v>
      </c>
      <c r="K117" s="36">
        <f t="shared" si="21"/>
        <v>108796.8</v>
      </c>
      <c r="L117" s="32">
        <f t="shared" si="20"/>
        <v>61198.2</v>
      </c>
      <c r="M117" s="31"/>
    </row>
    <row r="118" spans="1:13" ht="18.75" x14ac:dyDescent="0.3">
      <c r="A118" s="18"/>
      <c r="B118" s="34">
        <v>113</v>
      </c>
      <c r="C118" s="31" t="s">
        <v>130</v>
      </c>
      <c r="D118" s="33">
        <v>150000</v>
      </c>
      <c r="E118" s="33">
        <v>19995</v>
      </c>
      <c r="F118" s="32">
        <f t="shared" si="17"/>
        <v>169995</v>
      </c>
      <c r="G118" s="34">
        <v>50</v>
      </c>
      <c r="H118" s="32">
        <v>3399.9</v>
      </c>
      <c r="I118" s="31">
        <v>33</v>
      </c>
      <c r="J118" s="35">
        <f t="shared" si="19"/>
        <v>17</v>
      </c>
      <c r="K118" s="36">
        <f t="shared" si="21"/>
        <v>112196.7</v>
      </c>
      <c r="L118" s="32">
        <f t="shared" si="20"/>
        <v>57798.3</v>
      </c>
      <c r="M118" s="31"/>
    </row>
    <row r="119" spans="1:13" ht="18.75" x14ac:dyDescent="0.3">
      <c r="A119" s="18"/>
      <c r="B119" s="34">
        <v>114</v>
      </c>
      <c r="C119" s="31" t="s">
        <v>131</v>
      </c>
      <c r="D119" s="33">
        <v>150000</v>
      </c>
      <c r="E119" s="33">
        <v>19995</v>
      </c>
      <c r="F119" s="32">
        <f t="shared" ref="F119:F150" si="22">D119+E119</f>
        <v>169995</v>
      </c>
      <c r="G119" s="34">
        <v>50</v>
      </c>
      <c r="H119" s="32">
        <v>3399.9</v>
      </c>
      <c r="I119" s="31">
        <v>34</v>
      </c>
      <c r="J119" s="35">
        <f t="shared" si="19"/>
        <v>16</v>
      </c>
      <c r="K119" s="36">
        <f t="shared" si="21"/>
        <v>115596.6</v>
      </c>
      <c r="L119" s="32">
        <f t="shared" si="20"/>
        <v>54398.399999999994</v>
      </c>
      <c r="M119" s="31"/>
    </row>
    <row r="120" spans="1:13" ht="18.75" x14ac:dyDescent="0.3">
      <c r="A120" s="18"/>
      <c r="B120" s="34">
        <v>115</v>
      </c>
      <c r="C120" s="31" t="s">
        <v>201</v>
      </c>
      <c r="D120" s="33">
        <v>150000</v>
      </c>
      <c r="E120" s="33">
        <v>19995</v>
      </c>
      <c r="F120" s="32">
        <f t="shared" si="22"/>
        <v>169995</v>
      </c>
      <c r="G120" s="34">
        <v>50</v>
      </c>
      <c r="H120" s="32">
        <v>3399.9</v>
      </c>
      <c r="I120" s="31">
        <v>34</v>
      </c>
      <c r="J120" s="35">
        <f t="shared" si="19"/>
        <v>16</v>
      </c>
      <c r="K120" s="36">
        <f t="shared" si="21"/>
        <v>115596.6</v>
      </c>
      <c r="L120" s="32">
        <f t="shared" si="20"/>
        <v>54398.399999999994</v>
      </c>
      <c r="M120" s="31"/>
    </row>
    <row r="121" spans="1:13" ht="18.75" x14ac:dyDescent="0.3">
      <c r="A121" s="18"/>
      <c r="B121" s="34">
        <v>116</v>
      </c>
      <c r="C121" s="31" t="s">
        <v>133</v>
      </c>
      <c r="D121" s="33">
        <v>150000</v>
      </c>
      <c r="E121" s="33">
        <v>19995</v>
      </c>
      <c r="F121" s="32">
        <f t="shared" si="22"/>
        <v>169995</v>
      </c>
      <c r="G121" s="34">
        <v>50</v>
      </c>
      <c r="H121" s="32">
        <v>3399.9</v>
      </c>
      <c r="I121" s="31">
        <v>34</v>
      </c>
      <c r="J121" s="35">
        <f t="shared" si="19"/>
        <v>16</v>
      </c>
      <c r="K121" s="36">
        <f t="shared" si="21"/>
        <v>115596.6</v>
      </c>
      <c r="L121" s="32">
        <f t="shared" si="20"/>
        <v>54398.399999999994</v>
      </c>
      <c r="M121" s="31"/>
    </row>
    <row r="122" spans="1:13" ht="18.75" x14ac:dyDescent="0.3">
      <c r="A122" s="18"/>
      <c r="B122" s="34">
        <v>117</v>
      </c>
      <c r="C122" s="31" t="s">
        <v>134</v>
      </c>
      <c r="D122" s="33">
        <v>150000</v>
      </c>
      <c r="E122" s="33">
        <v>19995</v>
      </c>
      <c r="F122" s="32">
        <f t="shared" si="22"/>
        <v>169995</v>
      </c>
      <c r="G122" s="34">
        <v>50</v>
      </c>
      <c r="H122" s="32">
        <v>3399.9</v>
      </c>
      <c r="I122" s="31">
        <v>49</v>
      </c>
      <c r="J122" s="35">
        <f t="shared" si="19"/>
        <v>1</v>
      </c>
      <c r="K122" s="36">
        <f t="shared" si="21"/>
        <v>166595.1</v>
      </c>
      <c r="L122" s="32">
        <f t="shared" si="20"/>
        <v>3399.8999999999942</v>
      </c>
      <c r="M122" s="31"/>
    </row>
    <row r="123" spans="1:13" ht="18.75" x14ac:dyDescent="0.3">
      <c r="A123" s="18"/>
      <c r="B123" s="34">
        <v>118</v>
      </c>
      <c r="C123" s="31" t="s">
        <v>203</v>
      </c>
      <c r="D123" s="33">
        <v>150000</v>
      </c>
      <c r="E123" s="33">
        <v>19995</v>
      </c>
      <c r="F123" s="32">
        <f t="shared" si="22"/>
        <v>169995</v>
      </c>
      <c r="G123" s="34">
        <v>50</v>
      </c>
      <c r="H123" s="32">
        <v>3399.9</v>
      </c>
      <c r="I123" s="31">
        <v>49</v>
      </c>
      <c r="J123" s="35">
        <f t="shared" si="19"/>
        <v>1</v>
      </c>
      <c r="K123" s="36">
        <f t="shared" si="21"/>
        <v>166595.1</v>
      </c>
      <c r="L123" s="32">
        <f t="shared" si="20"/>
        <v>3399.8999999999942</v>
      </c>
      <c r="M123" s="31"/>
    </row>
    <row r="124" spans="1:13" ht="18.75" x14ac:dyDescent="0.3">
      <c r="A124" s="18"/>
      <c r="B124" s="34">
        <v>119</v>
      </c>
      <c r="C124" s="31" t="s">
        <v>136</v>
      </c>
      <c r="D124" s="33">
        <v>150000</v>
      </c>
      <c r="E124" s="33">
        <v>19995</v>
      </c>
      <c r="F124" s="32">
        <f t="shared" si="22"/>
        <v>169995</v>
      </c>
      <c r="G124" s="34">
        <v>50</v>
      </c>
      <c r="H124" s="32">
        <v>3399.9</v>
      </c>
      <c r="I124" s="31">
        <v>49</v>
      </c>
      <c r="J124" s="35">
        <f t="shared" si="19"/>
        <v>1</v>
      </c>
      <c r="K124" s="36">
        <f t="shared" si="21"/>
        <v>166595.1</v>
      </c>
      <c r="L124" s="32">
        <f t="shared" si="20"/>
        <v>3399.8999999999942</v>
      </c>
      <c r="M124" s="31"/>
    </row>
    <row r="125" spans="1:13" ht="18.75" x14ac:dyDescent="0.3">
      <c r="A125" s="18"/>
      <c r="B125" s="34">
        <v>120</v>
      </c>
      <c r="C125" s="31" t="s">
        <v>137</v>
      </c>
      <c r="D125" s="33">
        <v>150000</v>
      </c>
      <c r="E125" s="33">
        <v>19995</v>
      </c>
      <c r="F125" s="32">
        <f t="shared" si="22"/>
        <v>169995</v>
      </c>
      <c r="G125" s="34">
        <v>50</v>
      </c>
      <c r="H125" s="32">
        <v>3399.9</v>
      </c>
      <c r="I125" s="31">
        <v>34</v>
      </c>
      <c r="J125" s="35">
        <f t="shared" si="19"/>
        <v>16</v>
      </c>
      <c r="K125" s="36">
        <f t="shared" si="21"/>
        <v>115596.6</v>
      </c>
      <c r="L125" s="32">
        <f t="shared" si="20"/>
        <v>54398.399999999994</v>
      </c>
      <c r="M125" s="31"/>
    </row>
    <row r="126" spans="1:13" ht="18.75" x14ac:dyDescent="0.3">
      <c r="A126" s="18"/>
      <c r="B126" s="34">
        <v>121</v>
      </c>
      <c r="C126" s="31" t="s">
        <v>230</v>
      </c>
      <c r="D126" s="33">
        <v>150000</v>
      </c>
      <c r="E126" s="33">
        <v>19995</v>
      </c>
      <c r="F126" s="32">
        <f t="shared" si="22"/>
        <v>169995</v>
      </c>
      <c r="G126" s="34">
        <v>50</v>
      </c>
      <c r="H126" s="32">
        <v>3399.9</v>
      </c>
      <c r="I126" s="31">
        <v>39</v>
      </c>
      <c r="J126" s="35">
        <f t="shared" si="19"/>
        <v>11</v>
      </c>
      <c r="K126" s="36">
        <f t="shared" si="21"/>
        <v>132596.1</v>
      </c>
      <c r="L126" s="32">
        <f t="shared" si="20"/>
        <v>37398.899999999994</v>
      </c>
      <c r="M126" s="31"/>
    </row>
    <row r="127" spans="1:13" ht="18.75" x14ac:dyDescent="0.3">
      <c r="A127" s="18"/>
      <c r="B127" s="34">
        <v>122</v>
      </c>
      <c r="C127" s="31" t="s">
        <v>139</v>
      </c>
      <c r="D127" s="33">
        <v>150000</v>
      </c>
      <c r="E127" s="33">
        <v>19995</v>
      </c>
      <c r="F127" s="32">
        <f t="shared" si="22"/>
        <v>169995</v>
      </c>
      <c r="G127" s="34">
        <v>50</v>
      </c>
      <c r="H127" s="32">
        <v>3399.9</v>
      </c>
      <c r="I127" s="31">
        <v>34</v>
      </c>
      <c r="J127" s="35">
        <f t="shared" si="19"/>
        <v>16</v>
      </c>
      <c r="K127" s="36">
        <f t="shared" si="21"/>
        <v>115596.6</v>
      </c>
      <c r="L127" s="32">
        <f t="shared" si="20"/>
        <v>54398.399999999994</v>
      </c>
      <c r="M127" s="31"/>
    </row>
    <row r="128" spans="1:13" ht="18.75" x14ac:dyDescent="0.3">
      <c r="A128" s="18"/>
      <c r="B128" s="34">
        <v>123</v>
      </c>
      <c r="C128" s="31" t="s">
        <v>229</v>
      </c>
      <c r="D128" s="33">
        <v>150000</v>
      </c>
      <c r="E128" s="33">
        <v>19995</v>
      </c>
      <c r="F128" s="32">
        <f t="shared" si="22"/>
        <v>169995</v>
      </c>
      <c r="G128" s="34">
        <v>50</v>
      </c>
      <c r="H128" s="32">
        <v>3399.9</v>
      </c>
      <c r="I128" s="31">
        <v>29</v>
      </c>
      <c r="J128" s="35">
        <f t="shared" si="19"/>
        <v>21</v>
      </c>
      <c r="K128" s="36">
        <f t="shared" si="21"/>
        <v>98597.1</v>
      </c>
      <c r="L128" s="36">
        <f t="shared" si="20"/>
        <v>71397.899999999994</v>
      </c>
      <c r="M128" s="31"/>
    </row>
    <row r="129" spans="1:13" ht="18.75" x14ac:dyDescent="0.3">
      <c r="A129" s="18"/>
      <c r="B129" s="34">
        <v>124</v>
      </c>
      <c r="C129" s="31" t="s">
        <v>207</v>
      </c>
      <c r="D129" s="33">
        <v>150000</v>
      </c>
      <c r="E129" s="33">
        <v>19995</v>
      </c>
      <c r="F129" s="32">
        <f t="shared" si="22"/>
        <v>169995</v>
      </c>
      <c r="G129" s="34">
        <v>50</v>
      </c>
      <c r="H129" s="32">
        <v>3399.9</v>
      </c>
      <c r="I129" s="31">
        <v>29</v>
      </c>
      <c r="J129" s="35">
        <f t="shared" si="19"/>
        <v>21</v>
      </c>
      <c r="K129" s="36">
        <f t="shared" ref="K129:K157" si="23">I129*H129</f>
        <v>98597.1</v>
      </c>
      <c r="L129" s="36">
        <f>F129-H129</f>
        <v>166595.1</v>
      </c>
      <c r="M129" s="31"/>
    </row>
    <row r="130" spans="1:13" ht="18.75" x14ac:dyDescent="0.3">
      <c r="A130" s="18"/>
      <c r="B130" s="34">
        <v>125</v>
      </c>
      <c r="C130" s="50" t="s">
        <v>147</v>
      </c>
      <c r="D130" s="33">
        <v>150000</v>
      </c>
      <c r="E130" s="33">
        <v>19995</v>
      </c>
      <c r="F130" s="32">
        <f t="shared" si="22"/>
        <v>169995</v>
      </c>
      <c r="G130" s="34">
        <v>50</v>
      </c>
      <c r="H130" s="32">
        <v>3399.9</v>
      </c>
      <c r="I130" s="50">
        <v>23</v>
      </c>
      <c r="J130" s="35">
        <f t="shared" si="19"/>
        <v>27</v>
      </c>
      <c r="K130" s="36">
        <f t="shared" si="23"/>
        <v>78197.7</v>
      </c>
      <c r="L130" s="36">
        <f t="shared" ref="L130:L157" si="24">F130-K130</f>
        <v>91797.3</v>
      </c>
      <c r="M130" s="31"/>
    </row>
    <row r="131" spans="1:13" ht="18.75" x14ac:dyDescent="0.3">
      <c r="A131" s="18"/>
      <c r="B131" s="34">
        <v>126</v>
      </c>
      <c r="C131" s="50" t="s">
        <v>151</v>
      </c>
      <c r="D131" s="33">
        <v>150000</v>
      </c>
      <c r="E131" s="33">
        <v>19995</v>
      </c>
      <c r="F131" s="32">
        <f t="shared" si="22"/>
        <v>169995</v>
      </c>
      <c r="G131" s="34">
        <v>50</v>
      </c>
      <c r="H131" s="32">
        <v>3399.9</v>
      </c>
      <c r="I131" s="50">
        <v>23</v>
      </c>
      <c r="J131" s="35">
        <f t="shared" si="19"/>
        <v>27</v>
      </c>
      <c r="K131" s="36">
        <f t="shared" si="23"/>
        <v>78197.7</v>
      </c>
      <c r="L131" s="36">
        <f t="shared" si="24"/>
        <v>91797.3</v>
      </c>
      <c r="M131" s="31"/>
    </row>
    <row r="132" spans="1:13" ht="18.75" x14ac:dyDescent="0.3">
      <c r="A132" s="18"/>
      <c r="B132" s="34">
        <v>127</v>
      </c>
      <c r="C132" s="50" t="s">
        <v>152</v>
      </c>
      <c r="D132" s="33">
        <v>150000</v>
      </c>
      <c r="E132" s="33">
        <v>19995</v>
      </c>
      <c r="F132" s="32">
        <f t="shared" si="22"/>
        <v>169995</v>
      </c>
      <c r="G132" s="34">
        <v>50</v>
      </c>
      <c r="H132" s="32">
        <v>3399.9</v>
      </c>
      <c r="I132" s="50">
        <v>23</v>
      </c>
      <c r="J132" s="35">
        <f t="shared" si="19"/>
        <v>27</v>
      </c>
      <c r="K132" s="36">
        <f t="shared" si="23"/>
        <v>78197.7</v>
      </c>
      <c r="L132" s="36">
        <f t="shared" si="24"/>
        <v>91797.3</v>
      </c>
      <c r="M132" s="31"/>
    </row>
    <row r="133" spans="1:13" ht="18.75" x14ac:dyDescent="0.3">
      <c r="A133" s="18"/>
      <c r="B133" s="34">
        <v>128</v>
      </c>
      <c r="C133" s="50" t="s">
        <v>153</v>
      </c>
      <c r="D133" s="33">
        <v>150000</v>
      </c>
      <c r="E133" s="33">
        <v>19995</v>
      </c>
      <c r="F133" s="32">
        <f t="shared" si="22"/>
        <v>169995</v>
      </c>
      <c r="G133" s="34">
        <v>50</v>
      </c>
      <c r="H133" s="32">
        <v>3399.9</v>
      </c>
      <c r="I133" s="50">
        <v>23</v>
      </c>
      <c r="J133" s="35">
        <f t="shared" si="19"/>
        <v>27</v>
      </c>
      <c r="K133" s="36">
        <f t="shared" si="23"/>
        <v>78197.7</v>
      </c>
      <c r="L133" s="36">
        <f t="shared" si="24"/>
        <v>91797.3</v>
      </c>
      <c r="M133" s="31"/>
    </row>
    <row r="134" spans="1:13" ht="18.75" x14ac:dyDescent="0.3">
      <c r="A134" s="18"/>
      <c r="B134" s="34">
        <v>129</v>
      </c>
      <c r="C134" s="50" t="s">
        <v>216</v>
      </c>
      <c r="D134" s="33">
        <v>150000</v>
      </c>
      <c r="E134" s="33">
        <v>19995</v>
      </c>
      <c r="F134" s="32">
        <f t="shared" si="22"/>
        <v>169995</v>
      </c>
      <c r="G134" s="34">
        <v>50</v>
      </c>
      <c r="H134" s="32">
        <v>3399.9</v>
      </c>
      <c r="I134" s="50">
        <v>15</v>
      </c>
      <c r="J134" s="35">
        <f t="shared" ref="J134:J157" si="25">G134-I134</f>
        <v>35</v>
      </c>
      <c r="K134" s="36">
        <f t="shared" si="23"/>
        <v>50998.5</v>
      </c>
      <c r="L134" s="36">
        <f t="shared" si="24"/>
        <v>118996.5</v>
      </c>
      <c r="M134" s="31"/>
    </row>
    <row r="135" spans="1:13" ht="18.75" x14ac:dyDescent="0.3">
      <c r="A135" s="18"/>
      <c r="B135" s="34">
        <v>130</v>
      </c>
      <c r="C135" s="50" t="s">
        <v>213</v>
      </c>
      <c r="D135" s="33">
        <v>150000</v>
      </c>
      <c r="E135" s="33">
        <v>19995</v>
      </c>
      <c r="F135" s="32">
        <f t="shared" si="22"/>
        <v>169995</v>
      </c>
      <c r="G135" s="34">
        <v>50</v>
      </c>
      <c r="H135" s="32">
        <v>3399.9</v>
      </c>
      <c r="I135" s="50">
        <v>15</v>
      </c>
      <c r="J135" s="35">
        <f t="shared" si="25"/>
        <v>35</v>
      </c>
      <c r="K135" s="36">
        <f t="shared" si="23"/>
        <v>50998.5</v>
      </c>
      <c r="L135" s="36">
        <f t="shared" si="24"/>
        <v>118996.5</v>
      </c>
      <c r="M135" s="31"/>
    </row>
    <row r="136" spans="1:13" ht="18.75" x14ac:dyDescent="0.3">
      <c r="A136" s="18"/>
      <c r="B136" s="34">
        <v>131</v>
      </c>
      <c r="C136" s="50" t="s">
        <v>23</v>
      </c>
      <c r="D136" s="33">
        <v>150000</v>
      </c>
      <c r="E136" s="33">
        <v>19995</v>
      </c>
      <c r="F136" s="32">
        <f t="shared" si="22"/>
        <v>169995</v>
      </c>
      <c r="G136" s="34">
        <v>50</v>
      </c>
      <c r="H136" s="32">
        <v>3399.9</v>
      </c>
      <c r="I136" s="50">
        <v>15</v>
      </c>
      <c r="J136" s="35">
        <f t="shared" si="25"/>
        <v>35</v>
      </c>
      <c r="K136" s="36">
        <f t="shared" si="23"/>
        <v>50998.5</v>
      </c>
      <c r="L136" s="36">
        <f t="shared" si="24"/>
        <v>118996.5</v>
      </c>
      <c r="M136" s="31"/>
    </row>
    <row r="137" spans="1:13" ht="18.75" x14ac:dyDescent="0.3">
      <c r="A137" s="18"/>
      <c r="B137" s="34">
        <v>132</v>
      </c>
      <c r="C137" s="50" t="s">
        <v>24</v>
      </c>
      <c r="D137" s="33">
        <v>150000</v>
      </c>
      <c r="E137" s="33">
        <v>19995</v>
      </c>
      <c r="F137" s="32">
        <f t="shared" si="22"/>
        <v>169995</v>
      </c>
      <c r="G137" s="34">
        <v>50</v>
      </c>
      <c r="H137" s="32">
        <v>3399.9</v>
      </c>
      <c r="I137" s="50">
        <v>15</v>
      </c>
      <c r="J137" s="35">
        <f t="shared" si="25"/>
        <v>35</v>
      </c>
      <c r="K137" s="36">
        <f t="shared" si="23"/>
        <v>50998.5</v>
      </c>
      <c r="L137" s="36">
        <f t="shared" si="24"/>
        <v>118996.5</v>
      </c>
      <c r="M137" s="31"/>
    </row>
    <row r="138" spans="1:13" ht="18.75" x14ac:dyDescent="0.3">
      <c r="A138" s="18"/>
      <c r="B138" s="34">
        <v>133</v>
      </c>
      <c r="C138" s="50" t="s">
        <v>27</v>
      </c>
      <c r="D138" s="33">
        <v>150000</v>
      </c>
      <c r="E138" s="33">
        <v>19995</v>
      </c>
      <c r="F138" s="32">
        <f t="shared" si="22"/>
        <v>169995</v>
      </c>
      <c r="G138" s="34">
        <v>50</v>
      </c>
      <c r="H138" s="32">
        <v>3399.9</v>
      </c>
      <c r="I138" s="50">
        <v>13</v>
      </c>
      <c r="J138" s="35">
        <f t="shared" si="25"/>
        <v>37</v>
      </c>
      <c r="K138" s="36">
        <f t="shared" si="23"/>
        <v>44198.700000000004</v>
      </c>
      <c r="L138" s="36">
        <f t="shared" si="24"/>
        <v>125796.29999999999</v>
      </c>
      <c r="M138" s="31"/>
    </row>
    <row r="139" spans="1:13" ht="18.75" x14ac:dyDescent="0.3">
      <c r="A139" s="18"/>
      <c r="B139" s="34">
        <v>134</v>
      </c>
      <c r="C139" s="29" t="s">
        <v>32</v>
      </c>
      <c r="D139" s="33">
        <v>150000</v>
      </c>
      <c r="E139" s="33">
        <v>19995</v>
      </c>
      <c r="F139" s="32">
        <f t="shared" si="22"/>
        <v>169995</v>
      </c>
      <c r="G139" s="34">
        <v>50</v>
      </c>
      <c r="H139" s="32">
        <v>3399.9</v>
      </c>
      <c r="I139" s="50">
        <v>13</v>
      </c>
      <c r="J139" s="35">
        <f t="shared" si="25"/>
        <v>37</v>
      </c>
      <c r="K139" s="36">
        <f t="shared" si="23"/>
        <v>44198.700000000004</v>
      </c>
      <c r="L139" s="36">
        <f t="shared" si="24"/>
        <v>125796.29999999999</v>
      </c>
      <c r="M139" s="31"/>
    </row>
    <row r="140" spans="1:13" ht="18.75" x14ac:dyDescent="0.3">
      <c r="A140" s="18"/>
      <c r="B140" s="34">
        <v>135</v>
      </c>
      <c r="C140" s="29" t="s">
        <v>33</v>
      </c>
      <c r="D140" s="33">
        <v>150000</v>
      </c>
      <c r="E140" s="33">
        <v>19995</v>
      </c>
      <c r="F140" s="32">
        <f t="shared" si="22"/>
        <v>169995</v>
      </c>
      <c r="G140" s="34">
        <v>50</v>
      </c>
      <c r="H140" s="32">
        <v>3399.9</v>
      </c>
      <c r="I140" s="50">
        <v>13</v>
      </c>
      <c r="J140" s="35">
        <f t="shared" si="25"/>
        <v>37</v>
      </c>
      <c r="K140" s="36">
        <f t="shared" si="23"/>
        <v>44198.700000000004</v>
      </c>
      <c r="L140" s="36">
        <f t="shared" si="24"/>
        <v>125796.29999999999</v>
      </c>
      <c r="M140" s="31"/>
    </row>
    <row r="141" spans="1:13" ht="18.75" x14ac:dyDescent="0.3">
      <c r="A141" s="18"/>
      <c r="B141" s="34">
        <v>136</v>
      </c>
      <c r="C141" s="29" t="s">
        <v>34</v>
      </c>
      <c r="D141" s="33">
        <v>150000</v>
      </c>
      <c r="E141" s="33">
        <v>19995</v>
      </c>
      <c r="F141" s="32">
        <f t="shared" si="22"/>
        <v>169995</v>
      </c>
      <c r="G141" s="34">
        <v>50</v>
      </c>
      <c r="H141" s="32">
        <v>3399.9</v>
      </c>
      <c r="I141" s="50">
        <v>13</v>
      </c>
      <c r="J141" s="35">
        <f t="shared" si="25"/>
        <v>37</v>
      </c>
      <c r="K141" s="36">
        <f t="shared" si="23"/>
        <v>44198.700000000004</v>
      </c>
      <c r="L141" s="36">
        <f t="shared" si="24"/>
        <v>125796.29999999999</v>
      </c>
      <c r="M141" s="31"/>
    </row>
    <row r="142" spans="1:13" ht="18.75" x14ac:dyDescent="0.3">
      <c r="A142" s="18"/>
      <c r="B142" s="34">
        <v>137</v>
      </c>
      <c r="C142" s="29" t="s">
        <v>41</v>
      </c>
      <c r="D142" s="33">
        <v>150000</v>
      </c>
      <c r="E142" s="33">
        <v>19995</v>
      </c>
      <c r="F142" s="32">
        <f t="shared" si="22"/>
        <v>169995</v>
      </c>
      <c r="G142" s="34">
        <v>50</v>
      </c>
      <c r="H142" s="32">
        <v>3399.9</v>
      </c>
      <c r="I142" s="50">
        <v>9</v>
      </c>
      <c r="J142" s="35">
        <f t="shared" si="25"/>
        <v>41</v>
      </c>
      <c r="K142" s="36">
        <f t="shared" si="23"/>
        <v>30599.100000000002</v>
      </c>
      <c r="L142" s="36">
        <f t="shared" si="24"/>
        <v>139395.9</v>
      </c>
      <c r="M142" s="31"/>
    </row>
    <row r="143" spans="1:13" ht="18.75" x14ac:dyDescent="0.3">
      <c r="A143" s="18"/>
      <c r="B143" s="34">
        <v>138</v>
      </c>
      <c r="C143" s="29" t="s">
        <v>157</v>
      </c>
      <c r="D143" s="33">
        <v>150000</v>
      </c>
      <c r="E143" s="33">
        <v>19995</v>
      </c>
      <c r="F143" s="32">
        <f t="shared" si="22"/>
        <v>169995</v>
      </c>
      <c r="G143" s="34">
        <v>50</v>
      </c>
      <c r="H143" s="32">
        <v>3399</v>
      </c>
      <c r="I143" s="50">
        <v>25</v>
      </c>
      <c r="J143" s="35">
        <f t="shared" si="25"/>
        <v>25</v>
      </c>
      <c r="K143" s="36">
        <f t="shared" si="23"/>
        <v>84975</v>
      </c>
      <c r="L143" s="36">
        <f t="shared" si="24"/>
        <v>85020</v>
      </c>
      <c r="M143" s="31"/>
    </row>
    <row r="144" spans="1:13" ht="18.75" x14ac:dyDescent="0.3">
      <c r="B144" s="34">
        <v>139</v>
      </c>
      <c r="C144" s="29" t="s">
        <v>158</v>
      </c>
      <c r="D144" s="33">
        <v>150000</v>
      </c>
      <c r="E144" s="33">
        <v>19995</v>
      </c>
      <c r="F144" s="32">
        <f t="shared" si="22"/>
        <v>169995</v>
      </c>
      <c r="G144" s="34">
        <v>50</v>
      </c>
      <c r="H144" s="32">
        <v>3399.9</v>
      </c>
      <c r="I144" s="31">
        <v>49</v>
      </c>
      <c r="J144" s="35">
        <f t="shared" si="25"/>
        <v>1</v>
      </c>
      <c r="K144" s="36">
        <f t="shared" si="23"/>
        <v>166595.1</v>
      </c>
      <c r="L144" s="36">
        <f t="shared" si="24"/>
        <v>3399.8999999999942</v>
      </c>
      <c r="M144" s="31"/>
    </row>
    <row r="145" spans="2:13" ht="18.75" x14ac:dyDescent="0.3">
      <c r="B145" s="34">
        <v>140</v>
      </c>
      <c r="C145" s="29" t="s">
        <v>165</v>
      </c>
      <c r="D145" s="33">
        <v>150000</v>
      </c>
      <c r="E145" s="33">
        <v>19995</v>
      </c>
      <c r="F145" s="32">
        <f t="shared" si="22"/>
        <v>169995</v>
      </c>
      <c r="G145" s="34">
        <v>50</v>
      </c>
      <c r="H145" s="32">
        <v>3399</v>
      </c>
      <c r="I145" s="50">
        <v>25</v>
      </c>
      <c r="J145" s="35">
        <f t="shared" si="25"/>
        <v>25</v>
      </c>
      <c r="K145" s="36">
        <f t="shared" si="23"/>
        <v>84975</v>
      </c>
      <c r="L145" s="36">
        <f t="shared" si="24"/>
        <v>85020</v>
      </c>
      <c r="M145" s="31"/>
    </row>
    <row r="146" spans="2:13" ht="18.75" x14ac:dyDescent="0.3">
      <c r="B146" s="34">
        <v>141</v>
      </c>
      <c r="C146" s="29" t="s">
        <v>168</v>
      </c>
      <c r="D146" s="33">
        <v>150000</v>
      </c>
      <c r="E146" s="33">
        <v>19995</v>
      </c>
      <c r="F146" s="32">
        <f t="shared" si="22"/>
        <v>169995</v>
      </c>
      <c r="G146" s="34">
        <v>50</v>
      </c>
      <c r="H146" s="32">
        <v>3399</v>
      </c>
      <c r="I146" s="50">
        <v>25</v>
      </c>
      <c r="J146" s="35">
        <f t="shared" si="25"/>
        <v>25</v>
      </c>
      <c r="K146" s="36">
        <f t="shared" si="23"/>
        <v>84975</v>
      </c>
      <c r="L146" s="36">
        <f t="shared" si="24"/>
        <v>85020</v>
      </c>
      <c r="M146" s="31"/>
    </row>
    <row r="147" spans="2:13" ht="18.75" x14ac:dyDescent="0.3">
      <c r="B147" s="34">
        <v>142</v>
      </c>
      <c r="C147" s="29" t="s">
        <v>181</v>
      </c>
      <c r="D147" s="33">
        <v>150000</v>
      </c>
      <c r="E147" s="33">
        <v>19995</v>
      </c>
      <c r="F147" s="32">
        <f t="shared" si="22"/>
        <v>169995</v>
      </c>
      <c r="G147" s="34">
        <v>50</v>
      </c>
      <c r="H147" s="32">
        <v>3399</v>
      </c>
      <c r="I147" s="50">
        <v>23</v>
      </c>
      <c r="J147" s="35">
        <f t="shared" si="25"/>
        <v>27</v>
      </c>
      <c r="K147" s="36">
        <f t="shared" si="23"/>
        <v>78177</v>
      </c>
      <c r="L147" s="36">
        <f t="shared" si="24"/>
        <v>91818</v>
      </c>
      <c r="M147" s="31"/>
    </row>
    <row r="148" spans="2:13" ht="18.75" x14ac:dyDescent="0.3">
      <c r="B148" s="34">
        <v>143</v>
      </c>
      <c r="C148" s="29" t="s">
        <v>52</v>
      </c>
      <c r="D148" s="33">
        <v>150000</v>
      </c>
      <c r="E148" s="33">
        <v>19995</v>
      </c>
      <c r="F148" s="32">
        <f t="shared" si="22"/>
        <v>169995</v>
      </c>
      <c r="G148" s="34">
        <v>50</v>
      </c>
      <c r="H148" s="32">
        <v>3399.9</v>
      </c>
      <c r="I148" s="50">
        <v>10</v>
      </c>
      <c r="J148" s="35">
        <f t="shared" si="25"/>
        <v>40</v>
      </c>
      <c r="K148" s="36">
        <f t="shared" si="23"/>
        <v>33999</v>
      </c>
      <c r="L148" s="36">
        <f t="shared" si="24"/>
        <v>135996</v>
      </c>
      <c r="M148" s="31"/>
    </row>
    <row r="149" spans="2:13" ht="18.75" x14ac:dyDescent="0.3">
      <c r="B149" s="34">
        <v>144</v>
      </c>
      <c r="C149" s="29" t="s">
        <v>53</v>
      </c>
      <c r="D149" s="33">
        <v>150000</v>
      </c>
      <c r="E149" s="33">
        <v>19995</v>
      </c>
      <c r="F149" s="32">
        <f t="shared" si="22"/>
        <v>169995</v>
      </c>
      <c r="G149" s="34">
        <v>50</v>
      </c>
      <c r="H149" s="32">
        <v>3399.9</v>
      </c>
      <c r="I149" s="50">
        <v>10</v>
      </c>
      <c r="J149" s="35">
        <f t="shared" si="25"/>
        <v>40</v>
      </c>
      <c r="K149" s="36">
        <f t="shared" si="23"/>
        <v>33999</v>
      </c>
      <c r="L149" s="36">
        <f t="shared" si="24"/>
        <v>135996</v>
      </c>
      <c r="M149" s="31"/>
    </row>
    <row r="150" spans="2:13" ht="18.75" x14ac:dyDescent="0.3">
      <c r="B150" s="34">
        <v>145</v>
      </c>
      <c r="C150" s="29" t="s">
        <v>250</v>
      </c>
      <c r="D150" s="33">
        <v>150000</v>
      </c>
      <c r="E150" s="33">
        <v>19995</v>
      </c>
      <c r="F150" s="32">
        <f t="shared" si="22"/>
        <v>169995</v>
      </c>
      <c r="G150" s="34">
        <v>50</v>
      </c>
      <c r="H150" s="32">
        <v>3399.9</v>
      </c>
      <c r="I150" s="50">
        <v>10</v>
      </c>
      <c r="J150" s="35">
        <f t="shared" si="25"/>
        <v>40</v>
      </c>
      <c r="K150" s="36">
        <f t="shared" si="23"/>
        <v>33999</v>
      </c>
      <c r="L150" s="36">
        <f t="shared" si="24"/>
        <v>135996</v>
      </c>
      <c r="M150" s="31"/>
    </row>
    <row r="151" spans="2:13" ht="18.75" x14ac:dyDescent="0.3">
      <c r="B151" s="34">
        <v>146</v>
      </c>
      <c r="C151" s="29" t="s">
        <v>51</v>
      </c>
      <c r="D151" s="33">
        <v>150000</v>
      </c>
      <c r="E151" s="33">
        <v>19995</v>
      </c>
      <c r="F151" s="32">
        <f t="shared" ref="F151:F156" si="26">D151+E151</f>
        <v>169995</v>
      </c>
      <c r="G151" s="34">
        <v>50</v>
      </c>
      <c r="H151" s="32">
        <v>3399.9</v>
      </c>
      <c r="I151" s="50">
        <v>10</v>
      </c>
      <c r="J151" s="35">
        <f t="shared" si="25"/>
        <v>40</v>
      </c>
      <c r="K151" s="36">
        <f t="shared" si="23"/>
        <v>33999</v>
      </c>
      <c r="L151" s="36">
        <f t="shared" si="24"/>
        <v>135996</v>
      </c>
      <c r="M151" s="31"/>
    </row>
    <row r="152" spans="2:13" ht="18.75" x14ac:dyDescent="0.3">
      <c r="B152" s="34">
        <v>147</v>
      </c>
      <c r="C152" s="29" t="s">
        <v>58</v>
      </c>
      <c r="D152" s="33">
        <v>150000</v>
      </c>
      <c r="E152" s="33">
        <v>19995</v>
      </c>
      <c r="F152" s="32">
        <f t="shared" si="26"/>
        <v>169995</v>
      </c>
      <c r="G152" s="34">
        <v>50</v>
      </c>
      <c r="H152" s="32">
        <v>3399.9</v>
      </c>
      <c r="I152" s="50">
        <v>8</v>
      </c>
      <c r="J152" s="35">
        <f t="shared" si="25"/>
        <v>42</v>
      </c>
      <c r="K152" s="36">
        <f t="shared" si="23"/>
        <v>27199.200000000001</v>
      </c>
      <c r="L152" s="36">
        <f t="shared" si="24"/>
        <v>142795.79999999999</v>
      </c>
      <c r="M152" s="31"/>
    </row>
    <row r="153" spans="2:13" ht="18.75" x14ac:dyDescent="0.3">
      <c r="B153" s="34">
        <v>148</v>
      </c>
      <c r="C153" s="29" t="s">
        <v>61</v>
      </c>
      <c r="D153" s="33">
        <v>150000</v>
      </c>
      <c r="E153" s="33">
        <v>19995</v>
      </c>
      <c r="F153" s="32">
        <f t="shared" si="26"/>
        <v>169995</v>
      </c>
      <c r="G153" s="34">
        <v>50</v>
      </c>
      <c r="H153" s="32">
        <v>3399.9</v>
      </c>
      <c r="I153" s="50">
        <v>8</v>
      </c>
      <c r="J153" s="35">
        <f t="shared" si="25"/>
        <v>42</v>
      </c>
      <c r="K153" s="36">
        <f t="shared" si="23"/>
        <v>27199.200000000001</v>
      </c>
      <c r="L153" s="36">
        <f t="shared" si="24"/>
        <v>142795.79999999999</v>
      </c>
      <c r="M153" s="31"/>
    </row>
    <row r="154" spans="2:13" ht="18.75" x14ac:dyDescent="0.3">
      <c r="B154" s="34">
        <v>149</v>
      </c>
      <c r="C154" s="29" t="s">
        <v>60</v>
      </c>
      <c r="D154" s="33">
        <v>150000</v>
      </c>
      <c r="E154" s="33">
        <v>19995</v>
      </c>
      <c r="F154" s="32">
        <f t="shared" si="26"/>
        <v>169995</v>
      </c>
      <c r="G154" s="34">
        <v>50</v>
      </c>
      <c r="H154" s="32">
        <v>3399.9</v>
      </c>
      <c r="I154" s="50">
        <v>8</v>
      </c>
      <c r="J154" s="35">
        <f t="shared" si="25"/>
        <v>42</v>
      </c>
      <c r="K154" s="36">
        <f t="shared" si="23"/>
        <v>27199.200000000001</v>
      </c>
      <c r="L154" s="36">
        <f t="shared" si="24"/>
        <v>142795.79999999999</v>
      </c>
      <c r="M154" s="31"/>
    </row>
    <row r="155" spans="2:13" ht="18.75" x14ac:dyDescent="0.3">
      <c r="B155" s="34">
        <v>150</v>
      </c>
      <c r="C155" s="29" t="s">
        <v>258</v>
      </c>
      <c r="D155" s="33">
        <v>150000</v>
      </c>
      <c r="E155" s="33">
        <v>19995</v>
      </c>
      <c r="F155" s="32">
        <f t="shared" si="26"/>
        <v>169995</v>
      </c>
      <c r="G155" s="34">
        <v>50</v>
      </c>
      <c r="H155" s="32">
        <v>3399.9</v>
      </c>
      <c r="I155" s="50">
        <v>5</v>
      </c>
      <c r="J155" s="35">
        <f t="shared" si="25"/>
        <v>45</v>
      </c>
      <c r="K155" s="36">
        <f t="shared" si="23"/>
        <v>16999.5</v>
      </c>
      <c r="L155" s="36">
        <f t="shared" si="24"/>
        <v>152995.5</v>
      </c>
      <c r="M155" s="31"/>
    </row>
    <row r="156" spans="2:13" ht="18.75" x14ac:dyDescent="0.3">
      <c r="B156" s="34">
        <v>151</v>
      </c>
      <c r="C156" s="66" t="s">
        <v>262</v>
      </c>
      <c r="D156" s="33">
        <v>150000</v>
      </c>
      <c r="E156" s="33">
        <v>19995</v>
      </c>
      <c r="F156" s="32">
        <f t="shared" si="26"/>
        <v>169995</v>
      </c>
      <c r="G156" s="34">
        <v>50</v>
      </c>
      <c r="H156" s="32">
        <v>3399.9</v>
      </c>
      <c r="I156" s="50">
        <v>3</v>
      </c>
      <c r="J156" s="35">
        <f t="shared" si="25"/>
        <v>47</v>
      </c>
      <c r="K156" s="36">
        <f t="shared" si="23"/>
        <v>10199.700000000001</v>
      </c>
      <c r="L156" s="36">
        <f t="shared" si="24"/>
        <v>159795.29999999999</v>
      </c>
      <c r="M156" s="31"/>
    </row>
    <row r="157" spans="2:13" ht="18.75" x14ac:dyDescent="0.3">
      <c r="B157" s="34">
        <v>152</v>
      </c>
      <c r="C157" s="66" t="s">
        <v>263</v>
      </c>
      <c r="D157" s="32">
        <v>330000</v>
      </c>
      <c r="E157" s="33">
        <v>43989</v>
      </c>
      <c r="F157" s="32">
        <f t="shared" ref="F157:F158" si="27">D157+E157</f>
        <v>373989</v>
      </c>
      <c r="G157" s="34">
        <v>50</v>
      </c>
      <c r="H157" s="32">
        <v>7479.78</v>
      </c>
      <c r="I157" s="50">
        <v>8</v>
      </c>
      <c r="J157" s="35">
        <f t="shared" si="25"/>
        <v>42</v>
      </c>
      <c r="K157" s="36">
        <f t="shared" si="23"/>
        <v>59838.239999999998</v>
      </c>
      <c r="L157" s="36">
        <f t="shared" si="24"/>
        <v>314150.76</v>
      </c>
      <c r="M157" s="31"/>
    </row>
    <row r="158" spans="2:13" ht="18.75" x14ac:dyDescent="0.3">
      <c r="B158" s="34">
        <v>153</v>
      </c>
      <c r="C158" s="66" t="s">
        <v>264</v>
      </c>
      <c r="D158" s="32">
        <v>330000</v>
      </c>
      <c r="E158" s="33">
        <v>43989</v>
      </c>
      <c r="F158" s="32">
        <f t="shared" si="27"/>
        <v>373989</v>
      </c>
      <c r="G158" s="34">
        <v>50</v>
      </c>
      <c r="H158" s="32">
        <v>7479.78</v>
      </c>
      <c r="I158" s="50">
        <v>8</v>
      </c>
      <c r="J158" s="35">
        <f t="shared" ref="J158:J165" si="28">G158-I158</f>
        <v>42</v>
      </c>
      <c r="K158" s="36">
        <f t="shared" ref="K158:K165" si="29">I158*H158</f>
        <v>59838.239999999998</v>
      </c>
      <c r="L158" s="36">
        <f t="shared" ref="L158:L165" si="30">F158-K158</f>
        <v>314150.76</v>
      </c>
      <c r="M158" s="31"/>
    </row>
    <row r="159" spans="2:13" ht="18.75" x14ac:dyDescent="0.3">
      <c r="B159" s="34">
        <v>154</v>
      </c>
      <c r="C159" s="66" t="s">
        <v>265</v>
      </c>
      <c r="D159" s="33">
        <v>450000</v>
      </c>
      <c r="E159" s="33">
        <v>59985</v>
      </c>
      <c r="F159" s="32">
        <f>D159+E159</f>
        <v>509985</v>
      </c>
      <c r="G159" s="34">
        <v>50</v>
      </c>
      <c r="H159" s="32">
        <v>10199.700000000001</v>
      </c>
      <c r="I159" s="50">
        <v>8</v>
      </c>
      <c r="J159" s="35">
        <f t="shared" si="28"/>
        <v>42</v>
      </c>
      <c r="K159" s="36">
        <f t="shared" si="29"/>
        <v>81597.600000000006</v>
      </c>
      <c r="L159" s="36">
        <f t="shared" si="30"/>
        <v>428387.4</v>
      </c>
      <c r="M159" s="31"/>
    </row>
    <row r="160" spans="2:13" ht="18.75" x14ac:dyDescent="0.3">
      <c r="B160" s="34">
        <v>155</v>
      </c>
      <c r="C160" s="66" t="s">
        <v>269</v>
      </c>
      <c r="D160" s="33"/>
      <c r="E160" s="33"/>
      <c r="F160" s="32">
        <v>90664</v>
      </c>
      <c r="G160" s="34">
        <v>8</v>
      </c>
      <c r="H160" s="32">
        <v>11333</v>
      </c>
      <c r="I160" s="50">
        <v>2</v>
      </c>
      <c r="J160" s="35">
        <f t="shared" si="28"/>
        <v>6</v>
      </c>
      <c r="K160" s="36">
        <f t="shared" si="29"/>
        <v>22666</v>
      </c>
      <c r="L160" s="36">
        <f t="shared" si="30"/>
        <v>67998</v>
      </c>
      <c r="M160" s="31"/>
    </row>
    <row r="161" spans="2:13" ht="18.75" x14ac:dyDescent="0.3">
      <c r="B161" s="34">
        <v>156</v>
      </c>
      <c r="C161" s="66" t="s">
        <v>270</v>
      </c>
      <c r="D161" s="33">
        <v>500000</v>
      </c>
      <c r="E161" s="33">
        <v>66650</v>
      </c>
      <c r="F161" s="32">
        <f>D161+E161</f>
        <v>566650</v>
      </c>
      <c r="G161" s="34">
        <v>50</v>
      </c>
      <c r="H161" s="32">
        <v>11333</v>
      </c>
      <c r="I161" s="50">
        <v>2</v>
      </c>
      <c r="J161" s="35">
        <f t="shared" si="28"/>
        <v>48</v>
      </c>
      <c r="K161" s="36">
        <f t="shared" si="29"/>
        <v>22666</v>
      </c>
      <c r="L161" s="36">
        <f t="shared" si="30"/>
        <v>543984</v>
      </c>
      <c r="M161" s="31"/>
    </row>
    <row r="162" spans="2:13" ht="18.75" x14ac:dyDescent="0.3">
      <c r="B162" s="34">
        <v>157</v>
      </c>
      <c r="C162" s="66" t="s">
        <v>271</v>
      </c>
      <c r="D162" s="32">
        <v>330000</v>
      </c>
      <c r="E162" s="33">
        <v>43989</v>
      </c>
      <c r="F162" s="32">
        <f t="shared" ref="F162:F165" si="31">D162+E162</f>
        <v>373989</v>
      </c>
      <c r="G162" s="34">
        <v>50</v>
      </c>
      <c r="H162" s="32">
        <v>7479.78</v>
      </c>
      <c r="I162" s="50">
        <v>2</v>
      </c>
      <c r="J162" s="35">
        <f t="shared" si="28"/>
        <v>48</v>
      </c>
      <c r="K162" s="36">
        <f t="shared" si="29"/>
        <v>14959.56</v>
      </c>
      <c r="L162" s="36">
        <f t="shared" si="30"/>
        <v>359029.44</v>
      </c>
      <c r="M162" s="31"/>
    </row>
    <row r="163" spans="2:13" ht="18.75" x14ac:dyDescent="0.3">
      <c r="B163" s="34">
        <v>158</v>
      </c>
      <c r="C163" s="66" t="s">
        <v>272</v>
      </c>
      <c r="D163" s="32">
        <v>330000</v>
      </c>
      <c r="E163" s="33">
        <v>43989</v>
      </c>
      <c r="F163" s="32">
        <f t="shared" si="31"/>
        <v>373989</v>
      </c>
      <c r="G163" s="34">
        <v>50</v>
      </c>
      <c r="H163" s="32">
        <v>7479.78</v>
      </c>
      <c r="I163" s="50">
        <v>2</v>
      </c>
      <c r="J163" s="35">
        <f t="shared" si="28"/>
        <v>48</v>
      </c>
      <c r="K163" s="36">
        <f t="shared" si="29"/>
        <v>14959.56</v>
      </c>
      <c r="L163" s="36">
        <f t="shared" si="30"/>
        <v>359029.44</v>
      </c>
      <c r="M163" s="31"/>
    </row>
    <row r="164" spans="2:13" ht="18.75" x14ac:dyDescent="0.3">
      <c r="B164" s="34">
        <v>159</v>
      </c>
      <c r="C164" s="66" t="s">
        <v>277</v>
      </c>
      <c r="D164" s="33">
        <v>150000</v>
      </c>
      <c r="E164" s="33">
        <v>19995</v>
      </c>
      <c r="F164" s="32">
        <f t="shared" si="31"/>
        <v>169995</v>
      </c>
      <c r="G164" s="34">
        <v>50</v>
      </c>
      <c r="H164" s="32">
        <v>3399.9</v>
      </c>
      <c r="I164" s="50">
        <v>1</v>
      </c>
      <c r="J164" s="35">
        <f t="shared" si="28"/>
        <v>49</v>
      </c>
      <c r="K164" s="36">
        <f t="shared" si="29"/>
        <v>3399.9</v>
      </c>
      <c r="L164" s="36">
        <f t="shared" si="30"/>
        <v>166595.1</v>
      </c>
      <c r="M164" s="53" t="s">
        <v>255</v>
      </c>
    </row>
    <row r="165" spans="2:13" ht="18.75" x14ac:dyDescent="0.3">
      <c r="B165" s="34">
        <v>160</v>
      </c>
      <c r="C165" s="66" t="s">
        <v>278</v>
      </c>
      <c r="D165" s="33">
        <v>150000</v>
      </c>
      <c r="E165" s="33">
        <v>19995</v>
      </c>
      <c r="F165" s="32">
        <f t="shared" si="31"/>
        <v>169995</v>
      </c>
      <c r="G165" s="34">
        <v>50</v>
      </c>
      <c r="H165" s="32">
        <v>3399.9</v>
      </c>
      <c r="I165" s="50">
        <v>1</v>
      </c>
      <c r="J165" s="35">
        <f t="shared" si="28"/>
        <v>49</v>
      </c>
      <c r="K165" s="36">
        <f t="shared" si="29"/>
        <v>3399.9</v>
      </c>
      <c r="L165" s="36">
        <f t="shared" si="30"/>
        <v>166595.1</v>
      </c>
      <c r="M165" s="53" t="s">
        <v>255</v>
      </c>
    </row>
    <row r="166" spans="2:13" s="57" customFormat="1" ht="18.75" x14ac:dyDescent="0.3">
      <c r="B166" s="71"/>
      <c r="C166" s="30" t="s">
        <v>296</v>
      </c>
      <c r="D166" s="72">
        <f>SUM(D6:D165)</f>
        <v>47060000</v>
      </c>
      <c r="E166" s="72">
        <f t="shared" ref="E166:F166" si="32">SUM(E6:E165)</f>
        <v>6238439.9199999999</v>
      </c>
      <c r="F166" s="72">
        <f t="shared" si="32"/>
        <v>53389103.920000002</v>
      </c>
      <c r="G166" s="71"/>
      <c r="H166" s="72">
        <f>SUM(H6:H165)</f>
        <v>1089990.3600000024</v>
      </c>
      <c r="I166" s="73"/>
      <c r="J166" s="74"/>
      <c r="K166" s="72">
        <f t="shared" ref="K166:L166" si="33">SUM(K6:K165)</f>
        <v>24649591.190000035</v>
      </c>
      <c r="L166" s="72">
        <f t="shared" si="33"/>
        <v>28834709.92999997</v>
      </c>
      <c r="M166" s="53"/>
    </row>
    <row r="167" spans="2:13" ht="18.75" x14ac:dyDescent="0.3">
      <c r="B167" s="34"/>
      <c r="C167" s="48"/>
      <c r="D167" s="43"/>
      <c r="E167" s="44"/>
      <c r="F167" s="43"/>
      <c r="G167" s="41"/>
      <c r="H167" s="43"/>
      <c r="I167" s="46"/>
      <c r="J167" s="47"/>
      <c r="K167" s="45"/>
      <c r="L167" s="45"/>
      <c r="M167" s="49"/>
    </row>
    <row r="168" spans="2:13" ht="18.75" x14ac:dyDescent="0.3">
      <c r="B168" s="9"/>
      <c r="C168" s="8" t="s">
        <v>217</v>
      </c>
      <c r="D168" s="9"/>
      <c r="E168" s="9"/>
      <c r="F168" s="9"/>
      <c r="G168" s="9"/>
      <c r="H168" s="9"/>
      <c r="I168" s="9"/>
      <c r="J168" s="9"/>
      <c r="K168" s="9"/>
      <c r="L168" s="9"/>
      <c r="M168" s="49"/>
    </row>
    <row r="169" spans="2:13" ht="18.75" x14ac:dyDescent="0.3">
      <c r="B169" s="34">
        <v>1</v>
      </c>
      <c r="C169" s="9" t="s">
        <v>160</v>
      </c>
      <c r="D169" s="12">
        <v>500000</v>
      </c>
      <c r="E169" s="12">
        <v>66650</v>
      </c>
      <c r="F169" s="12">
        <v>566650</v>
      </c>
      <c r="G169" s="14">
        <v>50</v>
      </c>
      <c r="H169" s="12">
        <v>11333</v>
      </c>
      <c r="I169" s="14">
        <v>28</v>
      </c>
      <c r="J169" s="35">
        <f t="shared" ref="J169:J182" si="34">G169-I169</f>
        <v>22</v>
      </c>
      <c r="K169" s="36">
        <f t="shared" ref="K169:K182" si="35">H169*I169</f>
        <v>317324</v>
      </c>
      <c r="L169" s="32">
        <f t="shared" ref="L169:L182" si="36">F169-K169</f>
        <v>249326</v>
      </c>
      <c r="M169" s="49"/>
    </row>
    <row r="170" spans="2:13" ht="18.75" x14ac:dyDescent="0.3">
      <c r="B170" s="34">
        <v>2</v>
      </c>
      <c r="C170" s="9" t="s">
        <v>164</v>
      </c>
      <c r="D170" s="12">
        <v>450000</v>
      </c>
      <c r="E170" s="12">
        <v>59985</v>
      </c>
      <c r="F170" s="12">
        <v>509985</v>
      </c>
      <c r="G170" s="14">
        <v>50</v>
      </c>
      <c r="H170" s="12">
        <v>10199.700000000001</v>
      </c>
      <c r="I170" s="14">
        <v>33</v>
      </c>
      <c r="J170" s="35">
        <f t="shared" si="34"/>
        <v>17</v>
      </c>
      <c r="K170" s="36">
        <f t="shared" si="35"/>
        <v>336590.10000000003</v>
      </c>
      <c r="L170" s="32">
        <f t="shared" si="36"/>
        <v>173394.89999999997</v>
      </c>
      <c r="M170" s="49"/>
    </row>
    <row r="171" spans="2:13" ht="18.75" x14ac:dyDescent="0.3">
      <c r="B171" s="34">
        <v>3</v>
      </c>
      <c r="C171" s="9" t="s">
        <v>184</v>
      </c>
      <c r="D171" s="12">
        <v>330000</v>
      </c>
      <c r="E171" s="12">
        <v>43989</v>
      </c>
      <c r="F171" s="12">
        <v>373989</v>
      </c>
      <c r="G171" s="14">
        <v>50</v>
      </c>
      <c r="H171" s="12">
        <v>7479.78</v>
      </c>
      <c r="I171" s="14">
        <v>46</v>
      </c>
      <c r="J171" s="35">
        <f t="shared" si="34"/>
        <v>4</v>
      </c>
      <c r="K171" s="36">
        <f t="shared" si="35"/>
        <v>344069.88</v>
      </c>
      <c r="L171" s="32">
        <f t="shared" si="36"/>
        <v>29919.119999999995</v>
      </c>
      <c r="M171" s="49"/>
    </row>
    <row r="172" spans="2:13" ht="18.75" x14ac:dyDescent="0.3">
      <c r="B172" s="34">
        <v>4</v>
      </c>
      <c r="C172" s="9" t="s">
        <v>180</v>
      </c>
      <c r="D172" s="12">
        <v>330000</v>
      </c>
      <c r="E172" s="12">
        <v>43989</v>
      </c>
      <c r="F172" s="12">
        <v>373989</v>
      </c>
      <c r="G172" s="14">
        <v>50</v>
      </c>
      <c r="H172" s="12">
        <v>7479.78</v>
      </c>
      <c r="I172" s="14">
        <v>28</v>
      </c>
      <c r="J172" s="35">
        <f t="shared" si="34"/>
        <v>22</v>
      </c>
      <c r="K172" s="36">
        <f t="shared" si="35"/>
        <v>209433.84</v>
      </c>
      <c r="L172" s="32">
        <f t="shared" si="36"/>
        <v>164555.16</v>
      </c>
      <c r="M172" s="49"/>
    </row>
    <row r="173" spans="2:13" ht="18.75" x14ac:dyDescent="0.3">
      <c r="B173" s="34">
        <v>5</v>
      </c>
      <c r="C173" s="9" t="s">
        <v>162</v>
      </c>
      <c r="D173" s="12">
        <v>150000</v>
      </c>
      <c r="E173" s="12">
        <v>19995</v>
      </c>
      <c r="F173" s="12">
        <v>169995</v>
      </c>
      <c r="G173" s="14">
        <v>50</v>
      </c>
      <c r="H173" s="12">
        <v>3399.9</v>
      </c>
      <c r="I173" s="14">
        <v>28</v>
      </c>
      <c r="J173" s="35">
        <f t="shared" si="34"/>
        <v>22</v>
      </c>
      <c r="K173" s="36">
        <f t="shared" si="35"/>
        <v>95197.2</v>
      </c>
      <c r="L173" s="32">
        <f t="shared" si="36"/>
        <v>74797.8</v>
      </c>
      <c r="M173" s="49"/>
    </row>
    <row r="174" spans="2:13" ht="18.75" x14ac:dyDescent="0.3">
      <c r="B174" s="34">
        <v>6</v>
      </c>
      <c r="C174" s="9" t="s">
        <v>163</v>
      </c>
      <c r="D174" s="12">
        <v>150000</v>
      </c>
      <c r="E174" s="12">
        <v>19995</v>
      </c>
      <c r="F174" s="12">
        <v>169995</v>
      </c>
      <c r="G174" s="14">
        <v>50</v>
      </c>
      <c r="H174" s="12">
        <v>3399.9</v>
      </c>
      <c r="I174" s="14">
        <v>28</v>
      </c>
      <c r="J174" s="35">
        <f t="shared" si="34"/>
        <v>22</v>
      </c>
      <c r="K174" s="36">
        <f t="shared" si="35"/>
        <v>95197.2</v>
      </c>
      <c r="L174" s="32">
        <f t="shared" si="36"/>
        <v>74797.8</v>
      </c>
      <c r="M174" s="49"/>
    </row>
    <row r="175" spans="2:13" ht="18.75" x14ac:dyDescent="0.3">
      <c r="B175" s="34">
        <v>7</v>
      </c>
      <c r="C175" s="9" t="s">
        <v>167</v>
      </c>
      <c r="D175" s="12">
        <v>150000</v>
      </c>
      <c r="E175" s="12">
        <v>19995</v>
      </c>
      <c r="F175" s="12">
        <v>169995</v>
      </c>
      <c r="G175" s="14">
        <v>50</v>
      </c>
      <c r="H175" s="12">
        <v>3399.9</v>
      </c>
      <c r="I175" s="14">
        <v>28</v>
      </c>
      <c r="J175" s="35">
        <f t="shared" si="34"/>
        <v>22</v>
      </c>
      <c r="K175" s="36">
        <f t="shared" si="35"/>
        <v>95197.2</v>
      </c>
      <c r="L175" s="32">
        <f t="shared" si="36"/>
        <v>74797.8</v>
      </c>
      <c r="M175" s="49"/>
    </row>
    <row r="176" spans="2:13" ht="18.75" x14ac:dyDescent="0.3">
      <c r="B176" s="34">
        <v>8</v>
      </c>
      <c r="C176" s="9" t="s">
        <v>186</v>
      </c>
      <c r="D176" s="12">
        <v>150000</v>
      </c>
      <c r="E176" s="12">
        <v>19995</v>
      </c>
      <c r="F176" s="12">
        <v>169995</v>
      </c>
      <c r="G176" s="14">
        <v>50</v>
      </c>
      <c r="H176" s="12">
        <v>3399.9</v>
      </c>
      <c r="I176" s="14">
        <v>28</v>
      </c>
      <c r="J176" s="35">
        <f t="shared" si="34"/>
        <v>22</v>
      </c>
      <c r="K176" s="36">
        <f t="shared" si="35"/>
        <v>95197.2</v>
      </c>
      <c r="L176" s="32">
        <f t="shared" si="36"/>
        <v>74797.8</v>
      </c>
      <c r="M176" s="49"/>
    </row>
    <row r="177" spans="2:14" ht="18.75" x14ac:dyDescent="0.3">
      <c r="B177" s="34">
        <v>9</v>
      </c>
      <c r="C177" s="9" t="s">
        <v>188</v>
      </c>
      <c r="D177" s="12">
        <v>150000</v>
      </c>
      <c r="E177" s="12">
        <v>19995</v>
      </c>
      <c r="F177" s="12">
        <v>169995</v>
      </c>
      <c r="G177" s="14">
        <v>50</v>
      </c>
      <c r="H177" s="12">
        <v>3399.9</v>
      </c>
      <c r="I177" s="14">
        <v>28</v>
      </c>
      <c r="J177" s="35">
        <f t="shared" si="34"/>
        <v>22</v>
      </c>
      <c r="K177" s="36">
        <f t="shared" si="35"/>
        <v>95197.2</v>
      </c>
      <c r="L177" s="32">
        <f t="shared" si="36"/>
        <v>74797.8</v>
      </c>
      <c r="M177" s="42"/>
    </row>
    <row r="178" spans="2:14" ht="18.75" x14ac:dyDescent="0.3">
      <c r="B178" s="34">
        <v>10</v>
      </c>
      <c r="C178" s="9" t="s">
        <v>166</v>
      </c>
      <c r="D178" s="12">
        <v>150000</v>
      </c>
      <c r="E178" s="12">
        <v>19995</v>
      </c>
      <c r="F178" s="12">
        <v>169995</v>
      </c>
      <c r="G178" s="14">
        <v>50</v>
      </c>
      <c r="H178" s="12">
        <v>3399.9</v>
      </c>
      <c r="I178" s="14">
        <v>28</v>
      </c>
      <c r="J178" s="35">
        <f t="shared" si="34"/>
        <v>22</v>
      </c>
      <c r="K178" s="36">
        <f t="shared" si="35"/>
        <v>95197.2</v>
      </c>
      <c r="L178" s="32">
        <f t="shared" si="36"/>
        <v>74797.8</v>
      </c>
      <c r="M178" s="42"/>
    </row>
    <row r="179" spans="2:14" ht="18.75" x14ac:dyDescent="0.3">
      <c r="B179" s="34">
        <v>11</v>
      </c>
      <c r="C179" s="9" t="s">
        <v>57</v>
      </c>
      <c r="D179" s="12">
        <v>450000</v>
      </c>
      <c r="E179" s="12">
        <v>59985</v>
      </c>
      <c r="F179" s="12">
        <v>509985</v>
      </c>
      <c r="G179" s="14">
        <v>50</v>
      </c>
      <c r="H179" s="12">
        <v>10199.700000000001</v>
      </c>
      <c r="I179" s="14">
        <v>7</v>
      </c>
      <c r="J179" s="35">
        <f t="shared" si="34"/>
        <v>43</v>
      </c>
      <c r="K179" s="36">
        <f t="shared" si="35"/>
        <v>71397.900000000009</v>
      </c>
      <c r="L179" s="32">
        <f t="shared" si="36"/>
        <v>438587.1</v>
      </c>
      <c r="M179" s="42"/>
    </row>
    <row r="180" spans="2:14" ht="18.75" x14ac:dyDescent="0.3">
      <c r="B180" s="34">
        <v>12</v>
      </c>
      <c r="C180" s="29" t="s">
        <v>179</v>
      </c>
      <c r="D180" s="33">
        <v>500000</v>
      </c>
      <c r="E180" s="33">
        <v>66650</v>
      </c>
      <c r="F180" s="32">
        <f t="shared" ref="F180" si="37">D180+E180</f>
        <v>566650</v>
      </c>
      <c r="G180" s="34">
        <v>50</v>
      </c>
      <c r="H180" s="32">
        <v>11333</v>
      </c>
      <c r="I180" s="81">
        <v>3</v>
      </c>
      <c r="J180" s="35">
        <f t="shared" si="34"/>
        <v>47</v>
      </c>
      <c r="K180" s="36">
        <f t="shared" si="35"/>
        <v>33999</v>
      </c>
      <c r="L180" s="32">
        <f t="shared" si="36"/>
        <v>532651</v>
      </c>
      <c r="M180" s="31"/>
      <c r="N180" s="23"/>
    </row>
    <row r="181" spans="2:14" ht="18.75" x14ac:dyDescent="0.3">
      <c r="B181" s="34">
        <v>13</v>
      </c>
      <c r="C181" s="29" t="s">
        <v>275</v>
      </c>
      <c r="D181" s="33">
        <v>500000</v>
      </c>
      <c r="E181" s="33">
        <v>66650</v>
      </c>
      <c r="F181" s="32">
        <f t="shared" ref="F181" si="38">D181+E181</f>
        <v>566650</v>
      </c>
      <c r="G181" s="34">
        <v>50</v>
      </c>
      <c r="H181" s="32">
        <v>11333</v>
      </c>
      <c r="I181" s="81">
        <v>1</v>
      </c>
      <c r="J181" s="35">
        <f t="shared" si="34"/>
        <v>49</v>
      </c>
      <c r="K181" s="36">
        <f t="shared" si="35"/>
        <v>11333</v>
      </c>
      <c r="L181" s="36">
        <f t="shared" si="36"/>
        <v>555317</v>
      </c>
      <c r="M181" s="31" t="s">
        <v>255</v>
      </c>
      <c r="N181" s="23"/>
    </row>
    <row r="182" spans="2:14" ht="18.75" x14ac:dyDescent="0.3">
      <c r="B182" s="34">
        <v>14</v>
      </c>
      <c r="C182" s="29" t="s">
        <v>185</v>
      </c>
      <c r="D182" s="32">
        <v>330000</v>
      </c>
      <c r="E182" s="33">
        <v>43989</v>
      </c>
      <c r="F182" s="32">
        <f>D182+E182</f>
        <v>373989</v>
      </c>
      <c r="G182" s="34">
        <v>50</v>
      </c>
      <c r="H182" s="32">
        <v>7479.78</v>
      </c>
      <c r="I182" s="81">
        <v>1</v>
      </c>
      <c r="J182" s="35">
        <f t="shared" si="34"/>
        <v>49</v>
      </c>
      <c r="K182" s="36">
        <f t="shared" si="35"/>
        <v>7479.78</v>
      </c>
      <c r="L182" s="36">
        <f t="shared" si="36"/>
        <v>366509.22</v>
      </c>
      <c r="M182" s="31" t="s">
        <v>255</v>
      </c>
      <c r="N182" s="23"/>
    </row>
    <row r="183" spans="2:14" ht="18.75" x14ac:dyDescent="0.3">
      <c r="B183" s="34">
        <v>15</v>
      </c>
      <c r="C183" s="29" t="s">
        <v>276</v>
      </c>
      <c r="D183" s="33">
        <v>150000</v>
      </c>
      <c r="E183" s="33">
        <v>19995</v>
      </c>
      <c r="F183" s="32">
        <f t="shared" ref="F183" si="39">D183+E183</f>
        <v>169995</v>
      </c>
      <c r="G183" s="34">
        <v>50</v>
      </c>
      <c r="H183" s="32">
        <v>3399.9</v>
      </c>
      <c r="I183" s="81">
        <v>1</v>
      </c>
      <c r="J183" s="35">
        <f t="shared" ref="J183" si="40">G183-I183</f>
        <v>49</v>
      </c>
      <c r="K183" s="36">
        <f t="shared" ref="K183" si="41">H183*I183</f>
        <v>3399.9</v>
      </c>
      <c r="L183" s="36">
        <f t="shared" ref="L183" si="42">F183-K183</f>
        <v>166595.1</v>
      </c>
      <c r="M183" s="31" t="s">
        <v>255</v>
      </c>
      <c r="N183" s="23"/>
    </row>
    <row r="184" spans="2:14" s="57" customFormat="1" ht="18.75" x14ac:dyDescent="0.3">
      <c r="B184" s="86"/>
      <c r="C184" s="30" t="s">
        <v>38</v>
      </c>
      <c r="D184" s="72">
        <f>SUM(D169:D183)</f>
        <v>4440000</v>
      </c>
      <c r="E184" s="72">
        <f t="shared" ref="E184:F184" si="43">SUM(E169:E183)</f>
        <v>591852</v>
      </c>
      <c r="F184" s="72">
        <f t="shared" si="43"/>
        <v>5031852</v>
      </c>
      <c r="G184" s="71"/>
      <c r="H184" s="72">
        <f>SUM(H169:H183)</f>
        <v>100637.04000000001</v>
      </c>
      <c r="I184" s="73"/>
      <c r="J184" s="74"/>
      <c r="K184" s="72">
        <f t="shared" ref="K184:L184" si="44">SUM(K169:K183)</f>
        <v>1906210.5999999996</v>
      </c>
      <c r="L184" s="72">
        <f t="shared" si="44"/>
        <v>3125641.4</v>
      </c>
      <c r="M184" s="53"/>
    </row>
    <row r="185" spans="2:14" ht="18.75" x14ac:dyDescent="0.3">
      <c r="B185" s="41"/>
      <c r="C185" s="29"/>
      <c r="D185" s="33"/>
      <c r="E185" s="33"/>
      <c r="F185" s="32"/>
      <c r="G185" s="34"/>
      <c r="H185" s="32"/>
      <c r="I185" s="50"/>
      <c r="J185" s="35"/>
      <c r="K185" s="36"/>
      <c r="L185" s="36"/>
      <c r="M185" s="31"/>
    </row>
    <row r="186" spans="2:14" ht="18.75" x14ac:dyDescent="0.3">
      <c r="B186" s="7">
        <f>B183+B165</f>
        <v>175</v>
      </c>
      <c r="C186" s="30" t="s">
        <v>38</v>
      </c>
      <c r="D186" s="17">
        <f>D184+D166</f>
        <v>51500000</v>
      </c>
      <c r="E186" s="17">
        <f t="shared" ref="E186:F186" si="45">E184+E166</f>
        <v>6830291.9199999999</v>
      </c>
      <c r="F186" s="17">
        <f t="shared" si="45"/>
        <v>58420955.920000002</v>
      </c>
      <c r="G186" s="17"/>
      <c r="H186" s="17">
        <f>H184+H166</f>
        <v>1190627.4000000025</v>
      </c>
      <c r="I186" s="17"/>
      <c r="J186" s="17"/>
      <c r="K186" s="17">
        <f t="shared" ref="K186:L186" si="46">K184+K166</f>
        <v>26555801.790000036</v>
      </c>
      <c r="L186" s="17">
        <f t="shared" si="46"/>
        <v>31960351.329999968</v>
      </c>
      <c r="M186" s="9"/>
    </row>
    <row r="190" spans="2:14" ht="18.75" x14ac:dyDescent="0.3">
      <c r="B190" s="1"/>
      <c r="C190" s="8" t="s">
        <v>280</v>
      </c>
      <c r="D190" s="12"/>
      <c r="E190" s="12"/>
      <c r="F190" s="12"/>
      <c r="G190" s="12"/>
      <c r="H190" s="12"/>
      <c r="I190" s="12"/>
      <c r="J190" s="12"/>
      <c r="K190" s="12"/>
      <c r="L190" s="12"/>
      <c r="M190" s="1"/>
    </row>
    <row r="191" spans="2:14" ht="39" customHeight="1" x14ac:dyDescent="0.3">
      <c r="B191" s="7" t="s">
        <v>2</v>
      </c>
      <c r="C191" s="7" t="s">
        <v>0</v>
      </c>
      <c r="D191" s="8" t="s">
        <v>3</v>
      </c>
      <c r="E191" s="8" t="s">
        <v>4</v>
      </c>
      <c r="F191" s="8" t="s">
        <v>1</v>
      </c>
      <c r="G191" s="10" t="s">
        <v>11</v>
      </c>
      <c r="H191" s="10" t="s">
        <v>10</v>
      </c>
      <c r="I191" s="11" t="s">
        <v>5</v>
      </c>
      <c r="J191" s="11" t="s">
        <v>6</v>
      </c>
      <c r="K191" s="10" t="s">
        <v>7</v>
      </c>
      <c r="L191" s="10" t="s">
        <v>8</v>
      </c>
      <c r="M191" s="10" t="s">
        <v>9</v>
      </c>
    </row>
    <row r="192" spans="2:14" ht="18.75" x14ac:dyDescent="0.3">
      <c r="B192" s="88">
        <v>1</v>
      </c>
      <c r="C192" s="66" t="s">
        <v>281</v>
      </c>
      <c r="D192" s="33">
        <v>450000</v>
      </c>
      <c r="E192" s="33">
        <v>59985</v>
      </c>
      <c r="F192" s="32">
        <f>D192+E192</f>
        <v>509985</v>
      </c>
      <c r="G192" s="34">
        <v>50</v>
      </c>
      <c r="H192" s="87">
        <v>10199.700000000001</v>
      </c>
      <c r="I192" s="9">
        <v>50</v>
      </c>
      <c r="J192" s="9">
        <f>G192-I192</f>
        <v>0</v>
      </c>
      <c r="K192" s="92">
        <f>H192*I192</f>
        <v>509985.00000000006</v>
      </c>
      <c r="L192" s="32">
        <f t="shared" ref="L192:L193" si="47">F192-K192</f>
        <v>0</v>
      </c>
      <c r="M192" s="9" t="s">
        <v>282</v>
      </c>
    </row>
    <row r="193" spans="2:13" ht="18.75" x14ac:dyDescent="0.3">
      <c r="B193" s="88">
        <v>2</v>
      </c>
      <c r="C193" s="66" t="s">
        <v>295</v>
      </c>
      <c r="D193" s="12">
        <v>150000</v>
      </c>
      <c r="E193" s="12">
        <v>19995</v>
      </c>
      <c r="F193" s="12">
        <v>169995</v>
      </c>
      <c r="G193" s="14">
        <v>50</v>
      </c>
      <c r="H193" s="90">
        <v>3399.9</v>
      </c>
      <c r="I193" s="9">
        <v>34</v>
      </c>
      <c r="J193" s="9">
        <f>G193-I193</f>
        <v>16</v>
      </c>
      <c r="K193" s="92">
        <f>H193*I193</f>
        <v>115596.6</v>
      </c>
      <c r="L193" s="32">
        <f t="shared" si="47"/>
        <v>54398.399999999994</v>
      </c>
      <c r="M193" s="89"/>
    </row>
    <row r="194" spans="2:13" ht="18.75" x14ac:dyDescent="0.3">
      <c r="B194" s="1"/>
      <c r="C194" s="30" t="s">
        <v>38</v>
      </c>
      <c r="D194" s="107">
        <f>SUM(D192:D193)</f>
        <v>600000</v>
      </c>
      <c r="E194" s="107">
        <f t="shared" ref="E194:F194" si="48">SUM(E192:E193)</f>
        <v>79980</v>
      </c>
      <c r="F194" s="107">
        <f t="shared" si="48"/>
        <v>679980</v>
      </c>
      <c r="G194" s="1"/>
      <c r="H194" s="107">
        <f>SUM(H192:H193)</f>
        <v>13599.6</v>
      </c>
      <c r="I194" s="1"/>
      <c r="J194" s="1"/>
      <c r="K194" s="107">
        <f t="shared" ref="K194:L194" si="49">SUM(K192:K193)</f>
        <v>625581.60000000009</v>
      </c>
      <c r="L194" s="107">
        <f t="shared" si="49"/>
        <v>54398.399999999994</v>
      </c>
      <c r="M194" s="1"/>
    </row>
    <row r="195" spans="2:13" x14ac:dyDescent="0.25"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</row>
    <row r="196" spans="2:13" x14ac:dyDescent="0.25"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</row>
    <row r="197" spans="2:13" ht="18.75" x14ac:dyDescent="0.3">
      <c r="B197" s="1"/>
      <c r="C197" s="30" t="s">
        <v>279</v>
      </c>
      <c r="D197" s="83">
        <f>D194+D186</f>
        <v>52100000</v>
      </c>
      <c r="E197" s="83">
        <f t="shared" ref="E197:F197" si="50">E194+E186</f>
        <v>6910271.9199999999</v>
      </c>
      <c r="F197" s="83">
        <f t="shared" si="50"/>
        <v>59100935.920000002</v>
      </c>
      <c r="G197" s="1"/>
      <c r="H197" s="83">
        <f>H194+H186</f>
        <v>1204227.0000000026</v>
      </c>
      <c r="I197" s="1"/>
      <c r="J197" s="1"/>
      <c r="K197" s="83">
        <f t="shared" ref="K197:L197" si="51">K194+K186</f>
        <v>27181383.390000038</v>
      </c>
      <c r="L197" s="83">
        <f t="shared" si="51"/>
        <v>32014749.729999967</v>
      </c>
      <c r="M197" s="1"/>
    </row>
  </sheetData>
  <pageMargins left="0.7" right="0.7" top="0.75" bottom="0.75" header="0.3" footer="0.3"/>
  <pageSetup paperSize="5" scale="55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211"/>
  <sheetViews>
    <sheetView tabSelected="1" workbookViewId="0">
      <selection activeCell="B2" sqref="B2:M211"/>
    </sheetView>
  </sheetViews>
  <sheetFormatPr defaultRowHeight="15" x14ac:dyDescent="0.25"/>
  <cols>
    <col min="3" max="3" width="44.85546875" customWidth="1"/>
    <col min="4" max="4" width="20.42578125" customWidth="1"/>
    <col min="5" max="5" width="18.28515625" customWidth="1"/>
    <col min="6" max="6" width="21.28515625" customWidth="1"/>
    <col min="7" max="7" width="13.140625" customWidth="1"/>
    <col min="8" max="8" width="18.42578125" customWidth="1"/>
    <col min="9" max="9" width="15.140625" customWidth="1"/>
    <col min="10" max="10" width="14.28515625" customWidth="1"/>
    <col min="11" max="11" width="21.42578125" customWidth="1"/>
    <col min="12" max="13" width="21" customWidth="1"/>
  </cols>
  <sheetData>
    <row r="2" spans="2:13" ht="21" x14ac:dyDescent="0.35">
      <c r="B2" s="98"/>
      <c r="C2" s="99" t="s">
        <v>12</v>
      </c>
      <c r="D2" s="98"/>
      <c r="E2" s="99"/>
      <c r="F2" s="99"/>
      <c r="G2" s="98"/>
      <c r="H2" s="9"/>
      <c r="I2" s="9"/>
      <c r="J2" s="9"/>
      <c r="K2" s="9"/>
      <c r="L2" s="9"/>
      <c r="M2" s="9"/>
    </row>
    <row r="3" spans="2:13" ht="21" x14ac:dyDescent="0.35">
      <c r="B3" s="98"/>
      <c r="C3" s="99" t="s">
        <v>298</v>
      </c>
      <c r="D3" s="98"/>
      <c r="E3" s="99"/>
      <c r="F3" s="99"/>
      <c r="G3" s="99"/>
      <c r="H3" s="9"/>
      <c r="I3" s="9"/>
      <c r="J3" s="9"/>
      <c r="K3" s="9"/>
      <c r="L3" s="9"/>
      <c r="M3" s="9"/>
    </row>
    <row r="4" spans="2:13" ht="18.75" x14ac:dyDescent="0.3"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</row>
    <row r="5" spans="2:13" ht="37.5" x14ac:dyDescent="0.3">
      <c r="B5" s="7" t="s">
        <v>2</v>
      </c>
      <c r="C5" s="7" t="s">
        <v>0</v>
      </c>
      <c r="D5" s="8" t="s">
        <v>3</v>
      </c>
      <c r="E5" s="8" t="s">
        <v>4</v>
      </c>
      <c r="F5" s="8" t="s">
        <v>1</v>
      </c>
      <c r="G5" s="10" t="s">
        <v>11</v>
      </c>
      <c r="H5" s="10" t="s">
        <v>10</v>
      </c>
      <c r="I5" s="11" t="s">
        <v>5</v>
      </c>
      <c r="J5" s="11" t="s">
        <v>6</v>
      </c>
      <c r="K5" s="10" t="s">
        <v>7</v>
      </c>
      <c r="L5" s="10" t="s">
        <v>8</v>
      </c>
      <c r="M5" s="10" t="s">
        <v>9</v>
      </c>
    </row>
    <row r="6" spans="2:13" ht="18.75" x14ac:dyDescent="0.3">
      <c r="B6" s="34">
        <v>1</v>
      </c>
      <c r="C6" s="31" t="s">
        <v>191</v>
      </c>
      <c r="D6" s="33">
        <v>500000</v>
      </c>
      <c r="E6" s="33">
        <v>66650</v>
      </c>
      <c r="F6" s="32">
        <f t="shared" ref="F6:F62" si="0">D6+E6</f>
        <v>566650</v>
      </c>
      <c r="G6" s="34">
        <v>50</v>
      </c>
      <c r="H6" s="32">
        <v>11333</v>
      </c>
      <c r="I6" s="31">
        <v>35</v>
      </c>
      <c r="J6" s="35">
        <f t="shared" ref="J6:J69" si="1">G6-I6</f>
        <v>15</v>
      </c>
      <c r="K6" s="33">
        <f t="shared" ref="K6:K13" si="2">H6*I6</f>
        <v>396655</v>
      </c>
      <c r="L6" s="36">
        <f t="shared" ref="L6:L69" si="3">F6-K6</f>
        <v>169995</v>
      </c>
      <c r="M6" s="31"/>
    </row>
    <row r="7" spans="2:13" ht="18.75" x14ac:dyDescent="0.3">
      <c r="B7" s="34">
        <v>2</v>
      </c>
      <c r="C7" s="31" t="s">
        <v>192</v>
      </c>
      <c r="D7" s="33">
        <v>500000</v>
      </c>
      <c r="E7" s="33">
        <v>66650</v>
      </c>
      <c r="F7" s="32">
        <f t="shared" si="0"/>
        <v>566650</v>
      </c>
      <c r="G7" s="34">
        <v>50</v>
      </c>
      <c r="H7" s="32">
        <v>11333</v>
      </c>
      <c r="I7" s="31">
        <v>35</v>
      </c>
      <c r="J7" s="35">
        <f t="shared" si="1"/>
        <v>15</v>
      </c>
      <c r="K7" s="33">
        <f t="shared" si="2"/>
        <v>396655</v>
      </c>
      <c r="L7" s="36">
        <f t="shared" si="3"/>
        <v>169995</v>
      </c>
      <c r="M7" s="31"/>
    </row>
    <row r="8" spans="2:13" ht="18.75" x14ac:dyDescent="0.3">
      <c r="B8" s="34">
        <v>3</v>
      </c>
      <c r="C8" s="31" t="s">
        <v>97</v>
      </c>
      <c r="D8" s="33">
        <v>500000</v>
      </c>
      <c r="E8" s="33">
        <v>66650</v>
      </c>
      <c r="F8" s="32">
        <f t="shared" si="0"/>
        <v>566650</v>
      </c>
      <c r="G8" s="34">
        <v>50</v>
      </c>
      <c r="H8" s="32">
        <v>11333</v>
      </c>
      <c r="I8" s="31">
        <v>50</v>
      </c>
      <c r="J8" s="35">
        <f t="shared" si="1"/>
        <v>0</v>
      </c>
      <c r="K8" s="36">
        <f t="shared" si="2"/>
        <v>566650</v>
      </c>
      <c r="L8" s="32">
        <f t="shared" si="3"/>
        <v>0</v>
      </c>
      <c r="M8" s="31"/>
    </row>
    <row r="9" spans="2:13" ht="18.75" x14ac:dyDescent="0.3">
      <c r="B9" s="34">
        <v>4</v>
      </c>
      <c r="C9" s="31" t="s">
        <v>105</v>
      </c>
      <c r="D9" s="33">
        <v>500000</v>
      </c>
      <c r="E9" s="33">
        <v>66650</v>
      </c>
      <c r="F9" s="32">
        <f t="shared" si="0"/>
        <v>566650</v>
      </c>
      <c r="G9" s="34">
        <v>50</v>
      </c>
      <c r="H9" s="32">
        <v>11333</v>
      </c>
      <c r="I9" s="31">
        <v>50</v>
      </c>
      <c r="J9" s="35">
        <f t="shared" si="1"/>
        <v>0</v>
      </c>
      <c r="K9" s="36">
        <f t="shared" si="2"/>
        <v>566650</v>
      </c>
      <c r="L9" s="32">
        <f t="shared" si="3"/>
        <v>0</v>
      </c>
      <c r="M9" s="31"/>
    </row>
    <row r="10" spans="2:13" ht="18.75" x14ac:dyDescent="0.3">
      <c r="B10" s="34">
        <v>5</v>
      </c>
      <c r="C10" s="31" t="s">
        <v>195</v>
      </c>
      <c r="D10" s="33">
        <v>500000</v>
      </c>
      <c r="E10" s="33">
        <v>66650</v>
      </c>
      <c r="F10" s="32">
        <f t="shared" si="0"/>
        <v>566650</v>
      </c>
      <c r="G10" s="34">
        <v>50</v>
      </c>
      <c r="H10" s="32">
        <v>11333</v>
      </c>
      <c r="I10" s="31">
        <v>50</v>
      </c>
      <c r="J10" s="35">
        <f t="shared" si="1"/>
        <v>0</v>
      </c>
      <c r="K10" s="36">
        <f t="shared" si="2"/>
        <v>566650</v>
      </c>
      <c r="L10" s="32">
        <f t="shared" si="3"/>
        <v>0</v>
      </c>
      <c r="M10" s="31"/>
    </row>
    <row r="11" spans="2:13" ht="18.75" x14ac:dyDescent="0.3">
      <c r="B11" s="34">
        <v>6</v>
      </c>
      <c r="C11" s="31" t="s">
        <v>108</v>
      </c>
      <c r="D11" s="33">
        <v>500000</v>
      </c>
      <c r="E11" s="33">
        <v>66650</v>
      </c>
      <c r="F11" s="32">
        <f t="shared" si="0"/>
        <v>566650</v>
      </c>
      <c r="G11" s="34">
        <v>50</v>
      </c>
      <c r="H11" s="36">
        <v>11333</v>
      </c>
      <c r="I11" s="31">
        <v>35</v>
      </c>
      <c r="J11" s="35">
        <f t="shared" si="1"/>
        <v>15</v>
      </c>
      <c r="K11" s="36">
        <f t="shared" si="2"/>
        <v>396655</v>
      </c>
      <c r="L11" s="36">
        <f t="shared" si="3"/>
        <v>169995</v>
      </c>
      <c r="M11" s="31"/>
    </row>
    <row r="12" spans="2:13" ht="18.75" x14ac:dyDescent="0.3">
      <c r="B12" s="34">
        <v>7</v>
      </c>
      <c r="C12" s="31" t="s">
        <v>171</v>
      </c>
      <c r="D12" s="33">
        <v>500000</v>
      </c>
      <c r="E12" s="33">
        <v>66650</v>
      </c>
      <c r="F12" s="32">
        <f t="shared" si="0"/>
        <v>566650</v>
      </c>
      <c r="G12" s="34">
        <v>50</v>
      </c>
      <c r="H12" s="36">
        <v>11333</v>
      </c>
      <c r="I12" s="31">
        <v>34</v>
      </c>
      <c r="J12" s="35">
        <f t="shared" si="1"/>
        <v>16</v>
      </c>
      <c r="K12" s="36">
        <f t="shared" si="2"/>
        <v>385322</v>
      </c>
      <c r="L12" s="36">
        <f t="shared" si="3"/>
        <v>181328</v>
      </c>
      <c r="M12" s="31"/>
    </row>
    <row r="13" spans="2:13" ht="18.75" x14ac:dyDescent="0.3">
      <c r="B13" s="34">
        <v>8</v>
      </c>
      <c r="C13" s="31" t="s">
        <v>123</v>
      </c>
      <c r="D13" s="33">
        <v>500000</v>
      </c>
      <c r="E13" s="33">
        <v>66650</v>
      </c>
      <c r="F13" s="32">
        <f t="shared" si="0"/>
        <v>566650</v>
      </c>
      <c r="G13" s="34">
        <v>50</v>
      </c>
      <c r="H13" s="36">
        <v>11333</v>
      </c>
      <c r="I13" s="31">
        <v>35</v>
      </c>
      <c r="J13" s="35">
        <f t="shared" si="1"/>
        <v>15</v>
      </c>
      <c r="K13" s="36">
        <f t="shared" si="2"/>
        <v>396655</v>
      </c>
      <c r="L13" s="36">
        <f t="shared" si="3"/>
        <v>169995</v>
      </c>
      <c r="M13" s="31"/>
    </row>
    <row r="14" spans="2:13" ht="18.75" x14ac:dyDescent="0.3">
      <c r="B14" s="34">
        <v>9</v>
      </c>
      <c r="C14" s="31" t="s">
        <v>144</v>
      </c>
      <c r="D14" s="33">
        <v>500000</v>
      </c>
      <c r="E14" s="33">
        <v>66650</v>
      </c>
      <c r="F14" s="32">
        <f t="shared" si="0"/>
        <v>566650</v>
      </c>
      <c r="G14" s="34">
        <v>50</v>
      </c>
      <c r="H14" s="32">
        <v>11333</v>
      </c>
      <c r="I14" s="31">
        <v>30</v>
      </c>
      <c r="J14" s="35">
        <f t="shared" si="1"/>
        <v>20</v>
      </c>
      <c r="K14" s="36">
        <f t="shared" ref="K14:K22" si="4">I14*H14</f>
        <v>339990</v>
      </c>
      <c r="L14" s="36">
        <f t="shared" si="3"/>
        <v>226660</v>
      </c>
      <c r="M14" s="31"/>
    </row>
    <row r="15" spans="2:13" ht="18.75" x14ac:dyDescent="0.3">
      <c r="B15" s="34">
        <v>10</v>
      </c>
      <c r="C15" s="31" t="s">
        <v>145</v>
      </c>
      <c r="D15" s="33">
        <v>500000</v>
      </c>
      <c r="E15" s="33">
        <v>66650</v>
      </c>
      <c r="F15" s="32">
        <f t="shared" si="0"/>
        <v>566650</v>
      </c>
      <c r="G15" s="34">
        <v>50</v>
      </c>
      <c r="H15" s="32">
        <v>11333</v>
      </c>
      <c r="I15" s="31">
        <v>30</v>
      </c>
      <c r="J15" s="35">
        <f t="shared" si="1"/>
        <v>20</v>
      </c>
      <c r="K15" s="36">
        <f t="shared" si="4"/>
        <v>339990</v>
      </c>
      <c r="L15" s="36">
        <f t="shared" si="3"/>
        <v>226660</v>
      </c>
      <c r="M15" s="31"/>
    </row>
    <row r="16" spans="2:13" ht="18.75" x14ac:dyDescent="0.3">
      <c r="B16" s="34">
        <v>11</v>
      </c>
      <c r="C16" s="50" t="s">
        <v>154</v>
      </c>
      <c r="D16" s="33">
        <v>500000</v>
      </c>
      <c r="E16" s="33">
        <v>31991.919999999998</v>
      </c>
      <c r="F16" s="32">
        <f t="shared" si="0"/>
        <v>531991.92000000004</v>
      </c>
      <c r="G16" s="34">
        <v>24</v>
      </c>
      <c r="H16" s="32">
        <v>22166.33</v>
      </c>
      <c r="I16" s="50">
        <v>24</v>
      </c>
      <c r="J16" s="35">
        <f t="shared" si="1"/>
        <v>0</v>
      </c>
      <c r="K16" s="36">
        <f t="shared" si="4"/>
        <v>531991.92000000004</v>
      </c>
      <c r="L16" s="36">
        <f t="shared" si="3"/>
        <v>0</v>
      </c>
      <c r="M16" s="31"/>
    </row>
    <row r="17" spans="2:13" ht="18.75" x14ac:dyDescent="0.3">
      <c r="B17" s="34">
        <v>12</v>
      </c>
      <c r="C17" s="50" t="s">
        <v>208</v>
      </c>
      <c r="D17" s="33">
        <v>500000</v>
      </c>
      <c r="E17" s="33">
        <v>66650</v>
      </c>
      <c r="F17" s="32">
        <f t="shared" si="0"/>
        <v>566650</v>
      </c>
      <c r="G17" s="34">
        <v>50</v>
      </c>
      <c r="H17" s="32">
        <v>11333</v>
      </c>
      <c r="I17" s="50">
        <v>21</v>
      </c>
      <c r="J17" s="35">
        <f t="shared" si="1"/>
        <v>29</v>
      </c>
      <c r="K17" s="36">
        <f t="shared" si="4"/>
        <v>237993</v>
      </c>
      <c r="L17" s="36">
        <f t="shared" si="3"/>
        <v>328657</v>
      </c>
      <c r="M17" s="31"/>
    </row>
    <row r="18" spans="2:13" ht="18.75" x14ac:dyDescent="0.3">
      <c r="B18" s="34">
        <v>13</v>
      </c>
      <c r="C18" s="50" t="s">
        <v>14</v>
      </c>
      <c r="D18" s="33">
        <v>500000</v>
      </c>
      <c r="E18" s="33">
        <v>66650</v>
      </c>
      <c r="F18" s="32">
        <f t="shared" si="0"/>
        <v>566650</v>
      </c>
      <c r="G18" s="34">
        <v>50</v>
      </c>
      <c r="H18" s="32">
        <v>11333</v>
      </c>
      <c r="I18" s="50">
        <v>19</v>
      </c>
      <c r="J18" s="35">
        <f t="shared" si="1"/>
        <v>31</v>
      </c>
      <c r="K18" s="36">
        <f t="shared" si="4"/>
        <v>215327</v>
      </c>
      <c r="L18" s="36">
        <f t="shared" si="3"/>
        <v>351323</v>
      </c>
      <c r="M18" s="31"/>
    </row>
    <row r="19" spans="2:13" ht="18.75" x14ac:dyDescent="0.3">
      <c r="B19" s="34">
        <v>14</v>
      </c>
      <c r="C19" s="50" t="s">
        <v>15</v>
      </c>
      <c r="D19" s="33">
        <v>500000</v>
      </c>
      <c r="E19" s="33">
        <v>66650</v>
      </c>
      <c r="F19" s="32">
        <f t="shared" si="0"/>
        <v>566650</v>
      </c>
      <c r="G19" s="34">
        <v>50</v>
      </c>
      <c r="H19" s="32">
        <v>11333</v>
      </c>
      <c r="I19" s="50">
        <v>19</v>
      </c>
      <c r="J19" s="35">
        <f t="shared" si="1"/>
        <v>31</v>
      </c>
      <c r="K19" s="36">
        <f t="shared" si="4"/>
        <v>215327</v>
      </c>
      <c r="L19" s="36">
        <f t="shared" si="3"/>
        <v>351323</v>
      </c>
      <c r="M19" s="31"/>
    </row>
    <row r="20" spans="2:13" ht="18.75" x14ac:dyDescent="0.3">
      <c r="B20" s="34">
        <v>15</v>
      </c>
      <c r="C20" s="50" t="s">
        <v>16</v>
      </c>
      <c r="D20" s="33">
        <v>500000</v>
      </c>
      <c r="E20" s="33">
        <v>66650</v>
      </c>
      <c r="F20" s="32">
        <f t="shared" si="0"/>
        <v>566650</v>
      </c>
      <c r="G20" s="34">
        <v>50</v>
      </c>
      <c r="H20" s="32">
        <v>11333</v>
      </c>
      <c r="I20" s="50">
        <v>19</v>
      </c>
      <c r="J20" s="35">
        <f t="shared" si="1"/>
        <v>31</v>
      </c>
      <c r="K20" s="36">
        <f t="shared" si="4"/>
        <v>215327</v>
      </c>
      <c r="L20" s="36">
        <f t="shared" si="3"/>
        <v>351323</v>
      </c>
      <c r="M20" s="31"/>
    </row>
    <row r="21" spans="2:13" ht="18.75" x14ac:dyDescent="0.3">
      <c r="B21" s="34">
        <v>16</v>
      </c>
      <c r="C21" s="50" t="s">
        <v>232</v>
      </c>
      <c r="D21" s="33">
        <v>500000</v>
      </c>
      <c r="E21" s="33">
        <v>66650</v>
      </c>
      <c r="F21" s="32">
        <f t="shared" si="0"/>
        <v>566650</v>
      </c>
      <c r="G21" s="34">
        <v>50</v>
      </c>
      <c r="H21" s="32">
        <v>11333</v>
      </c>
      <c r="I21" s="50">
        <v>16</v>
      </c>
      <c r="J21" s="35">
        <f t="shared" si="1"/>
        <v>34</v>
      </c>
      <c r="K21" s="36">
        <f t="shared" si="4"/>
        <v>181328</v>
      </c>
      <c r="L21" s="36">
        <f t="shared" si="3"/>
        <v>385322</v>
      </c>
      <c r="M21" s="31"/>
    </row>
    <row r="22" spans="2:13" ht="18.75" x14ac:dyDescent="0.3">
      <c r="B22" s="34">
        <v>17</v>
      </c>
      <c r="C22" s="50" t="s">
        <v>214</v>
      </c>
      <c r="D22" s="33">
        <v>500000</v>
      </c>
      <c r="E22" s="33">
        <v>66650</v>
      </c>
      <c r="F22" s="32">
        <f t="shared" si="0"/>
        <v>566650</v>
      </c>
      <c r="G22" s="34">
        <v>50</v>
      </c>
      <c r="H22" s="32">
        <v>11333</v>
      </c>
      <c r="I22" s="50">
        <v>16</v>
      </c>
      <c r="J22" s="35">
        <f t="shared" si="1"/>
        <v>34</v>
      </c>
      <c r="K22" s="36">
        <f t="shared" si="4"/>
        <v>181328</v>
      </c>
      <c r="L22" s="36">
        <f t="shared" si="3"/>
        <v>385322</v>
      </c>
      <c r="M22" s="31"/>
    </row>
    <row r="23" spans="2:13" ht="18.75" x14ac:dyDescent="0.3">
      <c r="B23" s="34">
        <v>18</v>
      </c>
      <c r="C23" s="31" t="s">
        <v>219</v>
      </c>
      <c r="D23" s="33">
        <v>500000</v>
      </c>
      <c r="E23" s="33">
        <v>66650</v>
      </c>
      <c r="F23" s="32">
        <f t="shared" si="0"/>
        <v>566650</v>
      </c>
      <c r="G23" s="34">
        <v>50</v>
      </c>
      <c r="H23" s="32">
        <v>11333</v>
      </c>
      <c r="I23" s="31">
        <v>48</v>
      </c>
      <c r="J23" s="35">
        <f t="shared" si="1"/>
        <v>2</v>
      </c>
      <c r="K23" s="36">
        <f>H23*I23</f>
        <v>543984</v>
      </c>
      <c r="L23" s="32">
        <f t="shared" si="3"/>
        <v>22666</v>
      </c>
      <c r="M23" s="31"/>
    </row>
    <row r="24" spans="2:13" ht="18.75" x14ac:dyDescent="0.3">
      <c r="B24" s="34">
        <v>19</v>
      </c>
      <c r="C24" s="50" t="s">
        <v>31</v>
      </c>
      <c r="D24" s="33">
        <v>500000</v>
      </c>
      <c r="E24" s="33">
        <v>66650</v>
      </c>
      <c r="F24" s="32">
        <f t="shared" si="0"/>
        <v>566650</v>
      </c>
      <c r="G24" s="34">
        <v>50</v>
      </c>
      <c r="H24" s="32">
        <v>11333</v>
      </c>
      <c r="I24" s="50">
        <v>13</v>
      </c>
      <c r="J24" s="35">
        <f t="shared" si="1"/>
        <v>37</v>
      </c>
      <c r="K24" s="36">
        <f t="shared" ref="K24:K36" si="5">I24*H24</f>
        <v>147329</v>
      </c>
      <c r="L24" s="36">
        <f t="shared" si="3"/>
        <v>419321</v>
      </c>
      <c r="M24" s="31"/>
    </row>
    <row r="25" spans="2:13" ht="18.75" x14ac:dyDescent="0.3">
      <c r="B25" s="34">
        <v>20</v>
      </c>
      <c r="C25" s="29" t="s">
        <v>170</v>
      </c>
      <c r="D25" s="33">
        <v>500000</v>
      </c>
      <c r="E25" s="33">
        <v>66650</v>
      </c>
      <c r="F25" s="32">
        <f t="shared" si="0"/>
        <v>566650</v>
      </c>
      <c r="G25" s="34">
        <v>50</v>
      </c>
      <c r="H25" s="32">
        <v>11333</v>
      </c>
      <c r="I25" s="50">
        <v>35</v>
      </c>
      <c r="J25" s="35">
        <f t="shared" si="1"/>
        <v>15</v>
      </c>
      <c r="K25" s="36">
        <f t="shared" si="5"/>
        <v>396655</v>
      </c>
      <c r="L25" s="36">
        <f t="shared" si="3"/>
        <v>169995</v>
      </c>
      <c r="M25" s="31"/>
    </row>
    <row r="26" spans="2:13" ht="18.75" x14ac:dyDescent="0.3">
      <c r="B26" s="34">
        <v>21</v>
      </c>
      <c r="C26" s="29" t="s">
        <v>172</v>
      </c>
      <c r="D26" s="33">
        <v>500000</v>
      </c>
      <c r="E26" s="33">
        <v>66650</v>
      </c>
      <c r="F26" s="32">
        <f t="shared" si="0"/>
        <v>566650</v>
      </c>
      <c r="G26" s="34">
        <v>50</v>
      </c>
      <c r="H26" s="32">
        <v>11333</v>
      </c>
      <c r="I26" s="50">
        <v>31</v>
      </c>
      <c r="J26" s="35">
        <f t="shared" si="1"/>
        <v>19</v>
      </c>
      <c r="K26" s="36">
        <f t="shared" si="5"/>
        <v>351323</v>
      </c>
      <c r="L26" s="36">
        <f t="shared" si="3"/>
        <v>215327</v>
      </c>
      <c r="M26" s="31"/>
    </row>
    <row r="27" spans="2:13" ht="18.75" x14ac:dyDescent="0.3">
      <c r="B27" s="34">
        <v>22</v>
      </c>
      <c r="C27" s="29" t="s">
        <v>46</v>
      </c>
      <c r="D27" s="33">
        <v>500000</v>
      </c>
      <c r="E27" s="33">
        <v>66650</v>
      </c>
      <c r="F27" s="32">
        <f t="shared" si="0"/>
        <v>566650</v>
      </c>
      <c r="G27" s="34">
        <v>50</v>
      </c>
      <c r="H27" s="32">
        <v>11333</v>
      </c>
      <c r="I27" s="50">
        <v>11</v>
      </c>
      <c r="J27" s="35">
        <f t="shared" si="1"/>
        <v>39</v>
      </c>
      <c r="K27" s="36">
        <f t="shared" si="5"/>
        <v>124663</v>
      </c>
      <c r="L27" s="36">
        <f t="shared" si="3"/>
        <v>441987</v>
      </c>
      <c r="M27" s="31"/>
    </row>
    <row r="28" spans="2:13" ht="18.75" x14ac:dyDescent="0.3">
      <c r="B28" s="34">
        <v>23</v>
      </c>
      <c r="C28" s="29" t="s">
        <v>45</v>
      </c>
      <c r="D28" s="33">
        <v>500000</v>
      </c>
      <c r="E28" s="33">
        <v>66650</v>
      </c>
      <c r="F28" s="32">
        <f t="shared" si="0"/>
        <v>566650</v>
      </c>
      <c r="G28" s="34">
        <v>50</v>
      </c>
      <c r="H28" s="32">
        <v>11333</v>
      </c>
      <c r="I28" s="50">
        <v>11</v>
      </c>
      <c r="J28" s="35">
        <f t="shared" si="1"/>
        <v>39</v>
      </c>
      <c r="K28" s="36">
        <f t="shared" si="5"/>
        <v>124663</v>
      </c>
      <c r="L28" s="36">
        <f t="shared" si="3"/>
        <v>441987</v>
      </c>
      <c r="M28" s="31"/>
    </row>
    <row r="29" spans="2:13" ht="18.75" x14ac:dyDescent="0.3">
      <c r="B29" s="34">
        <v>24</v>
      </c>
      <c r="C29" s="29" t="s">
        <v>47</v>
      </c>
      <c r="D29" s="33">
        <v>500000</v>
      </c>
      <c r="E29" s="33">
        <v>66650</v>
      </c>
      <c r="F29" s="32">
        <f t="shared" si="0"/>
        <v>566650</v>
      </c>
      <c r="G29" s="34">
        <v>50</v>
      </c>
      <c r="H29" s="32">
        <v>11333</v>
      </c>
      <c r="I29" s="50">
        <v>11</v>
      </c>
      <c r="J29" s="35">
        <f t="shared" si="1"/>
        <v>39</v>
      </c>
      <c r="K29" s="36">
        <f t="shared" si="5"/>
        <v>124663</v>
      </c>
      <c r="L29" s="36">
        <f t="shared" si="3"/>
        <v>441987</v>
      </c>
      <c r="M29" s="31"/>
    </row>
    <row r="30" spans="2:13" ht="18.75" x14ac:dyDescent="0.3">
      <c r="B30" s="34">
        <v>25</v>
      </c>
      <c r="C30" s="29" t="s">
        <v>44</v>
      </c>
      <c r="D30" s="33">
        <v>500000</v>
      </c>
      <c r="E30" s="33">
        <v>66650</v>
      </c>
      <c r="F30" s="32">
        <f t="shared" si="0"/>
        <v>566650</v>
      </c>
      <c r="G30" s="34">
        <v>50</v>
      </c>
      <c r="H30" s="32">
        <v>11333</v>
      </c>
      <c r="I30" s="50">
        <v>10</v>
      </c>
      <c r="J30" s="35">
        <f t="shared" si="1"/>
        <v>40</v>
      </c>
      <c r="K30" s="36">
        <f t="shared" si="5"/>
        <v>113330</v>
      </c>
      <c r="L30" s="36">
        <f t="shared" si="3"/>
        <v>453320</v>
      </c>
      <c r="M30" s="31"/>
    </row>
    <row r="31" spans="2:13" ht="18.75" x14ac:dyDescent="0.3">
      <c r="B31" s="34">
        <v>26</v>
      </c>
      <c r="C31" s="29" t="s">
        <v>66</v>
      </c>
      <c r="D31" s="33">
        <v>500000</v>
      </c>
      <c r="E31" s="33">
        <v>66650</v>
      </c>
      <c r="F31" s="32">
        <f t="shared" si="0"/>
        <v>566650</v>
      </c>
      <c r="G31" s="34">
        <v>50</v>
      </c>
      <c r="H31" s="32">
        <v>11333</v>
      </c>
      <c r="I31" s="50">
        <v>9</v>
      </c>
      <c r="J31" s="35">
        <f t="shared" si="1"/>
        <v>41</v>
      </c>
      <c r="K31" s="36">
        <f t="shared" si="5"/>
        <v>101997</v>
      </c>
      <c r="L31" s="36">
        <f t="shared" si="3"/>
        <v>464653</v>
      </c>
      <c r="M31" s="31"/>
    </row>
    <row r="32" spans="2:13" ht="18.75" x14ac:dyDescent="0.3">
      <c r="B32" s="34">
        <v>27</v>
      </c>
      <c r="C32" s="29" t="s">
        <v>67</v>
      </c>
      <c r="D32" s="33">
        <v>500000</v>
      </c>
      <c r="E32" s="33">
        <v>66650</v>
      </c>
      <c r="F32" s="32">
        <f t="shared" si="0"/>
        <v>566650</v>
      </c>
      <c r="G32" s="34">
        <v>50</v>
      </c>
      <c r="H32" s="32">
        <v>11333</v>
      </c>
      <c r="I32" s="50">
        <v>9</v>
      </c>
      <c r="J32" s="35">
        <f t="shared" si="1"/>
        <v>41</v>
      </c>
      <c r="K32" s="36">
        <f t="shared" si="5"/>
        <v>101997</v>
      </c>
      <c r="L32" s="36">
        <f t="shared" si="3"/>
        <v>464653</v>
      </c>
      <c r="M32" s="31"/>
    </row>
    <row r="33" spans="2:13" ht="18.75" x14ac:dyDescent="0.3">
      <c r="B33" s="34">
        <v>28</v>
      </c>
      <c r="C33" s="29" t="s">
        <v>68</v>
      </c>
      <c r="D33" s="33">
        <v>500000</v>
      </c>
      <c r="E33" s="33">
        <v>66650</v>
      </c>
      <c r="F33" s="32">
        <f t="shared" si="0"/>
        <v>566650</v>
      </c>
      <c r="G33" s="34">
        <v>50</v>
      </c>
      <c r="H33" s="32">
        <v>11333</v>
      </c>
      <c r="I33" s="50">
        <v>9</v>
      </c>
      <c r="J33" s="35">
        <f t="shared" si="1"/>
        <v>41</v>
      </c>
      <c r="K33" s="36">
        <f t="shared" si="5"/>
        <v>101997</v>
      </c>
      <c r="L33" s="36">
        <f t="shared" si="3"/>
        <v>464653</v>
      </c>
      <c r="M33" s="31"/>
    </row>
    <row r="34" spans="2:13" ht="18.75" x14ac:dyDescent="0.3">
      <c r="B34" s="34">
        <v>29</v>
      </c>
      <c r="C34" s="29" t="s">
        <v>253</v>
      </c>
      <c r="D34" s="33">
        <v>500000</v>
      </c>
      <c r="E34" s="33">
        <v>66650</v>
      </c>
      <c r="F34" s="32">
        <f t="shared" si="0"/>
        <v>566650</v>
      </c>
      <c r="G34" s="34">
        <v>50</v>
      </c>
      <c r="H34" s="32">
        <v>11333</v>
      </c>
      <c r="I34" s="50">
        <v>6</v>
      </c>
      <c r="J34" s="35">
        <f t="shared" si="1"/>
        <v>44</v>
      </c>
      <c r="K34" s="36">
        <f t="shared" si="5"/>
        <v>67998</v>
      </c>
      <c r="L34" s="36">
        <f t="shared" si="3"/>
        <v>498652</v>
      </c>
      <c r="M34" s="31"/>
    </row>
    <row r="35" spans="2:13" ht="18.75" x14ac:dyDescent="0.3">
      <c r="B35" s="34">
        <v>30</v>
      </c>
      <c r="C35" s="29" t="s">
        <v>254</v>
      </c>
      <c r="D35" s="33">
        <v>500000</v>
      </c>
      <c r="E35" s="33">
        <v>66650</v>
      </c>
      <c r="F35" s="32">
        <f t="shared" si="0"/>
        <v>566650</v>
      </c>
      <c r="G35" s="34">
        <v>50</v>
      </c>
      <c r="H35" s="32">
        <v>11333</v>
      </c>
      <c r="I35" s="50">
        <v>6</v>
      </c>
      <c r="J35" s="35">
        <f t="shared" si="1"/>
        <v>44</v>
      </c>
      <c r="K35" s="36">
        <f t="shared" si="5"/>
        <v>67998</v>
      </c>
      <c r="L35" s="36">
        <f t="shared" si="3"/>
        <v>498652</v>
      </c>
      <c r="M35" s="31"/>
    </row>
    <row r="36" spans="2:13" ht="18.75" x14ac:dyDescent="0.3">
      <c r="B36" s="34">
        <v>31</v>
      </c>
      <c r="C36" s="31" t="s">
        <v>74</v>
      </c>
      <c r="D36" s="33">
        <v>450000</v>
      </c>
      <c r="E36" s="33">
        <v>59985</v>
      </c>
      <c r="F36" s="32">
        <f t="shared" si="0"/>
        <v>509985</v>
      </c>
      <c r="G36" s="34">
        <v>50</v>
      </c>
      <c r="H36" s="32">
        <v>10199.700000000001</v>
      </c>
      <c r="I36" s="31">
        <v>32</v>
      </c>
      <c r="J36" s="35">
        <f t="shared" si="1"/>
        <v>18</v>
      </c>
      <c r="K36" s="32">
        <f t="shared" si="5"/>
        <v>326390.40000000002</v>
      </c>
      <c r="L36" s="33">
        <f t="shared" si="3"/>
        <v>183594.59999999998</v>
      </c>
      <c r="M36" s="31"/>
    </row>
    <row r="37" spans="2:13" ht="18.75" x14ac:dyDescent="0.3">
      <c r="B37" s="34">
        <v>32</v>
      </c>
      <c r="C37" s="31" t="s">
        <v>77</v>
      </c>
      <c r="D37" s="33">
        <v>450000</v>
      </c>
      <c r="E37" s="33">
        <v>59985</v>
      </c>
      <c r="F37" s="32">
        <f t="shared" si="0"/>
        <v>509985</v>
      </c>
      <c r="G37" s="34">
        <v>50</v>
      </c>
      <c r="H37" s="32">
        <v>10199.700000000001</v>
      </c>
      <c r="I37" s="52">
        <v>31</v>
      </c>
      <c r="J37" s="35">
        <f t="shared" si="1"/>
        <v>19</v>
      </c>
      <c r="K37" s="32">
        <f t="shared" ref="K37:K43" si="6">H37*I37</f>
        <v>316190.7</v>
      </c>
      <c r="L37" s="33">
        <f t="shared" si="3"/>
        <v>193794.3</v>
      </c>
      <c r="M37" s="31"/>
    </row>
    <row r="38" spans="2:13" ht="18.75" x14ac:dyDescent="0.3">
      <c r="B38" s="34">
        <v>33</v>
      </c>
      <c r="C38" s="31" t="s">
        <v>78</v>
      </c>
      <c r="D38" s="33">
        <v>450000</v>
      </c>
      <c r="E38" s="33">
        <v>59985</v>
      </c>
      <c r="F38" s="32">
        <f t="shared" si="0"/>
        <v>509985</v>
      </c>
      <c r="G38" s="34">
        <v>50</v>
      </c>
      <c r="H38" s="32">
        <v>10199.700000000001</v>
      </c>
      <c r="I38" s="52">
        <v>31</v>
      </c>
      <c r="J38" s="35">
        <f t="shared" si="1"/>
        <v>19</v>
      </c>
      <c r="K38" s="32">
        <f t="shared" si="6"/>
        <v>316190.7</v>
      </c>
      <c r="L38" s="32">
        <f t="shared" si="3"/>
        <v>193794.3</v>
      </c>
      <c r="M38" s="31"/>
    </row>
    <row r="39" spans="2:13" ht="18.75" x14ac:dyDescent="0.3">
      <c r="B39" s="34">
        <v>34</v>
      </c>
      <c r="C39" s="31" t="s">
        <v>82</v>
      </c>
      <c r="D39" s="33">
        <v>450000</v>
      </c>
      <c r="E39" s="33">
        <v>59985</v>
      </c>
      <c r="F39" s="32">
        <f t="shared" si="0"/>
        <v>509985</v>
      </c>
      <c r="G39" s="34">
        <v>50</v>
      </c>
      <c r="H39" s="32">
        <v>10199.700000000001</v>
      </c>
      <c r="I39" s="31">
        <v>35</v>
      </c>
      <c r="J39" s="35">
        <f t="shared" si="1"/>
        <v>15</v>
      </c>
      <c r="K39" s="36">
        <f t="shared" si="6"/>
        <v>356989.5</v>
      </c>
      <c r="L39" s="36">
        <f t="shared" si="3"/>
        <v>152995.5</v>
      </c>
      <c r="M39" s="31"/>
    </row>
    <row r="40" spans="2:13" ht="18.75" x14ac:dyDescent="0.3">
      <c r="B40" s="34">
        <v>35</v>
      </c>
      <c r="C40" s="31" t="s">
        <v>99</v>
      </c>
      <c r="D40" s="33">
        <v>450000</v>
      </c>
      <c r="E40" s="33">
        <v>59985</v>
      </c>
      <c r="F40" s="32">
        <f t="shared" si="0"/>
        <v>509985</v>
      </c>
      <c r="G40" s="34">
        <v>50</v>
      </c>
      <c r="H40" s="36">
        <v>10199.700000000001</v>
      </c>
      <c r="I40" s="31">
        <v>35</v>
      </c>
      <c r="J40" s="35">
        <f t="shared" si="1"/>
        <v>15</v>
      </c>
      <c r="K40" s="36">
        <f t="shared" si="6"/>
        <v>356989.5</v>
      </c>
      <c r="L40" s="36">
        <f t="shared" si="3"/>
        <v>152995.5</v>
      </c>
      <c r="M40" s="31"/>
    </row>
    <row r="41" spans="2:13" ht="18.75" x14ac:dyDescent="0.3">
      <c r="B41" s="34">
        <v>36</v>
      </c>
      <c r="C41" s="31" t="s">
        <v>196</v>
      </c>
      <c r="D41" s="33">
        <v>450000</v>
      </c>
      <c r="E41" s="33">
        <v>59985</v>
      </c>
      <c r="F41" s="32">
        <f t="shared" si="0"/>
        <v>509985</v>
      </c>
      <c r="G41" s="34">
        <v>50</v>
      </c>
      <c r="H41" s="32">
        <v>10199.700000000001</v>
      </c>
      <c r="I41" s="31">
        <v>50</v>
      </c>
      <c r="J41" s="35">
        <f t="shared" si="1"/>
        <v>0</v>
      </c>
      <c r="K41" s="36">
        <f t="shared" si="6"/>
        <v>509985.00000000006</v>
      </c>
      <c r="L41" s="32">
        <f t="shared" si="3"/>
        <v>0</v>
      </c>
      <c r="M41" s="31"/>
    </row>
    <row r="42" spans="2:13" ht="18.75" x14ac:dyDescent="0.3">
      <c r="B42" s="34">
        <v>37</v>
      </c>
      <c r="C42" s="31" t="s">
        <v>122</v>
      </c>
      <c r="D42" s="33">
        <v>450000</v>
      </c>
      <c r="E42" s="33">
        <v>59985</v>
      </c>
      <c r="F42" s="32">
        <f t="shared" si="0"/>
        <v>509985</v>
      </c>
      <c r="G42" s="34">
        <v>50</v>
      </c>
      <c r="H42" s="36">
        <v>10199.700000000001</v>
      </c>
      <c r="I42" s="31">
        <v>35</v>
      </c>
      <c r="J42" s="35">
        <f t="shared" si="1"/>
        <v>15</v>
      </c>
      <c r="K42" s="36">
        <f t="shared" si="6"/>
        <v>356989.5</v>
      </c>
      <c r="L42" s="36">
        <f t="shared" si="3"/>
        <v>152995.5</v>
      </c>
      <c r="M42" s="31"/>
    </row>
    <row r="43" spans="2:13" ht="18.75" x14ac:dyDescent="0.3">
      <c r="B43" s="34">
        <v>38</v>
      </c>
      <c r="C43" s="31" t="s">
        <v>204</v>
      </c>
      <c r="D43" s="33">
        <v>450000</v>
      </c>
      <c r="E43" s="33">
        <v>59985</v>
      </c>
      <c r="F43" s="32">
        <f t="shared" si="0"/>
        <v>509985</v>
      </c>
      <c r="G43" s="34">
        <v>50</v>
      </c>
      <c r="H43" s="32">
        <v>10199.700000000001</v>
      </c>
      <c r="I43" s="31">
        <v>40</v>
      </c>
      <c r="J43" s="35">
        <f t="shared" si="1"/>
        <v>10</v>
      </c>
      <c r="K43" s="36">
        <f t="shared" si="6"/>
        <v>407988</v>
      </c>
      <c r="L43" s="32">
        <f t="shared" si="3"/>
        <v>101997</v>
      </c>
      <c r="M43" s="31"/>
    </row>
    <row r="44" spans="2:13" ht="18.75" x14ac:dyDescent="0.3">
      <c r="B44" s="34">
        <v>39</v>
      </c>
      <c r="C44" s="50" t="s">
        <v>146</v>
      </c>
      <c r="D44" s="33">
        <v>450000</v>
      </c>
      <c r="E44" s="33">
        <v>59985</v>
      </c>
      <c r="F44" s="32">
        <f t="shared" si="0"/>
        <v>509985</v>
      </c>
      <c r="G44" s="34">
        <v>50</v>
      </c>
      <c r="H44" s="32">
        <v>10199.700000000001</v>
      </c>
      <c r="I44" s="50">
        <v>24</v>
      </c>
      <c r="J44" s="35">
        <f t="shared" si="1"/>
        <v>26</v>
      </c>
      <c r="K44" s="36">
        <f t="shared" ref="K44:K53" si="7">I44*H44</f>
        <v>244792.80000000002</v>
      </c>
      <c r="L44" s="36">
        <f t="shared" si="3"/>
        <v>265192.19999999995</v>
      </c>
      <c r="M44" s="31"/>
    </row>
    <row r="45" spans="2:13" ht="18.75" x14ac:dyDescent="0.3">
      <c r="B45" s="34">
        <v>40</v>
      </c>
      <c r="C45" s="50" t="s">
        <v>231</v>
      </c>
      <c r="D45" s="33">
        <v>450000</v>
      </c>
      <c r="E45" s="33">
        <v>59985</v>
      </c>
      <c r="F45" s="32">
        <f t="shared" si="0"/>
        <v>509985</v>
      </c>
      <c r="G45" s="34">
        <v>50</v>
      </c>
      <c r="H45" s="32">
        <v>10199.700000000001</v>
      </c>
      <c r="I45" s="50">
        <v>24</v>
      </c>
      <c r="J45" s="35">
        <f t="shared" si="1"/>
        <v>26</v>
      </c>
      <c r="K45" s="36">
        <f t="shared" si="7"/>
        <v>244792.80000000002</v>
      </c>
      <c r="L45" s="36">
        <f t="shared" si="3"/>
        <v>265192.19999999995</v>
      </c>
      <c r="M45" s="31"/>
    </row>
    <row r="46" spans="2:13" ht="18.75" x14ac:dyDescent="0.3">
      <c r="B46" s="34">
        <v>41</v>
      </c>
      <c r="C46" s="50" t="s">
        <v>17</v>
      </c>
      <c r="D46" s="33">
        <v>450000</v>
      </c>
      <c r="E46" s="33">
        <v>59985</v>
      </c>
      <c r="F46" s="32">
        <f t="shared" si="0"/>
        <v>509985</v>
      </c>
      <c r="G46" s="34">
        <v>50</v>
      </c>
      <c r="H46" s="32">
        <v>10199.700000000001</v>
      </c>
      <c r="I46" s="50">
        <v>19</v>
      </c>
      <c r="J46" s="35">
        <f t="shared" si="1"/>
        <v>31</v>
      </c>
      <c r="K46" s="36">
        <f t="shared" si="7"/>
        <v>193794.30000000002</v>
      </c>
      <c r="L46" s="36">
        <f t="shared" si="3"/>
        <v>316190.69999999995</v>
      </c>
      <c r="M46" s="31"/>
    </row>
    <row r="47" spans="2:13" ht="18.75" x14ac:dyDescent="0.3">
      <c r="B47" s="34">
        <v>42</v>
      </c>
      <c r="C47" s="50" t="s">
        <v>22</v>
      </c>
      <c r="D47" s="33">
        <v>450000</v>
      </c>
      <c r="E47" s="33">
        <v>59985</v>
      </c>
      <c r="F47" s="32">
        <f t="shared" si="0"/>
        <v>509985</v>
      </c>
      <c r="G47" s="34">
        <v>50</v>
      </c>
      <c r="H47" s="32">
        <v>10199.700000000001</v>
      </c>
      <c r="I47" s="50">
        <v>16</v>
      </c>
      <c r="J47" s="35">
        <f t="shared" si="1"/>
        <v>34</v>
      </c>
      <c r="K47" s="36">
        <f t="shared" si="7"/>
        <v>163195.20000000001</v>
      </c>
      <c r="L47" s="36">
        <f t="shared" si="3"/>
        <v>346789.8</v>
      </c>
      <c r="M47" s="31"/>
    </row>
    <row r="48" spans="2:13" ht="18.75" x14ac:dyDescent="0.3">
      <c r="B48" s="34">
        <v>43</v>
      </c>
      <c r="C48" s="29" t="s">
        <v>35</v>
      </c>
      <c r="D48" s="33">
        <v>450000</v>
      </c>
      <c r="E48" s="33">
        <v>59985</v>
      </c>
      <c r="F48" s="32">
        <f t="shared" si="0"/>
        <v>509985</v>
      </c>
      <c r="G48" s="34">
        <v>50</v>
      </c>
      <c r="H48" s="32">
        <v>10199.700000000001</v>
      </c>
      <c r="I48" s="50">
        <v>14</v>
      </c>
      <c r="J48" s="35">
        <f t="shared" si="1"/>
        <v>36</v>
      </c>
      <c r="K48" s="36">
        <f t="shared" si="7"/>
        <v>142795.80000000002</v>
      </c>
      <c r="L48" s="36">
        <f t="shared" si="3"/>
        <v>367189.19999999995</v>
      </c>
      <c r="M48" s="31"/>
    </row>
    <row r="49" spans="2:13" ht="18.75" x14ac:dyDescent="0.3">
      <c r="B49" s="34">
        <v>44</v>
      </c>
      <c r="C49" s="29" t="s">
        <v>48</v>
      </c>
      <c r="D49" s="33">
        <v>450000</v>
      </c>
      <c r="E49" s="33">
        <v>59985</v>
      </c>
      <c r="F49" s="32">
        <f t="shared" si="0"/>
        <v>509985</v>
      </c>
      <c r="G49" s="34">
        <v>50</v>
      </c>
      <c r="H49" s="32">
        <v>10199.700000000001</v>
      </c>
      <c r="I49" s="50">
        <v>11</v>
      </c>
      <c r="J49" s="35">
        <f t="shared" si="1"/>
        <v>39</v>
      </c>
      <c r="K49" s="36">
        <f t="shared" si="7"/>
        <v>112196.70000000001</v>
      </c>
      <c r="L49" s="36">
        <f t="shared" si="3"/>
        <v>397788.3</v>
      </c>
      <c r="M49" s="31"/>
    </row>
    <row r="50" spans="2:13" ht="18.75" x14ac:dyDescent="0.3">
      <c r="B50" s="34">
        <v>45</v>
      </c>
      <c r="C50" s="29" t="s">
        <v>63</v>
      </c>
      <c r="D50" s="33">
        <v>450000</v>
      </c>
      <c r="E50" s="33">
        <v>59985</v>
      </c>
      <c r="F50" s="32">
        <f t="shared" si="0"/>
        <v>509985</v>
      </c>
      <c r="G50" s="34">
        <v>50</v>
      </c>
      <c r="H50" s="32">
        <v>10199.700000000001</v>
      </c>
      <c r="I50" s="50">
        <v>9</v>
      </c>
      <c r="J50" s="35">
        <f t="shared" si="1"/>
        <v>41</v>
      </c>
      <c r="K50" s="36">
        <f t="shared" si="7"/>
        <v>91797.3</v>
      </c>
      <c r="L50" s="36">
        <f t="shared" si="3"/>
        <v>418187.7</v>
      </c>
      <c r="M50" s="31"/>
    </row>
    <row r="51" spans="2:13" ht="18.75" x14ac:dyDescent="0.3">
      <c r="B51" s="34">
        <v>46</v>
      </c>
      <c r="C51" s="29" t="s">
        <v>65</v>
      </c>
      <c r="D51" s="33">
        <v>450000</v>
      </c>
      <c r="E51" s="33">
        <v>59985</v>
      </c>
      <c r="F51" s="32">
        <f t="shared" si="0"/>
        <v>509985</v>
      </c>
      <c r="G51" s="34">
        <v>50</v>
      </c>
      <c r="H51" s="32">
        <v>10199.700000000001</v>
      </c>
      <c r="I51" s="50">
        <v>9</v>
      </c>
      <c r="J51" s="35">
        <f t="shared" si="1"/>
        <v>41</v>
      </c>
      <c r="K51" s="36">
        <f t="shared" si="7"/>
        <v>91797.3</v>
      </c>
      <c r="L51" s="36">
        <f t="shared" si="3"/>
        <v>418187.7</v>
      </c>
      <c r="M51" s="31"/>
    </row>
    <row r="52" spans="2:13" ht="18.75" x14ac:dyDescent="0.3">
      <c r="B52" s="34">
        <v>47</v>
      </c>
      <c r="C52" s="29" t="s">
        <v>59</v>
      </c>
      <c r="D52" s="33">
        <v>450000</v>
      </c>
      <c r="E52" s="33">
        <v>59985</v>
      </c>
      <c r="F52" s="32">
        <f t="shared" si="0"/>
        <v>509985</v>
      </c>
      <c r="G52" s="34">
        <v>50</v>
      </c>
      <c r="H52" s="32">
        <v>10199.700000000001</v>
      </c>
      <c r="I52" s="50">
        <v>9</v>
      </c>
      <c r="J52" s="35">
        <f t="shared" si="1"/>
        <v>41</v>
      </c>
      <c r="K52" s="36">
        <f t="shared" si="7"/>
        <v>91797.3</v>
      </c>
      <c r="L52" s="36">
        <f t="shared" si="3"/>
        <v>418187.7</v>
      </c>
      <c r="M52" s="31"/>
    </row>
    <row r="53" spans="2:13" ht="18.75" x14ac:dyDescent="0.3">
      <c r="B53" s="34">
        <v>48</v>
      </c>
      <c r="C53" s="29" t="s">
        <v>206</v>
      </c>
      <c r="D53" s="33">
        <v>450000</v>
      </c>
      <c r="E53" s="33">
        <v>59985</v>
      </c>
      <c r="F53" s="32">
        <f t="shared" si="0"/>
        <v>509985</v>
      </c>
      <c r="G53" s="34">
        <v>50</v>
      </c>
      <c r="H53" s="32">
        <v>10199.700000000001</v>
      </c>
      <c r="I53" s="50">
        <v>6</v>
      </c>
      <c r="J53" s="35">
        <f t="shared" si="1"/>
        <v>44</v>
      </c>
      <c r="K53" s="36">
        <f t="shared" si="7"/>
        <v>61198.200000000004</v>
      </c>
      <c r="L53" s="36">
        <f t="shared" si="3"/>
        <v>448786.8</v>
      </c>
      <c r="M53" s="31"/>
    </row>
    <row r="54" spans="2:13" ht="18.75" x14ac:dyDescent="0.3">
      <c r="B54" s="34">
        <v>49</v>
      </c>
      <c r="C54" s="31" t="s">
        <v>189</v>
      </c>
      <c r="D54" s="32">
        <v>330000</v>
      </c>
      <c r="E54" s="33">
        <v>43989</v>
      </c>
      <c r="F54" s="32">
        <f t="shared" si="0"/>
        <v>373989</v>
      </c>
      <c r="G54" s="34">
        <v>50</v>
      </c>
      <c r="H54" s="32">
        <v>7479.78</v>
      </c>
      <c r="I54" s="31">
        <v>50</v>
      </c>
      <c r="J54" s="35">
        <f t="shared" si="1"/>
        <v>0</v>
      </c>
      <c r="K54" s="33">
        <f>H54*I54</f>
        <v>373989</v>
      </c>
      <c r="L54" s="32">
        <f t="shared" si="3"/>
        <v>0</v>
      </c>
      <c r="M54" s="53"/>
    </row>
    <row r="55" spans="2:13" ht="18.75" x14ac:dyDescent="0.3">
      <c r="B55" s="34">
        <v>50</v>
      </c>
      <c r="C55" s="31" t="s">
        <v>79</v>
      </c>
      <c r="D55" s="32">
        <v>330000</v>
      </c>
      <c r="E55" s="33">
        <v>43989</v>
      </c>
      <c r="F55" s="32">
        <f t="shared" si="0"/>
        <v>373989</v>
      </c>
      <c r="G55" s="34">
        <v>50</v>
      </c>
      <c r="H55" s="32">
        <v>7479.78</v>
      </c>
      <c r="I55" s="31">
        <v>31</v>
      </c>
      <c r="J55" s="35">
        <f t="shared" si="1"/>
        <v>19</v>
      </c>
      <c r="K55" s="32">
        <f>H55*I55</f>
        <v>231873.18</v>
      </c>
      <c r="L55" s="36">
        <f t="shared" si="3"/>
        <v>142115.82</v>
      </c>
      <c r="M55" s="31"/>
    </row>
    <row r="56" spans="2:13" ht="18.75" x14ac:dyDescent="0.3">
      <c r="B56" s="34">
        <v>51</v>
      </c>
      <c r="C56" s="31" t="s">
        <v>95</v>
      </c>
      <c r="D56" s="32">
        <v>330000</v>
      </c>
      <c r="E56" s="33">
        <v>43989</v>
      </c>
      <c r="F56" s="32">
        <f t="shared" si="0"/>
        <v>373989</v>
      </c>
      <c r="G56" s="34">
        <v>50</v>
      </c>
      <c r="H56" s="32">
        <v>7479.78</v>
      </c>
      <c r="I56" s="31">
        <v>31</v>
      </c>
      <c r="J56" s="35">
        <f t="shared" si="1"/>
        <v>19</v>
      </c>
      <c r="K56" s="36">
        <f>H56*I56</f>
        <v>231873.18</v>
      </c>
      <c r="L56" s="32">
        <f t="shared" si="3"/>
        <v>142115.82</v>
      </c>
      <c r="M56" s="31"/>
    </row>
    <row r="57" spans="2:13" ht="18.75" x14ac:dyDescent="0.3">
      <c r="B57" s="34">
        <v>52</v>
      </c>
      <c r="C57" s="31" t="s">
        <v>96</v>
      </c>
      <c r="D57" s="32">
        <v>330000</v>
      </c>
      <c r="E57" s="33">
        <v>43989</v>
      </c>
      <c r="F57" s="32">
        <f t="shared" si="0"/>
        <v>373989</v>
      </c>
      <c r="G57" s="34">
        <v>50</v>
      </c>
      <c r="H57" s="36">
        <v>7479.78</v>
      </c>
      <c r="I57" s="31">
        <v>35</v>
      </c>
      <c r="J57" s="35">
        <f t="shared" si="1"/>
        <v>15</v>
      </c>
      <c r="K57" s="36">
        <f>H57*I57</f>
        <v>261792.3</v>
      </c>
      <c r="L57" s="36">
        <f t="shared" si="3"/>
        <v>112196.70000000001</v>
      </c>
      <c r="M57" s="31"/>
    </row>
    <row r="58" spans="2:13" ht="18.75" x14ac:dyDescent="0.3">
      <c r="B58" s="34">
        <v>53</v>
      </c>
      <c r="C58" s="50" t="s">
        <v>18</v>
      </c>
      <c r="D58" s="32">
        <v>330000</v>
      </c>
      <c r="E58" s="33">
        <v>43989</v>
      </c>
      <c r="F58" s="32">
        <f t="shared" si="0"/>
        <v>373989</v>
      </c>
      <c r="G58" s="34">
        <v>50</v>
      </c>
      <c r="H58" s="36">
        <v>7479.78</v>
      </c>
      <c r="I58" s="50">
        <v>19</v>
      </c>
      <c r="J58" s="35">
        <f t="shared" si="1"/>
        <v>31</v>
      </c>
      <c r="K58" s="36">
        <f>I58*H58</f>
        <v>142115.82</v>
      </c>
      <c r="L58" s="36">
        <f t="shared" si="3"/>
        <v>231873.18</v>
      </c>
      <c r="M58" s="31"/>
    </row>
    <row r="59" spans="2:13" ht="18.75" x14ac:dyDescent="0.3">
      <c r="B59" s="34">
        <v>54</v>
      </c>
      <c r="C59" s="31" t="s">
        <v>233</v>
      </c>
      <c r="D59" s="32">
        <v>330000</v>
      </c>
      <c r="E59" s="33">
        <v>43989</v>
      </c>
      <c r="F59" s="32">
        <f t="shared" si="0"/>
        <v>373989</v>
      </c>
      <c r="G59" s="34">
        <v>50</v>
      </c>
      <c r="H59" s="36">
        <v>7479.78</v>
      </c>
      <c r="I59" s="31">
        <v>35</v>
      </c>
      <c r="J59" s="35">
        <f t="shared" si="1"/>
        <v>15</v>
      </c>
      <c r="K59" s="36">
        <f>H59*I59</f>
        <v>261792.3</v>
      </c>
      <c r="L59" s="36">
        <f t="shared" si="3"/>
        <v>112196.70000000001</v>
      </c>
      <c r="M59" s="31"/>
    </row>
    <row r="60" spans="2:13" ht="18.75" x14ac:dyDescent="0.3">
      <c r="B60" s="34">
        <v>55</v>
      </c>
      <c r="C60" s="31" t="s">
        <v>220</v>
      </c>
      <c r="D60" s="32">
        <v>330000</v>
      </c>
      <c r="E60" s="33">
        <v>43989</v>
      </c>
      <c r="F60" s="32">
        <f t="shared" si="0"/>
        <v>373989</v>
      </c>
      <c r="G60" s="34">
        <v>50</v>
      </c>
      <c r="H60" s="32">
        <v>7479.78</v>
      </c>
      <c r="I60" s="31">
        <v>35</v>
      </c>
      <c r="J60" s="35">
        <f t="shared" si="1"/>
        <v>15</v>
      </c>
      <c r="K60" s="36">
        <f>H60*I60</f>
        <v>261792.3</v>
      </c>
      <c r="L60" s="32">
        <f t="shared" si="3"/>
        <v>112196.70000000001</v>
      </c>
      <c r="M60" s="31"/>
    </row>
    <row r="61" spans="2:13" ht="18.75" x14ac:dyDescent="0.3">
      <c r="B61" s="34">
        <v>56</v>
      </c>
      <c r="C61" s="31" t="s">
        <v>140</v>
      </c>
      <c r="D61" s="32">
        <v>330000</v>
      </c>
      <c r="E61" s="33">
        <v>43989</v>
      </c>
      <c r="F61" s="32">
        <f t="shared" si="0"/>
        <v>373989</v>
      </c>
      <c r="G61" s="34">
        <v>50</v>
      </c>
      <c r="H61" s="36">
        <v>7479.78</v>
      </c>
      <c r="I61" s="31">
        <v>35</v>
      </c>
      <c r="J61" s="35">
        <f t="shared" si="1"/>
        <v>15</v>
      </c>
      <c r="K61" s="36">
        <f>H61*I61</f>
        <v>261792.3</v>
      </c>
      <c r="L61" s="36">
        <f t="shared" si="3"/>
        <v>112196.70000000001</v>
      </c>
      <c r="M61" s="31"/>
    </row>
    <row r="62" spans="2:13" ht="18.75" x14ac:dyDescent="0.3">
      <c r="B62" s="34">
        <v>57</v>
      </c>
      <c r="C62" s="31" t="s">
        <v>175</v>
      </c>
      <c r="D62" s="32">
        <v>330000</v>
      </c>
      <c r="E62" s="33">
        <v>43989</v>
      </c>
      <c r="F62" s="32">
        <f t="shared" si="0"/>
        <v>373989</v>
      </c>
      <c r="G62" s="34">
        <v>50</v>
      </c>
      <c r="H62" s="36">
        <v>7479.78</v>
      </c>
      <c r="I62" s="31">
        <v>30</v>
      </c>
      <c r="J62" s="35">
        <f t="shared" si="1"/>
        <v>20</v>
      </c>
      <c r="K62" s="36">
        <f>H62*I62</f>
        <v>224393.4</v>
      </c>
      <c r="L62" s="36">
        <f t="shared" si="3"/>
        <v>149595.6</v>
      </c>
      <c r="M62" s="31"/>
    </row>
    <row r="63" spans="2:13" ht="18.75" x14ac:dyDescent="0.3">
      <c r="B63" s="34">
        <v>58</v>
      </c>
      <c r="C63" s="50" t="s">
        <v>149</v>
      </c>
      <c r="D63" s="33">
        <v>330000</v>
      </c>
      <c r="E63" s="33">
        <v>43989</v>
      </c>
      <c r="F63" s="32">
        <v>373989</v>
      </c>
      <c r="G63" s="34">
        <v>50</v>
      </c>
      <c r="H63" s="32">
        <v>7478.78</v>
      </c>
      <c r="I63" s="50">
        <v>24</v>
      </c>
      <c r="J63" s="35">
        <f t="shared" si="1"/>
        <v>26</v>
      </c>
      <c r="K63" s="36">
        <f t="shared" ref="K63:K87" si="8">I63*H63</f>
        <v>179490.72</v>
      </c>
      <c r="L63" s="36">
        <f t="shared" si="3"/>
        <v>194498.28</v>
      </c>
      <c r="M63" s="31"/>
    </row>
    <row r="64" spans="2:13" ht="18.75" x14ac:dyDescent="0.3">
      <c r="B64" s="34">
        <v>59</v>
      </c>
      <c r="C64" s="50" t="s">
        <v>150</v>
      </c>
      <c r="D64" s="33">
        <v>330000</v>
      </c>
      <c r="E64" s="33">
        <v>43989</v>
      </c>
      <c r="F64" s="32">
        <f t="shared" ref="F64:F127" si="9">D64+E64</f>
        <v>373989</v>
      </c>
      <c r="G64" s="34">
        <v>50</v>
      </c>
      <c r="H64" s="32">
        <v>7479.78</v>
      </c>
      <c r="I64" s="50">
        <v>24</v>
      </c>
      <c r="J64" s="35">
        <f t="shared" si="1"/>
        <v>26</v>
      </c>
      <c r="K64" s="36">
        <f t="shared" si="8"/>
        <v>179514.72</v>
      </c>
      <c r="L64" s="36">
        <f t="shared" si="3"/>
        <v>194474.28</v>
      </c>
      <c r="M64" s="31"/>
    </row>
    <row r="65" spans="2:13" ht="18.75" x14ac:dyDescent="0.3">
      <c r="B65" s="34">
        <v>60</v>
      </c>
      <c r="C65" s="50" t="s">
        <v>209</v>
      </c>
      <c r="D65" s="33">
        <v>330000</v>
      </c>
      <c r="E65" s="33">
        <v>43989</v>
      </c>
      <c r="F65" s="32">
        <f t="shared" si="9"/>
        <v>373989</v>
      </c>
      <c r="G65" s="34">
        <v>50</v>
      </c>
      <c r="H65" s="32">
        <v>7479.78</v>
      </c>
      <c r="I65" s="50">
        <v>21</v>
      </c>
      <c r="J65" s="35">
        <f t="shared" si="1"/>
        <v>29</v>
      </c>
      <c r="K65" s="36">
        <f t="shared" si="8"/>
        <v>157075.38</v>
      </c>
      <c r="L65" s="36">
        <f t="shared" si="3"/>
        <v>216913.62</v>
      </c>
      <c r="M65" s="31"/>
    </row>
    <row r="66" spans="2:13" ht="18.75" x14ac:dyDescent="0.3">
      <c r="B66" s="34">
        <v>61</v>
      </c>
      <c r="C66" s="50" t="s">
        <v>210</v>
      </c>
      <c r="D66" s="33">
        <v>330000</v>
      </c>
      <c r="E66" s="33">
        <v>43989</v>
      </c>
      <c r="F66" s="32">
        <f t="shared" si="9"/>
        <v>373989</v>
      </c>
      <c r="G66" s="34">
        <v>50</v>
      </c>
      <c r="H66" s="32">
        <v>7479.78</v>
      </c>
      <c r="I66" s="50">
        <v>21</v>
      </c>
      <c r="J66" s="35">
        <f t="shared" si="1"/>
        <v>29</v>
      </c>
      <c r="K66" s="36">
        <f t="shared" si="8"/>
        <v>157075.38</v>
      </c>
      <c r="L66" s="36">
        <f t="shared" si="3"/>
        <v>216913.62</v>
      </c>
      <c r="M66" s="31"/>
    </row>
    <row r="67" spans="2:13" ht="18.75" x14ac:dyDescent="0.3">
      <c r="B67" s="34">
        <v>62</v>
      </c>
      <c r="C67" s="50" t="s">
        <v>211</v>
      </c>
      <c r="D67" s="33">
        <v>330000</v>
      </c>
      <c r="E67" s="33">
        <v>43989</v>
      </c>
      <c r="F67" s="32">
        <f t="shared" si="9"/>
        <v>373989</v>
      </c>
      <c r="G67" s="34">
        <v>50</v>
      </c>
      <c r="H67" s="32">
        <v>7479.78</v>
      </c>
      <c r="I67" s="50">
        <v>21</v>
      </c>
      <c r="J67" s="35">
        <f t="shared" si="1"/>
        <v>29</v>
      </c>
      <c r="K67" s="36">
        <f t="shared" si="8"/>
        <v>157075.38</v>
      </c>
      <c r="L67" s="36">
        <f t="shared" si="3"/>
        <v>216913.62</v>
      </c>
      <c r="M67" s="31"/>
    </row>
    <row r="68" spans="2:13" ht="18.75" x14ac:dyDescent="0.3">
      <c r="B68" s="34">
        <v>63</v>
      </c>
      <c r="C68" s="50" t="s">
        <v>212</v>
      </c>
      <c r="D68" s="33">
        <v>330000</v>
      </c>
      <c r="E68" s="33">
        <v>43989</v>
      </c>
      <c r="F68" s="32">
        <f t="shared" si="9"/>
        <v>373989</v>
      </c>
      <c r="G68" s="34">
        <v>50</v>
      </c>
      <c r="H68" s="32">
        <v>7479.78</v>
      </c>
      <c r="I68" s="50">
        <v>20</v>
      </c>
      <c r="J68" s="35">
        <f t="shared" si="1"/>
        <v>30</v>
      </c>
      <c r="K68" s="36">
        <f t="shared" si="8"/>
        <v>149595.6</v>
      </c>
      <c r="L68" s="36">
        <f t="shared" si="3"/>
        <v>224393.4</v>
      </c>
      <c r="M68" s="31"/>
    </row>
    <row r="69" spans="2:13" ht="18.75" x14ac:dyDescent="0.3">
      <c r="B69" s="34">
        <v>64</v>
      </c>
      <c r="C69" s="50" t="s">
        <v>13</v>
      </c>
      <c r="D69" s="33">
        <v>330000</v>
      </c>
      <c r="E69" s="33">
        <v>43989</v>
      </c>
      <c r="F69" s="32">
        <f t="shared" si="9"/>
        <v>373989</v>
      </c>
      <c r="G69" s="34">
        <v>50</v>
      </c>
      <c r="H69" s="32">
        <v>7479.78</v>
      </c>
      <c r="I69" s="50">
        <v>21</v>
      </c>
      <c r="J69" s="35">
        <f t="shared" si="1"/>
        <v>29</v>
      </c>
      <c r="K69" s="36">
        <f t="shared" si="8"/>
        <v>157075.38</v>
      </c>
      <c r="L69" s="36">
        <f t="shared" si="3"/>
        <v>216913.62</v>
      </c>
      <c r="M69" s="31"/>
    </row>
    <row r="70" spans="2:13" ht="18.75" x14ac:dyDescent="0.3">
      <c r="B70" s="34">
        <v>65</v>
      </c>
      <c r="C70" s="50" t="s">
        <v>19</v>
      </c>
      <c r="D70" s="32">
        <v>330000</v>
      </c>
      <c r="E70" s="33">
        <v>43989</v>
      </c>
      <c r="F70" s="32">
        <f t="shared" si="9"/>
        <v>373989</v>
      </c>
      <c r="G70" s="34">
        <v>50</v>
      </c>
      <c r="H70" s="36">
        <v>7479.78</v>
      </c>
      <c r="I70" s="50">
        <v>19</v>
      </c>
      <c r="J70" s="35">
        <f t="shared" ref="J70:J133" si="10">G70-I70</f>
        <v>31</v>
      </c>
      <c r="K70" s="36">
        <f t="shared" si="8"/>
        <v>142115.82</v>
      </c>
      <c r="L70" s="36">
        <f t="shared" ref="L70:L128" si="11">F70-K70</f>
        <v>231873.18</v>
      </c>
      <c r="M70" s="31"/>
    </row>
    <row r="71" spans="2:13" ht="18.75" x14ac:dyDescent="0.3">
      <c r="B71" s="34">
        <v>66</v>
      </c>
      <c r="C71" s="50" t="s">
        <v>215</v>
      </c>
      <c r="D71" s="32">
        <v>330000</v>
      </c>
      <c r="E71" s="33">
        <v>43989</v>
      </c>
      <c r="F71" s="32">
        <f t="shared" si="9"/>
        <v>373989</v>
      </c>
      <c r="G71" s="34">
        <v>50</v>
      </c>
      <c r="H71" s="36">
        <v>7479.78</v>
      </c>
      <c r="I71" s="50">
        <v>16</v>
      </c>
      <c r="J71" s="35">
        <f t="shared" si="10"/>
        <v>34</v>
      </c>
      <c r="K71" s="36">
        <f t="shared" si="8"/>
        <v>119676.48</v>
      </c>
      <c r="L71" s="36">
        <f t="shared" si="11"/>
        <v>254312.52000000002</v>
      </c>
      <c r="M71" s="31"/>
    </row>
    <row r="72" spans="2:13" ht="18.75" x14ac:dyDescent="0.3">
      <c r="B72" s="34">
        <v>67</v>
      </c>
      <c r="C72" s="50" t="s">
        <v>25</v>
      </c>
      <c r="D72" s="32">
        <v>330000</v>
      </c>
      <c r="E72" s="33">
        <v>43989</v>
      </c>
      <c r="F72" s="32">
        <f t="shared" si="9"/>
        <v>373989</v>
      </c>
      <c r="G72" s="34">
        <v>50</v>
      </c>
      <c r="H72" s="36">
        <v>7479.78</v>
      </c>
      <c r="I72" s="50">
        <v>14</v>
      </c>
      <c r="J72" s="35">
        <f t="shared" si="10"/>
        <v>36</v>
      </c>
      <c r="K72" s="36">
        <f t="shared" si="8"/>
        <v>104716.92</v>
      </c>
      <c r="L72" s="36">
        <f t="shared" si="11"/>
        <v>269272.08</v>
      </c>
      <c r="M72" s="31"/>
    </row>
    <row r="73" spans="2:13" ht="18.75" x14ac:dyDescent="0.3">
      <c r="B73" s="34">
        <v>68</v>
      </c>
      <c r="C73" s="50" t="s">
        <v>26</v>
      </c>
      <c r="D73" s="32">
        <v>330000</v>
      </c>
      <c r="E73" s="33">
        <v>43989</v>
      </c>
      <c r="F73" s="32">
        <f t="shared" si="9"/>
        <v>373989</v>
      </c>
      <c r="G73" s="34">
        <v>50</v>
      </c>
      <c r="H73" s="36">
        <v>7479.78</v>
      </c>
      <c r="I73" s="50">
        <v>14</v>
      </c>
      <c r="J73" s="35">
        <f t="shared" si="10"/>
        <v>36</v>
      </c>
      <c r="K73" s="36">
        <f t="shared" si="8"/>
        <v>104716.92</v>
      </c>
      <c r="L73" s="36">
        <f t="shared" si="11"/>
        <v>269272.08</v>
      </c>
      <c r="M73" s="31"/>
    </row>
    <row r="74" spans="2:13" ht="18.75" x14ac:dyDescent="0.3">
      <c r="B74" s="34">
        <v>69</v>
      </c>
      <c r="C74" s="50" t="s">
        <v>30</v>
      </c>
      <c r="D74" s="32">
        <v>330000</v>
      </c>
      <c r="E74" s="33">
        <v>43989</v>
      </c>
      <c r="F74" s="32">
        <f t="shared" si="9"/>
        <v>373989</v>
      </c>
      <c r="G74" s="34">
        <v>50</v>
      </c>
      <c r="H74" s="36">
        <v>7479.78</v>
      </c>
      <c r="I74" s="50">
        <v>13</v>
      </c>
      <c r="J74" s="35">
        <f t="shared" si="10"/>
        <v>37</v>
      </c>
      <c r="K74" s="36">
        <f t="shared" si="8"/>
        <v>97237.14</v>
      </c>
      <c r="L74" s="36">
        <f t="shared" si="11"/>
        <v>276751.86</v>
      </c>
      <c r="M74" s="31"/>
    </row>
    <row r="75" spans="2:13" ht="18.75" x14ac:dyDescent="0.3">
      <c r="B75" s="34">
        <v>70</v>
      </c>
      <c r="C75" s="29" t="s">
        <v>36</v>
      </c>
      <c r="D75" s="32">
        <v>330000</v>
      </c>
      <c r="E75" s="33">
        <v>43989</v>
      </c>
      <c r="F75" s="32">
        <f t="shared" si="9"/>
        <v>373989</v>
      </c>
      <c r="G75" s="34">
        <v>50</v>
      </c>
      <c r="H75" s="36">
        <v>7479.78</v>
      </c>
      <c r="I75" s="50">
        <v>13</v>
      </c>
      <c r="J75" s="35">
        <f t="shared" si="10"/>
        <v>37</v>
      </c>
      <c r="K75" s="36">
        <f t="shared" si="8"/>
        <v>97237.14</v>
      </c>
      <c r="L75" s="36">
        <f t="shared" si="11"/>
        <v>276751.86</v>
      </c>
      <c r="M75" s="31"/>
    </row>
    <row r="76" spans="2:13" ht="18.75" x14ac:dyDescent="0.3">
      <c r="B76" s="34">
        <v>71</v>
      </c>
      <c r="C76" s="29" t="s">
        <v>37</v>
      </c>
      <c r="D76" s="32">
        <v>330000</v>
      </c>
      <c r="E76" s="33">
        <v>43989</v>
      </c>
      <c r="F76" s="32">
        <f t="shared" si="9"/>
        <v>373989</v>
      </c>
      <c r="G76" s="34">
        <v>50</v>
      </c>
      <c r="H76" s="36">
        <v>7479.78</v>
      </c>
      <c r="I76" s="50">
        <v>14</v>
      </c>
      <c r="J76" s="35">
        <f t="shared" si="10"/>
        <v>36</v>
      </c>
      <c r="K76" s="36">
        <f t="shared" si="8"/>
        <v>104716.92</v>
      </c>
      <c r="L76" s="36">
        <f t="shared" si="11"/>
        <v>269272.08</v>
      </c>
      <c r="M76" s="31"/>
    </row>
    <row r="77" spans="2:13" ht="18.75" x14ac:dyDescent="0.3">
      <c r="B77" s="34">
        <v>72</v>
      </c>
      <c r="C77" s="29" t="s">
        <v>40</v>
      </c>
      <c r="D77" s="32">
        <v>330000</v>
      </c>
      <c r="E77" s="33">
        <v>43989</v>
      </c>
      <c r="F77" s="32">
        <f t="shared" si="9"/>
        <v>373989</v>
      </c>
      <c r="G77" s="34">
        <v>50</v>
      </c>
      <c r="H77" s="36">
        <v>7479.78</v>
      </c>
      <c r="I77" s="50">
        <v>36</v>
      </c>
      <c r="J77" s="35">
        <f t="shared" si="10"/>
        <v>14</v>
      </c>
      <c r="K77" s="36">
        <f t="shared" si="8"/>
        <v>269272.08</v>
      </c>
      <c r="L77" s="36">
        <f t="shared" si="11"/>
        <v>104716.91999999998</v>
      </c>
      <c r="M77" s="31"/>
    </row>
    <row r="78" spans="2:13" ht="18.75" x14ac:dyDescent="0.3">
      <c r="B78" s="34">
        <v>73</v>
      </c>
      <c r="C78" s="29" t="s">
        <v>173</v>
      </c>
      <c r="D78" s="32">
        <v>330000</v>
      </c>
      <c r="E78" s="33">
        <v>43989</v>
      </c>
      <c r="F78" s="32">
        <f t="shared" si="9"/>
        <v>373989</v>
      </c>
      <c r="G78" s="34">
        <v>50</v>
      </c>
      <c r="H78" s="32">
        <v>7479.78</v>
      </c>
      <c r="I78" s="50">
        <v>25</v>
      </c>
      <c r="J78" s="35">
        <f t="shared" si="10"/>
        <v>25</v>
      </c>
      <c r="K78" s="36">
        <f t="shared" si="8"/>
        <v>186994.5</v>
      </c>
      <c r="L78" s="36">
        <f t="shared" si="11"/>
        <v>186994.5</v>
      </c>
      <c r="M78" s="31"/>
    </row>
    <row r="79" spans="2:13" ht="18.75" x14ac:dyDescent="0.3">
      <c r="B79" s="34">
        <v>74</v>
      </c>
      <c r="C79" s="29" t="s">
        <v>49</v>
      </c>
      <c r="D79" s="32">
        <v>330000</v>
      </c>
      <c r="E79" s="33">
        <v>43989</v>
      </c>
      <c r="F79" s="32">
        <f t="shared" si="9"/>
        <v>373989</v>
      </c>
      <c r="G79" s="34">
        <v>50</v>
      </c>
      <c r="H79" s="32">
        <v>7479.78</v>
      </c>
      <c r="I79" s="50">
        <v>11</v>
      </c>
      <c r="J79" s="35">
        <f t="shared" si="10"/>
        <v>39</v>
      </c>
      <c r="K79" s="36">
        <f t="shared" si="8"/>
        <v>82277.58</v>
      </c>
      <c r="L79" s="36">
        <f t="shared" si="11"/>
        <v>291711.42</v>
      </c>
      <c r="M79" s="31"/>
    </row>
    <row r="80" spans="2:13" ht="18.75" x14ac:dyDescent="0.3">
      <c r="B80" s="34">
        <v>75</v>
      </c>
      <c r="C80" s="29" t="s">
        <v>50</v>
      </c>
      <c r="D80" s="32">
        <v>330000</v>
      </c>
      <c r="E80" s="33">
        <v>43989</v>
      </c>
      <c r="F80" s="32">
        <f t="shared" si="9"/>
        <v>373989</v>
      </c>
      <c r="G80" s="34">
        <v>50</v>
      </c>
      <c r="H80" s="32">
        <v>7479.78</v>
      </c>
      <c r="I80" s="50">
        <v>11</v>
      </c>
      <c r="J80" s="35">
        <f t="shared" si="10"/>
        <v>39</v>
      </c>
      <c r="K80" s="36">
        <f t="shared" si="8"/>
        <v>82277.58</v>
      </c>
      <c r="L80" s="36">
        <f t="shared" si="11"/>
        <v>291711.42</v>
      </c>
      <c r="M80" s="31"/>
    </row>
    <row r="81" spans="2:13" ht="18.75" x14ac:dyDescent="0.3">
      <c r="B81" s="34">
        <v>76</v>
      </c>
      <c r="C81" s="29" t="s">
        <v>70</v>
      </c>
      <c r="D81" s="32">
        <v>330000</v>
      </c>
      <c r="E81" s="33">
        <v>43989</v>
      </c>
      <c r="F81" s="32">
        <f t="shared" si="9"/>
        <v>373989</v>
      </c>
      <c r="G81" s="34">
        <v>50</v>
      </c>
      <c r="H81" s="32">
        <v>7479.78</v>
      </c>
      <c r="I81" s="50">
        <v>9</v>
      </c>
      <c r="J81" s="35">
        <f t="shared" si="10"/>
        <v>41</v>
      </c>
      <c r="K81" s="36">
        <f t="shared" si="8"/>
        <v>67318.02</v>
      </c>
      <c r="L81" s="36">
        <f t="shared" si="11"/>
        <v>306670.98</v>
      </c>
      <c r="M81" s="31"/>
    </row>
    <row r="82" spans="2:13" ht="18.75" x14ac:dyDescent="0.3">
      <c r="B82" s="34">
        <v>77</v>
      </c>
      <c r="C82" s="29" t="s">
        <v>69</v>
      </c>
      <c r="D82" s="32">
        <v>330000</v>
      </c>
      <c r="E82" s="33">
        <v>43989</v>
      </c>
      <c r="F82" s="32">
        <f t="shared" si="9"/>
        <v>373989</v>
      </c>
      <c r="G82" s="34">
        <v>50</v>
      </c>
      <c r="H82" s="32">
        <v>7479.78</v>
      </c>
      <c r="I82" s="50">
        <v>9</v>
      </c>
      <c r="J82" s="35">
        <f t="shared" si="10"/>
        <v>41</v>
      </c>
      <c r="K82" s="36">
        <f t="shared" si="8"/>
        <v>67318.02</v>
      </c>
      <c r="L82" s="36">
        <f t="shared" si="11"/>
        <v>306670.98</v>
      </c>
      <c r="M82" s="31"/>
    </row>
    <row r="83" spans="2:13" ht="18.75" x14ac:dyDescent="0.3">
      <c r="B83" s="34">
        <v>78</v>
      </c>
      <c r="C83" s="29" t="s">
        <v>62</v>
      </c>
      <c r="D83" s="32">
        <v>330000</v>
      </c>
      <c r="E83" s="33">
        <v>43989</v>
      </c>
      <c r="F83" s="32">
        <f t="shared" si="9"/>
        <v>373989</v>
      </c>
      <c r="G83" s="34">
        <v>50</v>
      </c>
      <c r="H83" s="32">
        <v>7479.78</v>
      </c>
      <c r="I83" s="50">
        <v>9</v>
      </c>
      <c r="J83" s="35">
        <f t="shared" si="10"/>
        <v>41</v>
      </c>
      <c r="K83" s="36">
        <f t="shared" si="8"/>
        <v>67318.02</v>
      </c>
      <c r="L83" s="36">
        <f t="shared" si="11"/>
        <v>306670.98</v>
      </c>
      <c r="M83" s="31"/>
    </row>
    <row r="84" spans="2:13" ht="18.75" x14ac:dyDescent="0.3">
      <c r="B84" s="34">
        <v>79</v>
      </c>
      <c r="C84" s="29" t="s">
        <v>64</v>
      </c>
      <c r="D84" s="32">
        <v>330000</v>
      </c>
      <c r="E84" s="33">
        <v>43989</v>
      </c>
      <c r="F84" s="32">
        <f t="shared" si="9"/>
        <v>373989</v>
      </c>
      <c r="G84" s="34">
        <v>50</v>
      </c>
      <c r="H84" s="32">
        <v>7479.78</v>
      </c>
      <c r="I84" s="50">
        <v>9</v>
      </c>
      <c r="J84" s="35">
        <f t="shared" si="10"/>
        <v>41</v>
      </c>
      <c r="K84" s="36">
        <f t="shared" si="8"/>
        <v>67318.02</v>
      </c>
      <c r="L84" s="36">
        <f t="shared" si="11"/>
        <v>306670.98</v>
      </c>
      <c r="M84" s="31"/>
    </row>
    <row r="85" spans="2:13" ht="18.75" x14ac:dyDescent="0.3">
      <c r="B85" s="34">
        <v>80</v>
      </c>
      <c r="C85" s="29" t="s">
        <v>257</v>
      </c>
      <c r="D85" s="32">
        <v>330000</v>
      </c>
      <c r="E85" s="33">
        <v>43989</v>
      </c>
      <c r="F85" s="32">
        <f t="shared" si="9"/>
        <v>373989</v>
      </c>
      <c r="G85" s="34">
        <v>50</v>
      </c>
      <c r="H85" s="32">
        <v>7479.78</v>
      </c>
      <c r="I85" s="50">
        <v>6</v>
      </c>
      <c r="J85" s="35">
        <f t="shared" si="10"/>
        <v>44</v>
      </c>
      <c r="K85" s="36">
        <f t="shared" si="8"/>
        <v>44878.68</v>
      </c>
      <c r="L85" s="36">
        <f t="shared" si="11"/>
        <v>329110.32</v>
      </c>
      <c r="M85" s="31"/>
    </row>
    <row r="86" spans="2:13" ht="18.75" x14ac:dyDescent="0.3">
      <c r="B86" s="34">
        <v>81</v>
      </c>
      <c r="C86" s="29" t="s">
        <v>256</v>
      </c>
      <c r="D86" s="32">
        <v>330000</v>
      </c>
      <c r="E86" s="33">
        <v>43989</v>
      </c>
      <c r="F86" s="32">
        <f t="shared" si="9"/>
        <v>373989</v>
      </c>
      <c r="G86" s="34">
        <v>50</v>
      </c>
      <c r="H86" s="32">
        <v>7479.78</v>
      </c>
      <c r="I86" s="50">
        <v>6</v>
      </c>
      <c r="J86" s="35">
        <f t="shared" si="10"/>
        <v>44</v>
      </c>
      <c r="K86" s="36">
        <f t="shared" si="8"/>
        <v>44878.68</v>
      </c>
      <c r="L86" s="36">
        <f t="shared" si="11"/>
        <v>329110.32</v>
      </c>
      <c r="M86" s="31"/>
    </row>
    <row r="87" spans="2:13" ht="18.75" x14ac:dyDescent="0.3">
      <c r="B87" s="34">
        <v>82</v>
      </c>
      <c r="C87" s="66" t="s">
        <v>260</v>
      </c>
      <c r="D87" s="33">
        <v>150000</v>
      </c>
      <c r="E87" s="33">
        <v>19995</v>
      </c>
      <c r="F87" s="32">
        <f t="shared" si="9"/>
        <v>169995</v>
      </c>
      <c r="G87" s="34">
        <v>37</v>
      </c>
      <c r="H87" s="32">
        <v>4566.57</v>
      </c>
      <c r="I87" s="50">
        <v>5</v>
      </c>
      <c r="J87" s="35">
        <f t="shared" si="10"/>
        <v>32</v>
      </c>
      <c r="K87" s="36">
        <f t="shared" si="8"/>
        <v>22832.85</v>
      </c>
      <c r="L87" s="36">
        <f t="shared" si="11"/>
        <v>147162.15</v>
      </c>
      <c r="M87" s="31"/>
    </row>
    <row r="88" spans="2:13" ht="18.75" x14ac:dyDescent="0.3">
      <c r="B88" s="34">
        <v>83</v>
      </c>
      <c r="C88" s="31" t="s">
        <v>73</v>
      </c>
      <c r="D88" s="33">
        <v>150000</v>
      </c>
      <c r="E88" s="33">
        <v>19995</v>
      </c>
      <c r="F88" s="32">
        <f t="shared" si="9"/>
        <v>169995</v>
      </c>
      <c r="G88" s="34">
        <v>50</v>
      </c>
      <c r="H88" s="32">
        <v>3399.9</v>
      </c>
      <c r="I88" s="52">
        <v>35</v>
      </c>
      <c r="J88" s="35">
        <f t="shared" si="10"/>
        <v>15</v>
      </c>
      <c r="K88" s="32">
        <f t="shared" ref="K88:K112" si="12">H88*I88</f>
        <v>118996.5</v>
      </c>
      <c r="L88" s="33">
        <f t="shared" si="11"/>
        <v>50998.5</v>
      </c>
      <c r="M88" s="31"/>
    </row>
    <row r="89" spans="2:13" ht="18.75" x14ac:dyDescent="0.3">
      <c r="B89" s="34">
        <v>84</v>
      </c>
      <c r="C89" s="31" t="s">
        <v>76</v>
      </c>
      <c r="D89" s="33">
        <v>150000</v>
      </c>
      <c r="E89" s="33">
        <v>19995</v>
      </c>
      <c r="F89" s="32">
        <f t="shared" si="9"/>
        <v>169995</v>
      </c>
      <c r="G89" s="34">
        <v>50</v>
      </c>
      <c r="H89" s="32">
        <v>3399.9</v>
      </c>
      <c r="I89" s="52">
        <v>35</v>
      </c>
      <c r="J89" s="35">
        <f t="shared" si="10"/>
        <v>15</v>
      </c>
      <c r="K89" s="32">
        <f t="shared" si="12"/>
        <v>118996.5</v>
      </c>
      <c r="L89" s="32">
        <f t="shared" si="11"/>
        <v>50998.5</v>
      </c>
      <c r="M89" s="31"/>
    </row>
    <row r="90" spans="2:13" ht="18.75" x14ac:dyDescent="0.3">
      <c r="B90" s="34">
        <v>85</v>
      </c>
      <c r="C90" s="31" t="s">
        <v>190</v>
      </c>
      <c r="D90" s="33">
        <v>150000</v>
      </c>
      <c r="E90" s="33">
        <v>19995</v>
      </c>
      <c r="F90" s="32">
        <f t="shared" si="9"/>
        <v>169995</v>
      </c>
      <c r="G90" s="34">
        <v>50</v>
      </c>
      <c r="H90" s="32">
        <v>3399.9</v>
      </c>
      <c r="I90" s="52">
        <v>50</v>
      </c>
      <c r="J90" s="35">
        <f t="shared" si="10"/>
        <v>0</v>
      </c>
      <c r="K90" s="32">
        <f t="shared" si="12"/>
        <v>169995</v>
      </c>
      <c r="L90" s="33">
        <f t="shared" si="11"/>
        <v>0</v>
      </c>
      <c r="M90" s="31"/>
    </row>
    <row r="91" spans="2:13" ht="18.75" x14ac:dyDescent="0.3">
      <c r="B91" s="34">
        <v>86</v>
      </c>
      <c r="C91" s="31" t="s">
        <v>81</v>
      </c>
      <c r="D91" s="33">
        <v>150000</v>
      </c>
      <c r="E91" s="33">
        <v>19995</v>
      </c>
      <c r="F91" s="32">
        <f t="shared" si="9"/>
        <v>169995</v>
      </c>
      <c r="G91" s="34">
        <v>50</v>
      </c>
      <c r="H91" s="32">
        <v>3399.9</v>
      </c>
      <c r="I91" s="31">
        <v>35</v>
      </c>
      <c r="J91" s="35">
        <f t="shared" si="10"/>
        <v>15</v>
      </c>
      <c r="K91" s="36">
        <f t="shared" si="12"/>
        <v>118996.5</v>
      </c>
      <c r="L91" s="32">
        <f t="shared" si="11"/>
        <v>50998.5</v>
      </c>
      <c r="M91" s="31"/>
    </row>
    <row r="92" spans="2:13" ht="18.75" x14ac:dyDescent="0.3">
      <c r="B92" s="34">
        <v>87</v>
      </c>
      <c r="C92" s="31" t="s">
        <v>84</v>
      </c>
      <c r="D92" s="33">
        <v>150000</v>
      </c>
      <c r="E92" s="33">
        <v>19995</v>
      </c>
      <c r="F92" s="32">
        <f t="shared" si="9"/>
        <v>169995</v>
      </c>
      <c r="G92" s="34">
        <v>50</v>
      </c>
      <c r="H92" s="32">
        <v>3399.9</v>
      </c>
      <c r="I92" s="31">
        <v>35</v>
      </c>
      <c r="J92" s="35">
        <f t="shared" si="10"/>
        <v>15</v>
      </c>
      <c r="K92" s="36">
        <f t="shared" si="12"/>
        <v>118996.5</v>
      </c>
      <c r="L92" s="32">
        <f t="shared" si="11"/>
        <v>50998.5</v>
      </c>
      <c r="M92" s="31"/>
    </row>
    <row r="93" spans="2:13" ht="18.75" x14ac:dyDescent="0.3">
      <c r="B93" s="34">
        <v>88</v>
      </c>
      <c r="C93" s="31" t="s">
        <v>86</v>
      </c>
      <c r="D93" s="33">
        <v>150000</v>
      </c>
      <c r="E93" s="33">
        <v>19995</v>
      </c>
      <c r="F93" s="32">
        <f t="shared" si="9"/>
        <v>169995</v>
      </c>
      <c r="G93" s="34">
        <v>50</v>
      </c>
      <c r="H93" s="32">
        <v>3399.9</v>
      </c>
      <c r="I93" s="31">
        <v>50</v>
      </c>
      <c r="J93" s="35">
        <f t="shared" si="10"/>
        <v>0</v>
      </c>
      <c r="K93" s="36">
        <f t="shared" si="12"/>
        <v>169995</v>
      </c>
      <c r="L93" s="32">
        <f t="shared" si="11"/>
        <v>0</v>
      </c>
      <c r="M93" s="31"/>
    </row>
    <row r="94" spans="2:13" ht="18.75" x14ac:dyDescent="0.3">
      <c r="B94" s="34">
        <v>89</v>
      </c>
      <c r="C94" s="31" t="s">
        <v>87</v>
      </c>
      <c r="D94" s="33">
        <v>150000</v>
      </c>
      <c r="E94" s="33">
        <v>19995</v>
      </c>
      <c r="F94" s="32">
        <f t="shared" si="9"/>
        <v>169995</v>
      </c>
      <c r="G94" s="34">
        <v>50</v>
      </c>
      <c r="H94" s="32">
        <v>3399.9</v>
      </c>
      <c r="I94" s="31">
        <v>50</v>
      </c>
      <c r="J94" s="35">
        <f t="shared" si="10"/>
        <v>0</v>
      </c>
      <c r="K94" s="36">
        <f t="shared" si="12"/>
        <v>169995</v>
      </c>
      <c r="L94" s="32">
        <f t="shared" si="11"/>
        <v>0</v>
      </c>
      <c r="M94" s="31"/>
    </row>
    <row r="95" spans="2:13" ht="18.75" x14ac:dyDescent="0.3">
      <c r="B95" s="34">
        <v>90</v>
      </c>
      <c r="C95" s="31" t="s">
        <v>89</v>
      </c>
      <c r="D95" s="33">
        <v>150000</v>
      </c>
      <c r="E95" s="33">
        <v>19995</v>
      </c>
      <c r="F95" s="32">
        <f t="shared" si="9"/>
        <v>169995</v>
      </c>
      <c r="G95" s="34">
        <v>50</v>
      </c>
      <c r="H95" s="32">
        <v>3399.9</v>
      </c>
      <c r="I95" s="31">
        <v>35</v>
      </c>
      <c r="J95" s="35">
        <f t="shared" si="10"/>
        <v>15</v>
      </c>
      <c r="K95" s="36">
        <f t="shared" si="12"/>
        <v>118996.5</v>
      </c>
      <c r="L95" s="32">
        <f t="shared" si="11"/>
        <v>50998.5</v>
      </c>
      <c r="M95" s="31"/>
    </row>
    <row r="96" spans="2:13" ht="18.75" x14ac:dyDescent="0.3">
      <c r="B96" s="34">
        <v>91</v>
      </c>
      <c r="C96" s="31" t="s">
        <v>91</v>
      </c>
      <c r="D96" s="33">
        <v>150000</v>
      </c>
      <c r="E96" s="33">
        <v>19995</v>
      </c>
      <c r="F96" s="32">
        <f t="shared" si="9"/>
        <v>169995</v>
      </c>
      <c r="G96" s="34">
        <v>50</v>
      </c>
      <c r="H96" s="32">
        <v>3399.9</v>
      </c>
      <c r="I96" s="31">
        <v>50</v>
      </c>
      <c r="J96" s="35">
        <f t="shared" si="10"/>
        <v>0</v>
      </c>
      <c r="K96" s="36">
        <f t="shared" si="12"/>
        <v>169995</v>
      </c>
      <c r="L96" s="32">
        <f t="shared" si="11"/>
        <v>0</v>
      </c>
      <c r="M96" s="31"/>
    </row>
    <row r="97" spans="2:13" ht="18.75" x14ac:dyDescent="0.3">
      <c r="B97" s="34">
        <v>92</v>
      </c>
      <c r="C97" s="31" t="s">
        <v>94</v>
      </c>
      <c r="D97" s="33">
        <v>150000</v>
      </c>
      <c r="E97" s="33">
        <v>19995</v>
      </c>
      <c r="F97" s="32">
        <f t="shared" si="9"/>
        <v>169995</v>
      </c>
      <c r="G97" s="34">
        <v>50</v>
      </c>
      <c r="H97" s="32">
        <v>3399.9</v>
      </c>
      <c r="I97" s="31">
        <v>35</v>
      </c>
      <c r="J97" s="35">
        <f t="shared" si="10"/>
        <v>15</v>
      </c>
      <c r="K97" s="36">
        <f t="shared" si="12"/>
        <v>118996.5</v>
      </c>
      <c r="L97" s="32">
        <f t="shared" si="11"/>
        <v>50998.5</v>
      </c>
      <c r="M97" s="31"/>
    </row>
    <row r="98" spans="2:13" ht="18.75" x14ac:dyDescent="0.3">
      <c r="B98" s="34">
        <v>93</v>
      </c>
      <c r="C98" s="31" t="s">
        <v>224</v>
      </c>
      <c r="D98" s="33">
        <v>150000</v>
      </c>
      <c r="E98" s="33">
        <v>19995</v>
      </c>
      <c r="F98" s="32">
        <f t="shared" si="9"/>
        <v>169995</v>
      </c>
      <c r="G98" s="34">
        <v>50</v>
      </c>
      <c r="H98" s="32">
        <v>3399.9</v>
      </c>
      <c r="I98" s="31">
        <v>50</v>
      </c>
      <c r="J98" s="35">
        <f t="shared" si="10"/>
        <v>0</v>
      </c>
      <c r="K98" s="36">
        <f t="shared" si="12"/>
        <v>169995</v>
      </c>
      <c r="L98" s="32">
        <f t="shared" si="11"/>
        <v>0</v>
      </c>
      <c r="M98" s="31"/>
    </row>
    <row r="99" spans="2:13" ht="18.75" x14ac:dyDescent="0.3">
      <c r="B99" s="34">
        <v>94</v>
      </c>
      <c r="C99" s="31" t="s">
        <v>193</v>
      </c>
      <c r="D99" s="33">
        <v>150000</v>
      </c>
      <c r="E99" s="33">
        <v>19995</v>
      </c>
      <c r="F99" s="32">
        <f t="shared" si="9"/>
        <v>169995</v>
      </c>
      <c r="G99" s="34">
        <v>50</v>
      </c>
      <c r="H99" s="32">
        <v>3399.9</v>
      </c>
      <c r="I99" s="31">
        <v>35</v>
      </c>
      <c r="J99" s="35">
        <f t="shared" si="10"/>
        <v>15</v>
      </c>
      <c r="K99" s="36">
        <f t="shared" si="12"/>
        <v>118996.5</v>
      </c>
      <c r="L99" s="32">
        <f t="shared" si="11"/>
        <v>50998.5</v>
      </c>
      <c r="M99" s="31"/>
    </row>
    <row r="100" spans="2:13" ht="18.75" x14ac:dyDescent="0.3">
      <c r="B100" s="34">
        <v>95</v>
      </c>
      <c r="C100" s="31" t="s">
        <v>101</v>
      </c>
      <c r="D100" s="33">
        <v>150000</v>
      </c>
      <c r="E100" s="33">
        <v>19995</v>
      </c>
      <c r="F100" s="32">
        <f t="shared" si="9"/>
        <v>169995</v>
      </c>
      <c r="G100" s="34">
        <v>50</v>
      </c>
      <c r="H100" s="32">
        <v>3399.9</v>
      </c>
      <c r="I100" s="31">
        <v>33</v>
      </c>
      <c r="J100" s="35">
        <f t="shared" si="10"/>
        <v>17</v>
      </c>
      <c r="K100" s="36">
        <f t="shared" si="12"/>
        <v>112196.7</v>
      </c>
      <c r="L100" s="32">
        <f t="shared" si="11"/>
        <v>57798.3</v>
      </c>
      <c r="M100" s="31"/>
    </row>
    <row r="101" spans="2:13" ht="18.75" x14ac:dyDescent="0.3">
      <c r="B101" s="34">
        <v>96</v>
      </c>
      <c r="C101" s="31" t="s">
        <v>102</v>
      </c>
      <c r="D101" s="33">
        <v>150000</v>
      </c>
      <c r="E101" s="33">
        <v>19995</v>
      </c>
      <c r="F101" s="32">
        <f t="shared" si="9"/>
        <v>169995</v>
      </c>
      <c r="G101" s="34">
        <v>50</v>
      </c>
      <c r="H101" s="32">
        <v>3399.9</v>
      </c>
      <c r="I101" s="31">
        <v>35</v>
      </c>
      <c r="J101" s="35">
        <f t="shared" si="10"/>
        <v>15</v>
      </c>
      <c r="K101" s="36">
        <f t="shared" si="12"/>
        <v>118996.5</v>
      </c>
      <c r="L101" s="32">
        <f t="shared" si="11"/>
        <v>50998.5</v>
      </c>
      <c r="M101" s="31"/>
    </row>
    <row r="102" spans="2:13" ht="18.75" x14ac:dyDescent="0.3">
      <c r="B102" s="34">
        <v>97</v>
      </c>
      <c r="C102" s="31" t="s">
        <v>104</v>
      </c>
      <c r="D102" s="33">
        <v>150000</v>
      </c>
      <c r="E102" s="33">
        <v>19995</v>
      </c>
      <c r="F102" s="32">
        <f t="shared" si="9"/>
        <v>169995</v>
      </c>
      <c r="G102" s="34">
        <v>50</v>
      </c>
      <c r="H102" s="32">
        <v>3399.9</v>
      </c>
      <c r="I102" s="31">
        <v>50</v>
      </c>
      <c r="J102" s="35">
        <f t="shared" si="10"/>
        <v>0</v>
      </c>
      <c r="K102" s="36">
        <f t="shared" si="12"/>
        <v>169995</v>
      </c>
      <c r="L102" s="32">
        <f t="shared" si="11"/>
        <v>0</v>
      </c>
      <c r="M102" s="31"/>
    </row>
    <row r="103" spans="2:13" ht="18.75" x14ac:dyDescent="0.3">
      <c r="B103" s="34">
        <v>98</v>
      </c>
      <c r="C103" s="31" t="s">
        <v>110</v>
      </c>
      <c r="D103" s="33">
        <v>150000</v>
      </c>
      <c r="E103" s="33">
        <v>19995</v>
      </c>
      <c r="F103" s="32">
        <f t="shared" si="9"/>
        <v>169995</v>
      </c>
      <c r="G103" s="34">
        <v>50</v>
      </c>
      <c r="H103" s="32">
        <v>3399.9</v>
      </c>
      <c r="I103" s="31">
        <v>35</v>
      </c>
      <c r="J103" s="35">
        <f t="shared" si="10"/>
        <v>15</v>
      </c>
      <c r="K103" s="36">
        <f t="shared" si="12"/>
        <v>118996.5</v>
      </c>
      <c r="L103" s="32">
        <f t="shared" si="11"/>
        <v>50998.5</v>
      </c>
      <c r="M103" s="31"/>
    </row>
    <row r="104" spans="2:13" ht="18.75" x14ac:dyDescent="0.3">
      <c r="B104" s="34">
        <v>99</v>
      </c>
      <c r="C104" s="31" t="s">
        <v>225</v>
      </c>
      <c r="D104" s="33">
        <v>150000</v>
      </c>
      <c r="E104" s="33">
        <v>19995</v>
      </c>
      <c r="F104" s="32">
        <f t="shared" si="9"/>
        <v>169995</v>
      </c>
      <c r="G104" s="34">
        <v>50</v>
      </c>
      <c r="H104" s="32">
        <v>3399.9</v>
      </c>
      <c r="I104" s="31">
        <v>50</v>
      </c>
      <c r="J104" s="35">
        <f t="shared" si="10"/>
        <v>0</v>
      </c>
      <c r="K104" s="36">
        <f t="shared" si="12"/>
        <v>169995</v>
      </c>
      <c r="L104" s="32">
        <f t="shared" si="11"/>
        <v>0</v>
      </c>
      <c r="M104" s="31"/>
    </row>
    <row r="105" spans="2:13" ht="18.75" x14ac:dyDescent="0.3">
      <c r="B105" s="34">
        <v>100</v>
      </c>
      <c r="C105" s="31" t="s">
        <v>113</v>
      </c>
      <c r="D105" s="33">
        <v>150000</v>
      </c>
      <c r="E105" s="33">
        <v>19995</v>
      </c>
      <c r="F105" s="32">
        <f t="shared" si="9"/>
        <v>169995</v>
      </c>
      <c r="G105" s="34">
        <v>50</v>
      </c>
      <c r="H105" s="32">
        <v>3399.9</v>
      </c>
      <c r="I105" s="31">
        <v>50</v>
      </c>
      <c r="J105" s="35">
        <f t="shared" si="10"/>
        <v>0</v>
      </c>
      <c r="K105" s="36">
        <f t="shared" si="12"/>
        <v>169995</v>
      </c>
      <c r="L105" s="32">
        <f t="shared" si="11"/>
        <v>0</v>
      </c>
      <c r="M105" s="31"/>
    </row>
    <row r="106" spans="2:13" ht="18.75" x14ac:dyDescent="0.3">
      <c r="B106" s="34">
        <v>101</v>
      </c>
      <c r="C106" s="31" t="s">
        <v>114</v>
      </c>
      <c r="D106" s="33">
        <v>150000</v>
      </c>
      <c r="E106" s="33">
        <v>19995</v>
      </c>
      <c r="F106" s="32">
        <f t="shared" si="9"/>
        <v>169995</v>
      </c>
      <c r="G106" s="34">
        <v>50</v>
      </c>
      <c r="H106" s="32">
        <v>3399.9</v>
      </c>
      <c r="I106" s="31">
        <v>35</v>
      </c>
      <c r="J106" s="35">
        <f t="shared" si="10"/>
        <v>15</v>
      </c>
      <c r="K106" s="36">
        <f t="shared" si="12"/>
        <v>118996.5</v>
      </c>
      <c r="L106" s="32">
        <f t="shared" si="11"/>
        <v>50998.5</v>
      </c>
      <c r="M106" s="31"/>
    </row>
    <row r="107" spans="2:13" ht="18.75" x14ac:dyDescent="0.3">
      <c r="B107" s="34">
        <v>102</v>
      </c>
      <c r="C107" s="31" t="s">
        <v>236</v>
      </c>
      <c r="D107" s="33">
        <v>150000</v>
      </c>
      <c r="E107" s="33">
        <v>19995</v>
      </c>
      <c r="F107" s="32">
        <f t="shared" si="9"/>
        <v>169995</v>
      </c>
      <c r="G107" s="34">
        <v>50</v>
      </c>
      <c r="H107" s="32">
        <v>3399.9</v>
      </c>
      <c r="I107" s="31">
        <v>35</v>
      </c>
      <c r="J107" s="35">
        <f t="shared" si="10"/>
        <v>15</v>
      </c>
      <c r="K107" s="36">
        <f t="shared" si="12"/>
        <v>118996.5</v>
      </c>
      <c r="L107" s="32">
        <f t="shared" si="11"/>
        <v>50998.5</v>
      </c>
      <c r="M107" s="31"/>
    </row>
    <row r="108" spans="2:13" ht="18.75" x14ac:dyDescent="0.3">
      <c r="B108" s="34">
        <v>103</v>
      </c>
      <c r="C108" s="31" t="s">
        <v>117</v>
      </c>
      <c r="D108" s="33">
        <v>150000</v>
      </c>
      <c r="E108" s="33">
        <v>19995</v>
      </c>
      <c r="F108" s="32">
        <f t="shared" si="9"/>
        <v>169995</v>
      </c>
      <c r="G108" s="34">
        <v>50</v>
      </c>
      <c r="H108" s="32">
        <v>3399.9</v>
      </c>
      <c r="I108" s="31">
        <v>50</v>
      </c>
      <c r="J108" s="35">
        <f t="shared" si="10"/>
        <v>0</v>
      </c>
      <c r="K108" s="36">
        <f t="shared" si="12"/>
        <v>169995</v>
      </c>
      <c r="L108" s="32">
        <f t="shared" si="11"/>
        <v>0</v>
      </c>
      <c r="M108" s="31"/>
    </row>
    <row r="109" spans="2:13" ht="18.75" x14ac:dyDescent="0.3">
      <c r="B109" s="34">
        <v>104</v>
      </c>
      <c r="C109" s="31" t="s">
        <v>155</v>
      </c>
      <c r="D109" s="33">
        <v>150000</v>
      </c>
      <c r="E109" s="33">
        <v>19995</v>
      </c>
      <c r="F109" s="32">
        <f t="shared" si="9"/>
        <v>169995</v>
      </c>
      <c r="G109" s="34">
        <v>50</v>
      </c>
      <c r="H109" s="32">
        <v>3399.9</v>
      </c>
      <c r="I109" s="31">
        <v>35</v>
      </c>
      <c r="J109" s="35">
        <f t="shared" si="10"/>
        <v>15</v>
      </c>
      <c r="K109" s="36">
        <f t="shared" si="12"/>
        <v>118996.5</v>
      </c>
      <c r="L109" s="32">
        <f t="shared" si="11"/>
        <v>50998.5</v>
      </c>
      <c r="M109" s="31"/>
    </row>
    <row r="110" spans="2:13" ht="18.75" x14ac:dyDescent="0.3">
      <c r="B110" s="34">
        <v>105</v>
      </c>
      <c r="C110" s="31" t="s">
        <v>176</v>
      </c>
      <c r="D110" s="33">
        <v>150000</v>
      </c>
      <c r="E110" s="33">
        <v>19995</v>
      </c>
      <c r="F110" s="32">
        <f t="shared" si="9"/>
        <v>169995</v>
      </c>
      <c r="G110" s="34">
        <v>50</v>
      </c>
      <c r="H110" s="32">
        <v>3399.9</v>
      </c>
      <c r="I110" s="31">
        <v>50</v>
      </c>
      <c r="J110" s="35">
        <f t="shared" si="10"/>
        <v>0</v>
      </c>
      <c r="K110" s="36">
        <f t="shared" si="12"/>
        <v>169995</v>
      </c>
      <c r="L110" s="32">
        <f t="shared" si="11"/>
        <v>0</v>
      </c>
      <c r="M110" s="31"/>
    </row>
    <row r="111" spans="2:13" ht="18.75" x14ac:dyDescent="0.3">
      <c r="B111" s="34">
        <v>106</v>
      </c>
      <c r="C111" s="31" t="s">
        <v>120</v>
      </c>
      <c r="D111" s="33">
        <v>150000</v>
      </c>
      <c r="E111" s="33">
        <v>19995</v>
      </c>
      <c r="F111" s="32">
        <f t="shared" si="9"/>
        <v>169995</v>
      </c>
      <c r="G111" s="34">
        <v>50</v>
      </c>
      <c r="H111" s="32">
        <v>3399.9</v>
      </c>
      <c r="I111" s="31">
        <v>35</v>
      </c>
      <c r="J111" s="35">
        <f t="shared" si="10"/>
        <v>15</v>
      </c>
      <c r="K111" s="36">
        <f t="shared" si="12"/>
        <v>118996.5</v>
      </c>
      <c r="L111" s="32">
        <f t="shared" si="11"/>
        <v>50998.5</v>
      </c>
      <c r="M111" s="31"/>
    </row>
    <row r="112" spans="2:13" ht="18.75" x14ac:dyDescent="0.3">
      <c r="B112" s="34">
        <v>107</v>
      </c>
      <c r="C112" s="31" t="s">
        <v>197</v>
      </c>
      <c r="D112" s="33">
        <v>150000</v>
      </c>
      <c r="E112" s="33">
        <v>19995</v>
      </c>
      <c r="F112" s="32">
        <f t="shared" si="9"/>
        <v>169995</v>
      </c>
      <c r="G112" s="34">
        <v>50</v>
      </c>
      <c r="H112" s="32">
        <v>3399.9</v>
      </c>
      <c r="I112" s="31">
        <v>35</v>
      </c>
      <c r="J112" s="35">
        <f t="shared" si="10"/>
        <v>15</v>
      </c>
      <c r="K112" s="36">
        <f t="shared" si="12"/>
        <v>118996.5</v>
      </c>
      <c r="L112" s="32">
        <f t="shared" si="11"/>
        <v>50998.5</v>
      </c>
      <c r="M112" s="31"/>
    </row>
    <row r="113" spans="2:13" ht="18.75" x14ac:dyDescent="0.3">
      <c r="B113" s="34">
        <v>108</v>
      </c>
      <c r="C113" s="31" t="s">
        <v>124</v>
      </c>
      <c r="D113" s="33">
        <v>150000</v>
      </c>
      <c r="E113" s="33">
        <v>19995</v>
      </c>
      <c r="F113" s="32">
        <f t="shared" si="9"/>
        <v>169995</v>
      </c>
      <c r="G113" s="34">
        <v>50</v>
      </c>
      <c r="H113" s="32">
        <v>3399.9</v>
      </c>
      <c r="I113" s="31">
        <v>35</v>
      </c>
      <c r="J113" s="35">
        <f t="shared" si="10"/>
        <v>15</v>
      </c>
      <c r="K113" s="36">
        <f>I113*H113</f>
        <v>118996.5</v>
      </c>
      <c r="L113" s="32">
        <f t="shared" si="11"/>
        <v>50998.5</v>
      </c>
      <c r="M113" s="31"/>
    </row>
    <row r="114" spans="2:13" ht="18.75" x14ac:dyDescent="0.3">
      <c r="B114" s="34">
        <v>109</v>
      </c>
      <c r="C114" s="31" t="s">
        <v>127</v>
      </c>
      <c r="D114" s="33">
        <v>150000</v>
      </c>
      <c r="E114" s="33">
        <v>19995</v>
      </c>
      <c r="F114" s="32">
        <f t="shared" si="9"/>
        <v>169995</v>
      </c>
      <c r="G114" s="34">
        <v>50</v>
      </c>
      <c r="H114" s="32">
        <v>3399.9</v>
      </c>
      <c r="I114" s="31">
        <v>50</v>
      </c>
      <c r="J114" s="35">
        <f t="shared" si="10"/>
        <v>0</v>
      </c>
      <c r="K114" s="36">
        <f t="shared" ref="K114:K128" si="13">H114*I114</f>
        <v>169995</v>
      </c>
      <c r="L114" s="32">
        <f t="shared" si="11"/>
        <v>0</v>
      </c>
      <c r="M114" s="31"/>
    </row>
    <row r="115" spans="2:13" ht="18.75" x14ac:dyDescent="0.3">
      <c r="B115" s="34">
        <v>110</v>
      </c>
      <c r="C115" s="31" t="s">
        <v>200</v>
      </c>
      <c r="D115" s="33">
        <v>150000</v>
      </c>
      <c r="E115" s="33">
        <v>19995</v>
      </c>
      <c r="F115" s="32">
        <f t="shared" si="9"/>
        <v>169995</v>
      </c>
      <c r="G115" s="34">
        <v>50</v>
      </c>
      <c r="H115" s="32">
        <v>3399.9</v>
      </c>
      <c r="I115" s="31">
        <v>50</v>
      </c>
      <c r="J115" s="35">
        <f t="shared" si="10"/>
        <v>0</v>
      </c>
      <c r="K115" s="36">
        <f t="shared" si="13"/>
        <v>169995</v>
      </c>
      <c r="L115" s="32">
        <f t="shared" si="11"/>
        <v>0</v>
      </c>
      <c r="M115" s="31"/>
    </row>
    <row r="116" spans="2:13" ht="18.75" x14ac:dyDescent="0.3">
      <c r="B116" s="34">
        <v>111</v>
      </c>
      <c r="C116" s="31" t="s">
        <v>199</v>
      </c>
      <c r="D116" s="33">
        <v>150000</v>
      </c>
      <c r="E116" s="33">
        <v>19995</v>
      </c>
      <c r="F116" s="32">
        <f t="shared" si="9"/>
        <v>169995</v>
      </c>
      <c r="G116" s="34">
        <v>50</v>
      </c>
      <c r="H116" s="32">
        <v>3399.9</v>
      </c>
      <c r="I116" s="31">
        <v>50</v>
      </c>
      <c r="J116" s="35">
        <f t="shared" si="10"/>
        <v>0</v>
      </c>
      <c r="K116" s="36">
        <f t="shared" si="13"/>
        <v>169995</v>
      </c>
      <c r="L116" s="32">
        <f t="shared" si="11"/>
        <v>0</v>
      </c>
      <c r="M116" s="31"/>
    </row>
    <row r="117" spans="2:13" ht="18.75" x14ac:dyDescent="0.3">
      <c r="B117" s="34">
        <v>112</v>
      </c>
      <c r="C117" s="31" t="s">
        <v>129</v>
      </c>
      <c r="D117" s="33">
        <v>150000</v>
      </c>
      <c r="E117" s="33">
        <v>19995</v>
      </c>
      <c r="F117" s="32">
        <f t="shared" si="9"/>
        <v>169995</v>
      </c>
      <c r="G117" s="34">
        <v>50</v>
      </c>
      <c r="H117" s="32">
        <v>3399.9</v>
      </c>
      <c r="I117" s="31">
        <v>33</v>
      </c>
      <c r="J117" s="35">
        <f t="shared" si="10"/>
        <v>17</v>
      </c>
      <c r="K117" s="36">
        <f t="shared" si="13"/>
        <v>112196.7</v>
      </c>
      <c r="L117" s="32">
        <f t="shared" si="11"/>
        <v>57798.3</v>
      </c>
      <c r="M117" s="31"/>
    </row>
    <row r="118" spans="2:13" ht="18.75" x14ac:dyDescent="0.3">
      <c r="B118" s="34">
        <v>113</v>
      </c>
      <c r="C118" s="31" t="s">
        <v>130</v>
      </c>
      <c r="D118" s="33">
        <v>150000</v>
      </c>
      <c r="E118" s="33">
        <v>19995</v>
      </c>
      <c r="F118" s="32">
        <f t="shared" si="9"/>
        <v>169995</v>
      </c>
      <c r="G118" s="34">
        <v>50</v>
      </c>
      <c r="H118" s="32">
        <v>3399.9</v>
      </c>
      <c r="I118" s="31">
        <v>34</v>
      </c>
      <c r="J118" s="35">
        <f t="shared" si="10"/>
        <v>16</v>
      </c>
      <c r="K118" s="36">
        <f t="shared" si="13"/>
        <v>115596.6</v>
      </c>
      <c r="L118" s="32">
        <f t="shared" si="11"/>
        <v>54398.399999999994</v>
      </c>
      <c r="M118" s="31"/>
    </row>
    <row r="119" spans="2:13" ht="18.75" x14ac:dyDescent="0.3">
      <c r="B119" s="34">
        <v>114</v>
      </c>
      <c r="C119" s="31" t="s">
        <v>131</v>
      </c>
      <c r="D119" s="33">
        <v>150000</v>
      </c>
      <c r="E119" s="33">
        <v>19995</v>
      </c>
      <c r="F119" s="32">
        <f t="shared" si="9"/>
        <v>169995</v>
      </c>
      <c r="G119" s="34">
        <v>50</v>
      </c>
      <c r="H119" s="32">
        <v>3399.9</v>
      </c>
      <c r="I119" s="31">
        <v>35</v>
      </c>
      <c r="J119" s="35">
        <f t="shared" si="10"/>
        <v>15</v>
      </c>
      <c r="K119" s="36">
        <f t="shared" si="13"/>
        <v>118996.5</v>
      </c>
      <c r="L119" s="32">
        <f t="shared" si="11"/>
        <v>50998.5</v>
      </c>
      <c r="M119" s="31"/>
    </row>
    <row r="120" spans="2:13" ht="18.75" x14ac:dyDescent="0.3">
      <c r="B120" s="34">
        <v>115</v>
      </c>
      <c r="C120" s="31" t="s">
        <v>201</v>
      </c>
      <c r="D120" s="33">
        <v>150000</v>
      </c>
      <c r="E120" s="33">
        <v>19995</v>
      </c>
      <c r="F120" s="32">
        <f t="shared" si="9"/>
        <v>169995</v>
      </c>
      <c r="G120" s="34">
        <v>50</v>
      </c>
      <c r="H120" s="32">
        <v>3399.9</v>
      </c>
      <c r="I120" s="31">
        <v>35</v>
      </c>
      <c r="J120" s="35">
        <f t="shared" si="10"/>
        <v>15</v>
      </c>
      <c r="K120" s="36">
        <f t="shared" si="13"/>
        <v>118996.5</v>
      </c>
      <c r="L120" s="32">
        <f t="shared" si="11"/>
        <v>50998.5</v>
      </c>
      <c r="M120" s="31"/>
    </row>
    <row r="121" spans="2:13" ht="18.75" x14ac:dyDescent="0.3">
      <c r="B121" s="34">
        <v>116</v>
      </c>
      <c r="C121" s="31" t="s">
        <v>133</v>
      </c>
      <c r="D121" s="33">
        <v>150000</v>
      </c>
      <c r="E121" s="33">
        <v>19995</v>
      </c>
      <c r="F121" s="32">
        <f t="shared" si="9"/>
        <v>169995</v>
      </c>
      <c r="G121" s="34">
        <v>50</v>
      </c>
      <c r="H121" s="32">
        <v>3399.9</v>
      </c>
      <c r="I121" s="31">
        <v>35</v>
      </c>
      <c r="J121" s="35">
        <f t="shared" si="10"/>
        <v>15</v>
      </c>
      <c r="K121" s="36">
        <f t="shared" si="13"/>
        <v>118996.5</v>
      </c>
      <c r="L121" s="32">
        <f t="shared" si="11"/>
        <v>50998.5</v>
      </c>
      <c r="M121" s="31"/>
    </row>
    <row r="122" spans="2:13" ht="18.75" x14ac:dyDescent="0.3">
      <c r="B122" s="34">
        <v>117</v>
      </c>
      <c r="C122" s="31" t="s">
        <v>134</v>
      </c>
      <c r="D122" s="33">
        <v>150000</v>
      </c>
      <c r="E122" s="33">
        <v>19995</v>
      </c>
      <c r="F122" s="32">
        <f t="shared" si="9"/>
        <v>169995</v>
      </c>
      <c r="G122" s="34">
        <v>50</v>
      </c>
      <c r="H122" s="32">
        <v>3399.9</v>
      </c>
      <c r="I122" s="31">
        <v>50</v>
      </c>
      <c r="J122" s="35">
        <f t="shared" si="10"/>
        <v>0</v>
      </c>
      <c r="K122" s="36">
        <f t="shared" si="13"/>
        <v>169995</v>
      </c>
      <c r="L122" s="32">
        <f t="shared" si="11"/>
        <v>0</v>
      </c>
      <c r="M122" s="31"/>
    </row>
    <row r="123" spans="2:13" ht="18.75" x14ac:dyDescent="0.3">
      <c r="B123" s="34">
        <v>118</v>
      </c>
      <c r="C123" s="31" t="s">
        <v>203</v>
      </c>
      <c r="D123" s="33">
        <v>150000</v>
      </c>
      <c r="E123" s="33">
        <v>19995</v>
      </c>
      <c r="F123" s="32">
        <f t="shared" si="9"/>
        <v>169995</v>
      </c>
      <c r="G123" s="34">
        <v>50</v>
      </c>
      <c r="H123" s="32">
        <v>3399.9</v>
      </c>
      <c r="I123" s="31">
        <v>50</v>
      </c>
      <c r="J123" s="35">
        <f t="shared" si="10"/>
        <v>0</v>
      </c>
      <c r="K123" s="36">
        <f t="shared" si="13"/>
        <v>169995</v>
      </c>
      <c r="L123" s="32">
        <f t="shared" si="11"/>
        <v>0</v>
      </c>
      <c r="M123" s="31"/>
    </row>
    <row r="124" spans="2:13" ht="18.75" x14ac:dyDescent="0.3">
      <c r="B124" s="34">
        <v>119</v>
      </c>
      <c r="C124" s="31" t="s">
        <v>136</v>
      </c>
      <c r="D124" s="33">
        <v>150000</v>
      </c>
      <c r="E124" s="33">
        <v>19995</v>
      </c>
      <c r="F124" s="32">
        <f t="shared" si="9"/>
        <v>169995</v>
      </c>
      <c r="G124" s="34">
        <v>50</v>
      </c>
      <c r="H124" s="32">
        <v>3399.9</v>
      </c>
      <c r="I124" s="31">
        <v>50</v>
      </c>
      <c r="J124" s="35">
        <f t="shared" si="10"/>
        <v>0</v>
      </c>
      <c r="K124" s="36">
        <f t="shared" si="13"/>
        <v>169995</v>
      </c>
      <c r="L124" s="32">
        <f t="shared" si="11"/>
        <v>0</v>
      </c>
      <c r="M124" s="31"/>
    </row>
    <row r="125" spans="2:13" ht="18.75" x14ac:dyDescent="0.3">
      <c r="B125" s="34">
        <v>120</v>
      </c>
      <c r="C125" s="31" t="s">
        <v>137</v>
      </c>
      <c r="D125" s="33">
        <v>150000</v>
      </c>
      <c r="E125" s="33">
        <v>19995</v>
      </c>
      <c r="F125" s="32">
        <f t="shared" si="9"/>
        <v>169995</v>
      </c>
      <c r="G125" s="34">
        <v>50</v>
      </c>
      <c r="H125" s="32">
        <v>3399.9</v>
      </c>
      <c r="I125" s="31">
        <v>35</v>
      </c>
      <c r="J125" s="35">
        <f t="shared" si="10"/>
        <v>15</v>
      </c>
      <c r="K125" s="36">
        <f t="shared" si="13"/>
        <v>118996.5</v>
      </c>
      <c r="L125" s="32">
        <f t="shared" si="11"/>
        <v>50998.5</v>
      </c>
      <c r="M125" s="31"/>
    </row>
    <row r="126" spans="2:13" ht="18.75" x14ac:dyDescent="0.3">
      <c r="B126" s="34">
        <v>121</v>
      </c>
      <c r="C126" s="31" t="s">
        <v>230</v>
      </c>
      <c r="D126" s="33">
        <v>150000</v>
      </c>
      <c r="E126" s="33">
        <v>19995</v>
      </c>
      <c r="F126" s="32">
        <f t="shared" si="9"/>
        <v>169995</v>
      </c>
      <c r="G126" s="34">
        <v>50</v>
      </c>
      <c r="H126" s="32">
        <v>3399.9</v>
      </c>
      <c r="I126" s="31">
        <v>40</v>
      </c>
      <c r="J126" s="35">
        <f t="shared" si="10"/>
        <v>10</v>
      </c>
      <c r="K126" s="36">
        <f t="shared" si="13"/>
        <v>135996</v>
      </c>
      <c r="L126" s="32">
        <f t="shared" si="11"/>
        <v>33999</v>
      </c>
      <c r="M126" s="31"/>
    </row>
    <row r="127" spans="2:13" ht="18.75" x14ac:dyDescent="0.3">
      <c r="B127" s="34">
        <v>122</v>
      </c>
      <c r="C127" s="31" t="s">
        <v>139</v>
      </c>
      <c r="D127" s="33">
        <v>150000</v>
      </c>
      <c r="E127" s="33">
        <v>19995</v>
      </c>
      <c r="F127" s="32">
        <f t="shared" si="9"/>
        <v>169995</v>
      </c>
      <c r="G127" s="34">
        <v>50</v>
      </c>
      <c r="H127" s="32">
        <v>3399.9</v>
      </c>
      <c r="I127" s="31">
        <v>35</v>
      </c>
      <c r="J127" s="35">
        <f t="shared" si="10"/>
        <v>15</v>
      </c>
      <c r="K127" s="36">
        <f t="shared" si="13"/>
        <v>118996.5</v>
      </c>
      <c r="L127" s="32">
        <f t="shared" si="11"/>
        <v>50998.5</v>
      </c>
      <c r="M127" s="31"/>
    </row>
    <row r="128" spans="2:13" ht="18.75" x14ac:dyDescent="0.3">
      <c r="B128" s="34">
        <v>123</v>
      </c>
      <c r="C128" s="31" t="s">
        <v>229</v>
      </c>
      <c r="D128" s="33">
        <v>150000</v>
      </c>
      <c r="E128" s="33">
        <v>19995</v>
      </c>
      <c r="F128" s="32">
        <f t="shared" ref="F128:F158" si="14">D128+E128</f>
        <v>169995</v>
      </c>
      <c r="G128" s="34">
        <v>50</v>
      </c>
      <c r="H128" s="32">
        <v>3399.9</v>
      </c>
      <c r="I128" s="31">
        <v>30</v>
      </c>
      <c r="J128" s="35">
        <f t="shared" si="10"/>
        <v>20</v>
      </c>
      <c r="K128" s="36">
        <f t="shared" si="13"/>
        <v>101997</v>
      </c>
      <c r="L128" s="36">
        <f t="shared" si="11"/>
        <v>67998</v>
      </c>
      <c r="M128" s="31"/>
    </row>
    <row r="129" spans="2:13" ht="18.75" x14ac:dyDescent="0.3">
      <c r="B129" s="34">
        <v>124</v>
      </c>
      <c r="C129" s="31" t="s">
        <v>207</v>
      </c>
      <c r="D129" s="33">
        <v>150000</v>
      </c>
      <c r="E129" s="33">
        <v>19995</v>
      </c>
      <c r="F129" s="32">
        <f t="shared" si="14"/>
        <v>169995</v>
      </c>
      <c r="G129" s="34">
        <v>50</v>
      </c>
      <c r="H129" s="32">
        <v>3399.9</v>
      </c>
      <c r="I129" s="31">
        <v>30</v>
      </c>
      <c r="J129" s="35">
        <f t="shared" si="10"/>
        <v>20</v>
      </c>
      <c r="K129" s="36">
        <f t="shared" ref="K129:K177" si="15">I129*H129</f>
        <v>101997</v>
      </c>
      <c r="L129" s="36">
        <f>F129-H129</f>
        <v>166595.1</v>
      </c>
      <c r="M129" s="31"/>
    </row>
    <row r="130" spans="2:13" ht="18.75" x14ac:dyDescent="0.3">
      <c r="B130" s="34">
        <v>125</v>
      </c>
      <c r="C130" s="50" t="s">
        <v>147</v>
      </c>
      <c r="D130" s="33">
        <v>150000</v>
      </c>
      <c r="E130" s="33">
        <v>19995</v>
      </c>
      <c r="F130" s="32">
        <f t="shared" si="14"/>
        <v>169995</v>
      </c>
      <c r="G130" s="34">
        <v>50</v>
      </c>
      <c r="H130" s="32">
        <v>3399.9</v>
      </c>
      <c r="I130" s="50">
        <v>24</v>
      </c>
      <c r="J130" s="35">
        <f t="shared" si="10"/>
        <v>26</v>
      </c>
      <c r="K130" s="36">
        <f t="shared" si="15"/>
        <v>81597.600000000006</v>
      </c>
      <c r="L130" s="36">
        <f t="shared" ref="L130:L177" si="16">F130-K130</f>
        <v>88397.4</v>
      </c>
      <c r="M130" s="31"/>
    </row>
    <row r="131" spans="2:13" ht="18.75" x14ac:dyDescent="0.3">
      <c r="B131" s="34">
        <v>126</v>
      </c>
      <c r="C131" s="50" t="s">
        <v>151</v>
      </c>
      <c r="D131" s="33">
        <v>150000</v>
      </c>
      <c r="E131" s="33">
        <v>19995</v>
      </c>
      <c r="F131" s="32">
        <f t="shared" si="14"/>
        <v>169995</v>
      </c>
      <c r="G131" s="34">
        <v>50</v>
      </c>
      <c r="H131" s="32">
        <v>3399.9</v>
      </c>
      <c r="I131" s="50">
        <v>24</v>
      </c>
      <c r="J131" s="35">
        <f t="shared" si="10"/>
        <v>26</v>
      </c>
      <c r="K131" s="36">
        <f t="shared" si="15"/>
        <v>81597.600000000006</v>
      </c>
      <c r="L131" s="36">
        <f t="shared" si="16"/>
        <v>88397.4</v>
      </c>
      <c r="M131" s="31"/>
    </row>
    <row r="132" spans="2:13" ht="18.75" x14ac:dyDescent="0.3">
      <c r="B132" s="34">
        <v>127</v>
      </c>
      <c r="C132" s="50" t="s">
        <v>152</v>
      </c>
      <c r="D132" s="33">
        <v>150000</v>
      </c>
      <c r="E132" s="33">
        <v>19995</v>
      </c>
      <c r="F132" s="32">
        <f t="shared" si="14"/>
        <v>169995</v>
      </c>
      <c r="G132" s="34">
        <v>50</v>
      </c>
      <c r="H132" s="32">
        <v>3399.9</v>
      </c>
      <c r="I132" s="50">
        <v>24</v>
      </c>
      <c r="J132" s="35">
        <f t="shared" si="10"/>
        <v>26</v>
      </c>
      <c r="K132" s="36">
        <f t="shared" si="15"/>
        <v>81597.600000000006</v>
      </c>
      <c r="L132" s="36">
        <f t="shared" si="16"/>
        <v>88397.4</v>
      </c>
      <c r="M132" s="31"/>
    </row>
    <row r="133" spans="2:13" ht="18.75" x14ac:dyDescent="0.3">
      <c r="B133" s="34">
        <v>128</v>
      </c>
      <c r="C133" s="50" t="s">
        <v>153</v>
      </c>
      <c r="D133" s="33">
        <v>150000</v>
      </c>
      <c r="E133" s="33">
        <v>19995</v>
      </c>
      <c r="F133" s="32">
        <f t="shared" si="14"/>
        <v>169995</v>
      </c>
      <c r="G133" s="34">
        <v>50</v>
      </c>
      <c r="H133" s="32">
        <v>3399.9</v>
      </c>
      <c r="I133" s="50">
        <v>24</v>
      </c>
      <c r="J133" s="35">
        <f t="shared" si="10"/>
        <v>26</v>
      </c>
      <c r="K133" s="36">
        <f t="shared" si="15"/>
        <v>81597.600000000006</v>
      </c>
      <c r="L133" s="36">
        <f t="shared" si="16"/>
        <v>88397.4</v>
      </c>
      <c r="M133" s="31"/>
    </row>
    <row r="134" spans="2:13" ht="18.75" x14ac:dyDescent="0.3">
      <c r="B134" s="34">
        <v>129</v>
      </c>
      <c r="C134" s="50" t="s">
        <v>216</v>
      </c>
      <c r="D134" s="33">
        <v>150000</v>
      </c>
      <c r="E134" s="33">
        <v>19995</v>
      </c>
      <c r="F134" s="32">
        <f t="shared" si="14"/>
        <v>169995</v>
      </c>
      <c r="G134" s="34">
        <v>50</v>
      </c>
      <c r="H134" s="32">
        <v>3399.9</v>
      </c>
      <c r="I134" s="50">
        <v>16</v>
      </c>
      <c r="J134" s="35">
        <f t="shared" ref="J134:J177" si="17">G134-I134</f>
        <v>34</v>
      </c>
      <c r="K134" s="36">
        <f t="shared" si="15"/>
        <v>54398.400000000001</v>
      </c>
      <c r="L134" s="36">
        <f t="shared" si="16"/>
        <v>115596.6</v>
      </c>
      <c r="M134" s="31"/>
    </row>
    <row r="135" spans="2:13" ht="18.75" x14ac:dyDescent="0.3">
      <c r="B135" s="34">
        <v>130</v>
      </c>
      <c r="C135" s="50" t="s">
        <v>213</v>
      </c>
      <c r="D135" s="33">
        <v>150000</v>
      </c>
      <c r="E135" s="33">
        <v>19995</v>
      </c>
      <c r="F135" s="32">
        <f t="shared" si="14"/>
        <v>169995</v>
      </c>
      <c r="G135" s="34">
        <v>50</v>
      </c>
      <c r="H135" s="32">
        <v>3399.9</v>
      </c>
      <c r="I135" s="50">
        <v>16</v>
      </c>
      <c r="J135" s="35">
        <f t="shared" si="17"/>
        <v>34</v>
      </c>
      <c r="K135" s="36">
        <f t="shared" si="15"/>
        <v>54398.400000000001</v>
      </c>
      <c r="L135" s="36">
        <f t="shared" si="16"/>
        <v>115596.6</v>
      </c>
      <c r="M135" s="31"/>
    </row>
    <row r="136" spans="2:13" ht="18.75" x14ac:dyDescent="0.3">
      <c r="B136" s="34">
        <v>131</v>
      </c>
      <c r="C136" s="50" t="s">
        <v>23</v>
      </c>
      <c r="D136" s="33">
        <v>150000</v>
      </c>
      <c r="E136" s="33">
        <v>19995</v>
      </c>
      <c r="F136" s="32">
        <f t="shared" si="14"/>
        <v>169995</v>
      </c>
      <c r="G136" s="34">
        <v>50</v>
      </c>
      <c r="H136" s="32">
        <v>3399.9</v>
      </c>
      <c r="I136" s="50">
        <v>16</v>
      </c>
      <c r="J136" s="35">
        <f t="shared" si="17"/>
        <v>34</v>
      </c>
      <c r="K136" s="36">
        <f t="shared" si="15"/>
        <v>54398.400000000001</v>
      </c>
      <c r="L136" s="36">
        <f t="shared" si="16"/>
        <v>115596.6</v>
      </c>
      <c r="M136" s="31"/>
    </row>
    <row r="137" spans="2:13" ht="18.75" x14ac:dyDescent="0.3">
      <c r="B137" s="34">
        <v>132</v>
      </c>
      <c r="C137" s="50" t="s">
        <v>24</v>
      </c>
      <c r="D137" s="33">
        <v>150000</v>
      </c>
      <c r="E137" s="33">
        <v>19995</v>
      </c>
      <c r="F137" s="32">
        <f t="shared" si="14"/>
        <v>169995</v>
      </c>
      <c r="G137" s="34">
        <v>50</v>
      </c>
      <c r="H137" s="32">
        <v>3399.9</v>
      </c>
      <c r="I137" s="50">
        <v>16</v>
      </c>
      <c r="J137" s="35">
        <f t="shared" si="17"/>
        <v>34</v>
      </c>
      <c r="K137" s="36">
        <f t="shared" si="15"/>
        <v>54398.400000000001</v>
      </c>
      <c r="L137" s="36">
        <f t="shared" si="16"/>
        <v>115596.6</v>
      </c>
      <c r="M137" s="31"/>
    </row>
    <row r="138" spans="2:13" ht="18.75" x14ac:dyDescent="0.3">
      <c r="B138" s="34">
        <v>133</v>
      </c>
      <c r="C138" s="50" t="s">
        <v>27</v>
      </c>
      <c r="D138" s="33">
        <v>150000</v>
      </c>
      <c r="E138" s="33">
        <v>19995</v>
      </c>
      <c r="F138" s="32">
        <f t="shared" si="14"/>
        <v>169995</v>
      </c>
      <c r="G138" s="34">
        <v>50</v>
      </c>
      <c r="H138" s="32">
        <v>3399.9</v>
      </c>
      <c r="I138" s="50">
        <v>14</v>
      </c>
      <c r="J138" s="35">
        <f t="shared" si="17"/>
        <v>36</v>
      </c>
      <c r="K138" s="36">
        <f t="shared" si="15"/>
        <v>47598.6</v>
      </c>
      <c r="L138" s="36">
        <f t="shared" si="16"/>
        <v>122396.4</v>
      </c>
      <c r="M138" s="31"/>
    </row>
    <row r="139" spans="2:13" ht="18.75" x14ac:dyDescent="0.3">
      <c r="B139" s="34">
        <v>134</v>
      </c>
      <c r="C139" s="29" t="s">
        <v>32</v>
      </c>
      <c r="D139" s="33">
        <v>150000</v>
      </c>
      <c r="E139" s="33">
        <v>19995</v>
      </c>
      <c r="F139" s="32">
        <f t="shared" si="14"/>
        <v>169995</v>
      </c>
      <c r="G139" s="34">
        <v>50</v>
      </c>
      <c r="H139" s="32">
        <v>3399.9</v>
      </c>
      <c r="I139" s="50">
        <v>14</v>
      </c>
      <c r="J139" s="35">
        <f t="shared" si="17"/>
        <v>36</v>
      </c>
      <c r="K139" s="36">
        <f t="shared" si="15"/>
        <v>47598.6</v>
      </c>
      <c r="L139" s="36">
        <f t="shared" si="16"/>
        <v>122396.4</v>
      </c>
      <c r="M139" s="31"/>
    </row>
    <row r="140" spans="2:13" ht="18.75" x14ac:dyDescent="0.3">
      <c r="B140" s="34">
        <v>135</v>
      </c>
      <c r="C140" s="29" t="s">
        <v>33</v>
      </c>
      <c r="D140" s="33">
        <v>150000</v>
      </c>
      <c r="E140" s="33">
        <v>19995</v>
      </c>
      <c r="F140" s="32">
        <f t="shared" si="14"/>
        <v>169995</v>
      </c>
      <c r="G140" s="34">
        <v>50</v>
      </c>
      <c r="H140" s="32">
        <v>3399.9</v>
      </c>
      <c r="I140" s="50">
        <v>14</v>
      </c>
      <c r="J140" s="35">
        <f t="shared" si="17"/>
        <v>36</v>
      </c>
      <c r="K140" s="36">
        <f t="shared" si="15"/>
        <v>47598.6</v>
      </c>
      <c r="L140" s="36">
        <f t="shared" si="16"/>
        <v>122396.4</v>
      </c>
      <c r="M140" s="31"/>
    </row>
    <row r="141" spans="2:13" ht="18.75" x14ac:dyDescent="0.3">
      <c r="B141" s="34">
        <v>136</v>
      </c>
      <c r="C141" s="29" t="s">
        <v>34</v>
      </c>
      <c r="D141" s="33">
        <v>150000</v>
      </c>
      <c r="E141" s="33">
        <v>19995</v>
      </c>
      <c r="F141" s="32">
        <f t="shared" si="14"/>
        <v>169995</v>
      </c>
      <c r="G141" s="34">
        <v>50</v>
      </c>
      <c r="H141" s="32">
        <v>3399.9</v>
      </c>
      <c r="I141" s="50">
        <v>14</v>
      </c>
      <c r="J141" s="35">
        <f t="shared" si="17"/>
        <v>36</v>
      </c>
      <c r="K141" s="36">
        <f t="shared" si="15"/>
        <v>47598.6</v>
      </c>
      <c r="L141" s="36">
        <f t="shared" si="16"/>
        <v>122396.4</v>
      </c>
      <c r="M141" s="31"/>
    </row>
    <row r="142" spans="2:13" ht="18.75" x14ac:dyDescent="0.3">
      <c r="B142" s="34">
        <v>137</v>
      </c>
      <c r="C142" s="29" t="s">
        <v>41</v>
      </c>
      <c r="D142" s="33">
        <v>150000</v>
      </c>
      <c r="E142" s="33">
        <v>19995</v>
      </c>
      <c r="F142" s="32">
        <f t="shared" si="14"/>
        <v>169995</v>
      </c>
      <c r="G142" s="34">
        <v>50</v>
      </c>
      <c r="H142" s="32">
        <v>3399.9</v>
      </c>
      <c r="I142" s="50">
        <v>10</v>
      </c>
      <c r="J142" s="35">
        <f t="shared" si="17"/>
        <v>40</v>
      </c>
      <c r="K142" s="36">
        <f t="shared" si="15"/>
        <v>33999</v>
      </c>
      <c r="L142" s="36">
        <f t="shared" si="16"/>
        <v>135996</v>
      </c>
      <c r="M142" s="31"/>
    </row>
    <row r="143" spans="2:13" ht="18.75" x14ac:dyDescent="0.3">
      <c r="B143" s="34">
        <v>138</v>
      </c>
      <c r="C143" s="29" t="s">
        <v>157</v>
      </c>
      <c r="D143" s="33">
        <v>150000</v>
      </c>
      <c r="E143" s="33">
        <v>19995</v>
      </c>
      <c r="F143" s="32">
        <f t="shared" si="14"/>
        <v>169995</v>
      </c>
      <c r="G143" s="34">
        <v>50</v>
      </c>
      <c r="H143" s="32">
        <v>3399</v>
      </c>
      <c r="I143" s="50">
        <v>26</v>
      </c>
      <c r="J143" s="35">
        <f t="shared" si="17"/>
        <v>24</v>
      </c>
      <c r="K143" s="36">
        <f t="shared" si="15"/>
        <v>88374</v>
      </c>
      <c r="L143" s="36">
        <f t="shared" si="16"/>
        <v>81621</v>
      </c>
      <c r="M143" s="31"/>
    </row>
    <row r="144" spans="2:13" ht="18.75" x14ac:dyDescent="0.3">
      <c r="B144" s="34">
        <v>139</v>
      </c>
      <c r="C144" s="29" t="s">
        <v>158</v>
      </c>
      <c r="D144" s="33">
        <v>150000</v>
      </c>
      <c r="E144" s="33">
        <v>19995</v>
      </c>
      <c r="F144" s="32">
        <f t="shared" si="14"/>
        <v>169995</v>
      </c>
      <c r="G144" s="34">
        <v>50</v>
      </c>
      <c r="H144" s="32">
        <v>3399.9</v>
      </c>
      <c r="I144" s="31">
        <v>50</v>
      </c>
      <c r="J144" s="35">
        <f t="shared" si="17"/>
        <v>0</v>
      </c>
      <c r="K144" s="36">
        <f t="shared" si="15"/>
        <v>169995</v>
      </c>
      <c r="L144" s="36">
        <f t="shared" si="16"/>
        <v>0</v>
      </c>
      <c r="M144" s="31"/>
    </row>
    <row r="145" spans="2:13" ht="18.75" x14ac:dyDescent="0.3">
      <c r="B145" s="34">
        <v>140</v>
      </c>
      <c r="C145" s="29" t="s">
        <v>165</v>
      </c>
      <c r="D145" s="33">
        <v>150000</v>
      </c>
      <c r="E145" s="33">
        <v>19995</v>
      </c>
      <c r="F145" s="32">
        <f t="shared" si="14"/>
        <v>169995</v>
      </c>
      <c r="G145" s="34">
        <v>50</v>
      </c>
      <c r="H145" s="32">
        <v>3399</v>
      </c>
      <c r="I145" s="50">
        <v>26</v>
      </c>
      <c r="J145" s="35">
        <f t="shared" si="17"/>
        <v>24</v>
      </c>
      <c r="K145" s="36">
        <f t="shared" si="15"/>
        <v>88374</v>
      </c>
      <c r="L145" s="36">
        <f t="shared" si="16"/>
        <v>81621</v>
      </c>
      <c r="M145" s="31"/>
    </row>
    <row r="146" spans="2:13" ht="18.75" x14ac:dyDescent="0.3">
      <c r="B146" s="34">
        <v>141</v>
      </c>
      <c r="C146" s="29" t="s">
        <v>168</v>
      </c>
      <c r="D146" s="33">
        <v>150000</v>
      </c>
      <c r="E146" s="33">
        <v>19995</v>
      </c>
      <c r="F146" s="32">
        <f t="shared" si="14"/>
        <v>169995</v>
      </c>
      <c r="G146" s="34">
        <v>50</v>
      </c>
      <c r="H146" s="32">
        <v>3399</v>
      </c>
      <c r="I146" s="50">
        <v>26</v>
      </c>
      <c r="J146" s="35">
        <f t="shared" si="17"/>
        <v>24</v>
      </c>
      <c r="K146" s="36">
        <f t="shared" si="15"/>
        <v>88374</v>
      </c>
      <c r="L146" s="36">
        <f t="shared" si="16"/>
        <v>81621</v>
      </c>
      <c r="M146" s="31"/>
    </row>
    <row r="147" spans="2:13" ht="18.75" x14ac:dyDescent="0.3">
      <c r="B147" s="34">
        <v>142</v>
      </c>
      <c r="C147" s="29" t="s">
        <v>181</v>
      </c>
      <c r="D147" s="33">
        <v>150000</v>
      </c>
      <c r="E147" s="33">
        <v>19995</v>
      </c>
      <c r="F147" s="32">
        <f t="shared" si="14"/>
        <v>169995</v>
      </c>
      <c r="G147" s="34">
        <v>50</v>
      </c>
      <c r="H147" s="32">
        <v>3399</v>
      </c>
      <c r="I147" s="50">
        <v>24</v>
      </c>
      <c r="J147" s="35">
        <f t="shared" si="17"/>
        <v>26</v>
      </c>
      <c r="K147" s="36">
        <f t="shared" si="15"/>
        <v>81576</v>
      </c>
      <c r="L147" s="36">
        <f t="shared" si="16"/>
        <v>88419</v>
      </c>
      <c r="M147" s="31"/>
    </row>
    <row r="148" spans="2:13" ht="18.75" x14ac:dyDescent="0.3">
      <c r="B148" s="34">
        <v>143</v>
      </c>
      <c r="C148" s="29" t="s">
        <v>52</v>
      </c>
      <c r="D148" s="33">
        <v>150000</v>
      </c>
      <c r="E148" s="33">
        <v>19995</v>
      </c>
      <c r="F148" s="32">
        <f t="shared" si="14"/>
        <v>169995</v>
      </c>
      <c r="G148" s="34">
        <v>50</v>
      </c>
      <c r="H148" s="32">
        <v>3399.9</v>
      </c>
      <c r="I148" s="50">
        <v>11</v>
      </c>
      <c r="J148" s="35">
        <f t="shared" si="17"/>
        <v>39</v>
      </c>
      <c r="K148" s="36">
        <f t="shared" si="15"/>
        <v>37398.9</v>
      </c>
      <c r="L148" s="36">
        <f t="shared" si="16"/>
        <v>132596.1</v>
      </c>
      <c r="M148" s="31"/>
    </row>
    <row r="149" spans="2:13" ht="18.75" x14ac:dyDescent="0.3">
      <c r="B149" s="34">
        <v>144</v>
      </c>
      <c r="C149" s="29" t="s">
        <v>53</v>
      </c>
      <c r="D149" s="33">
        <v>150000</v>
      </c>
      <c r="E149" s="33">
        <v>19995</v>
      </c>
      <c r="F149" s="32">
        <f t="shared" si="14"/>
        <v>169995</v>
      </c>
      <c r="G149" s="34">
        <v>50</v>
      </c>
      <c r="H149" s="32">
        <v>3399.9</v>
      </c>
      <c r="I149" s="50">
        <v>11</v>
      </c>
      <c r="J149" s="35">
        <f t="shared" si="17"/>
        <v>39</v>
      </c>
      <c r="K149" s="36">
        <f t="shared" si="15"/>
        <v>37398.9</v>
      </c>
      <c r="L149" s="36">
        <f t="shared" si="16"/>
        <v>132596.1</v>
      </c>
      <c r="M149" s="31"/>
    </row>
    <row r="150" spans="2:13" ht="18.75" x14ac:dyDescent="0.3">
      <c r="B150" s="34">
        <v>145</v>
      </c>
      <c r="C150" s="29" t="s">
        <v>250</v>
      </c>
      <c r="D150" s="33">
        <v>150000</v>
      </c>
      <c r="E150" s="33">
        <v>19995</v>
      </c>
      <c r="F150" s="32">
        <f t="shared" si="14"/>
        <v>169995</v>
      </c>
      <c r="G150" s="34">
        <v>50</v>
      </c>
      <c r="H150" s="32">
        <v>3399.9</v>
      </c>
      <c r="I150" s="50">
        <v>11</v>
      </c>
      <c r="J150" s="35">
        <f t="shared" si="17"/>
        <v>39</v>
      </c>
      <c r="K150" s="36">
        <f t="shared" si="15"/>
        <v>37398.9</v>
      </c>
      <c r="L150" s="36">
        <f t="shared" si="16"/>
        <v>132596.1</v>
      </c>
      <c r="M150" s="31"/>
    </row>
    <row r="151" spans="2:13" ht="18.75" x14ac:dyDescent="0.3">
      <c r="B151" s="34">
        <v>146</v>
      </c>
      <c r="C151" s="29" t="s">
        <v>51</v>
      </c>
      <c r="D151" s="33">
        <v>150000</v>
      </c>
      <c r="E151" s="33">
        <v>19995</v>
      </c>
      <c r="F151" s="32">
        <f t="shared" si="14"/>
        <v>169995</v>
      </c>
      <c r="G151" s="34">
        <v>50</v>
      </c>
      <c r="H151" s="32">
        <v>3399.9</v>
      </c>
      <c r="I151" s="50">
        <v>11</v>
      </c>
      <c r="J151" s="35">
        <f t="shared" si="17"/>
        <v>39</v>
      </c>
      <c r="K151" s="36">
        <f t="shared" si="15"/>
        <v>37398.9</v>
      </c>
      <c r="L151" s="36">
        <f t="shared" si="16"/>
        <v>132596.1</v>
      </c>
      <c r="M151" s="31"/>
    </row>
    <row r="152" spans="2:13" ht="18.75" x14ac:dyDescent="0.3">
      <c r="B152" s="34">
        <v>147</v>
      </c>
      <c r="C152" s="29" t="s">
        <v>58</v>
      </c>
      <c r="D152" s="33">
        <v>150000</v>
      </c>
      <c r="E152" s="33">
        <v>19995</v>
      </c>
      <c r="F152" s="32">
        <f t="shared" si="14"/>
        <v>169995</v>
      </c>
      <c r="G152" s="34">
        <v>50</v>
      </c>
      <c r="H152" s="32">
        <v>3399.9</v>
      </c>
      <c r="I152" s="50">
        <v>9</v>
      </c>
      <c r="J152" s="35">
        <f t="shared" si="17"/>
        <v>41</v>
      </c>
      <c r="K152" s="36">
        <f t="shared" si="15"/>
        <v>30599.100000000002</v>
      </c>
      <c r="L152" s="36">
        <f t="shared" si="16"/>
        <v>139395.9</v>
      </c>
      <c r="M152" s="31"/>
    </row>
    <row r="153" spans="2:13" ht="18.75" x14ac:dyDescent="0.3">
      <c r="B153" s="34">
        <v>148</v>
      </c>
      <c r="C153" s="29" t="s">
        <v>61</v>
      </c>
      <c r="D153" s="33">
        <v>150000</v>
      </c>
      <c r="E153" s="33">
        <v>19995</v>
      </c>
      <c r="F153" s="32">
        <f t="shared" si="14"/>
        <v>169995</v>
      </c>
      <c r="G153" s="34">
        <v>50</v>
      </c>
      <c r="H153" s="32">
        <v>3399.9</v>
      </c>
      <c r="I153" s="50">
        <v>9</v>
      </c>
      <c r="J153" s="35">
        <f t="shared" si="17"/>
        <v>41</v>
      </c>
      <c r="K153" s="36">
        <f t="shared" si="15"/>
        <v>30599.100000000002</v>
      </c>
      <c r="L153" s="36">
        <f t="shared" si="16"/>
        <v>139395.9</v>
      </c>
      <c r="M153" s="31"/>
    </row>
    <row r="154" spans="2:13" ht="18.75" x14ac:dyDescent="0.3">
      <c r="B154" s="34">
        <v>149</v>
      </c>
      <c r="C154" s="29" t="s">
        <v>60</v>
      </c>
      <c r="D154" s="33">
        <v>150000</v>
      </c>
      <c r="E154" s="33">
        <v>19995</v>
      </c>
      <c r="F154" s="32">
        <f t="shared" si="14"/>
        <v>169995</v>
      </c>
      <c r="G154" s="34">
        <v>50</v>
      </c>
      <c r="H154" s="32">
        <v>3399.9</v>
      </c>
      <c r="I154" s="50">
        <v>9</v>
      </c>
      <c r="J154" s="35">
        <f t="shared" si="17"/>
        <v>41</v>
      </c>
      <c r="K154" s="36">
        <f t="shared" si="15"/>
        <v>30599.100000000002</v>
      </c>
      <c r="L154" s="36">
        <f t="shared" si="16"/>
        <v>139395.9</v>
      </c>
      <c r="M154" s="31"/>
    </row>
    <row r="155" spans="2:13" ht="18.75" x14ac:dyDescent="0.3">
      <c r="B155" s="34">
        <v>150</v>
      </c>
      <c r="C155" s="29" t="s">
        <v>258</v>
      </c>
      <c r="D155" s="33">
        <v>150000</v>
      </c>
      <c r="E155" s="33">
        <v>19995</v>
      </c>
      <c r="F155" s="32">
        <f t="shared" si="14"/>
        <v>169995</v>
      </c>
      <c r="G155" s="34">
        <v>50</v>
      </c>
      <c r="H155" s="32">
        <v>3399.9</v>
      </c>
      <c r="I155" s="50">
        <v>6</v>
      </c>
      <c r="J155" s="35">
        <f t="shared" si="17"/>
        <v>44</v>
      </c>
      <c r="K155" s="36">
        <f t="shared" si="15"/>
        <v>20399.400000000001</v>
      </c>
      <c r="L155" s="36">
        <f t="shared" si="16"/>
        <v>149595.6</v>
      </c>
      <c r="M155" s="31"/>
    </row>
    <row r="156" spans="2:13" ht="18.75" x14ac:dyDescent="0.3">
      <c r="B156" s="34">
        <v>151</v>
      </c>
      <c r="C156" s="66" t="s">
        <v>262</v>
      </c>
      <c r="D156" s="33">
        <v>150000</v>
      </c>
      <c r="E156" s="33">
        <v>19995</v>
      </c>
      <c r="F156" s="32">
        <f t="shared" si="14"/>
        <v>169995</v>
      </c>
      <c r="G156" s="34">
        <v>50</v>
      </c>
      <c r="H156" s="32">
        <v>3399.9</v>
      </c>
      <c r="I156" s="50">
        <v>4</v>
      </c>
      <c r="J156" s="35">
        <f t="shared" si="17"/>
        <v>46</v>
      </c>
      <c r="K156" s="36">
        <f t="shared" si="15"/>
        <v>13599.6</v>
      </c>
      <c r="L156" s="36">
        <f t="shared" si="16"/>
        <v>156395.4</v>
      </c>
      <c r="M156" s="31"/>
    </row>
    <row r="157" spans="2:13" ht="18.75" x14ac:dyDescent="0.3">
      <c r="B157" s="34">
        <v>152</v>
      </c>
      <c r="C157" s="66" t="s">
        <v>263</v>
      </c>
      <c r="D157" s="32">
        <v>330000</v>
      </c>
      <c r="E157" s="33">
        <v>43989</v>
      </c>
      <c r="F157" s="32">
        <f t="shared" si="14"/>
        <v>373989</v>
      </c>
      <c r="G157" s="34">
        <v>50</v>
      </c>
      <c r="H157" s="32">
        <v>7479.78</v>
      </c>
      <c r="I157" s="50">
        <v>9</v>
      </c>
      <c r="J157" s="35">
        <f t="shared" si="17"/>
        <v>41</v>
      </c>
      <c r="K157" s="36">
        <f t="shared" si="15"/>
        <v>67318.02</v>
      </c>
      <c r="L157" s="36">
        <f t="shared" si="16"/>
        <v>306670.98</v>
      </c>
      <c r="M157" s="31"/>
    </row>
    <row r="158" spans="2:13" ht="18.75" x14ac:dyDescent="0.3">
      <c r="B158" s="34">
        <v>153</v>
      </c>
      <c r="C158" s="66" t="s">
        <v>264</v>
      </c>
      <c r="D158" s="32">
        <v>330000</v>
      </c>
      <c r="E158" s="33">
        <v>43989</v>
      </c>
      <c r="F158" s="32">
        <f t="shared" si="14"/>
        <v>373989</v>
      </c>
      <c r="G158" s="34">
        <v>50</v>
      </c>
      <c r="H158" s="32">
        <v>7479.78</v>
      </c>
      <c r="I158" s="50">
        <v>9</v>
      </c>
      <c r="J158" s="35">
        <f t="shared" si="17"/>
        <v>41</v>
      </c>
      <c r="K158" s="36">
        <f t="shared" si="15"/>
        <v>67318.02</v>
      </c>
      <c r="L158" s="36">
        <f t="shared" si="16"/>
        <v>306670.98</v>
      </c>
      <c r="M158" s="31"/>
    </row>
    <row r="159" spans="2:13" ht="18.75" x14ac:dyDescent="0.3">
      <c r="B159" s="34">
        <v>154</v>
      </c>
      <c r="C159" s="66" t="s">
        <v>265</v>
      </c>
      <c r="D159" s="33">
        <v>450000</v>
      </c>
      <c r="E159" s="33">
        <v>59985</v>
      </c>
      <c r="F159" s="32">
        <f>D159+E159</f>
        <v>509985</v>
      </c>
      <c r="G159" s="34">
        <v>50</v>
      </c>
      <c r="H159" s="32">
        <v>10199.700000000001</v>
      </c>
      <c r="I159" s="50">
        <v>9</v>
      </c>
      <c r="J159" s="35">
        <f t="shared" si="17"/>
        <v>41</v>
      </c>
      <c r="K159" s="36">
        <f t="shared" si="15"/>
        <v>91797.3</v>
      </c>
      <c r="L159" s="36">
        <f t="shared" si="16"/>
        <v>418187.7</v>
      </c>
      <c r="M159" s="31"/>
    </row>
    <row r="160" spans="2:13" ht="18.75" x14ac:dyDescent="0.3">
      <c r="B160" s="34">
        <v>155</v>
      </c>
      <c r="C160" s="66" t="s">
        <v>269</v>
      </c>
      <c r="D160" s="33"/>
      <c r="E160" s="33"/>
      <c r="F160" s="32">
        <v>90664</v>
      </c>
      <c r="G160" s="34">
        <v>8</v>
      </c>
      <c r="H160" s="32">
        <v>11333</v>
      </c>
      <c r="I160" s="50">
        <v>3</v>
      </c>
      <c r="J160" s="35">
        <f t="shared" si="17"/>
        <v>5</v>
      </c>
      <c r="K160" s="36">
        <f t="shared" si="15"/>
        <v>33999</v>
      </c>
      <c r="L160" s="36">
        <f t="shared" si="16"/>
        <v>56665</v>
      </c>
      <c r="M160" s="31"/>
    </row>
    <row r="161" spans="2:13" ht="18.75" x14ac:dyDescent="0.3">
      <c r="B161" s="34">
        <v>156</v>
      </c>
      <c r="C161" s="66" t="s">
        <v>270</v>
      </c>
      <c r="D161" s="33">
        <v>500000</v>
      </c>
      <c r="E161" s="33">
        <v>66650</v>
      </c>
      <c r="F161" s="32">
        <f>D161+E161</f>
        <v>566650</v>
      </c>
      <c r="G161" s="34">
        <v>50</v>
      </c>
      <c r="H161" s="32">
        <v>11333</v>
      </c>
      <c r="I161" s="50">
        <v>3</v>
      </c>
      <c r="J161" s="35">
        <f t="shared" si="17"/>
        <v>47</v>
      </c>
      <c r="K161" s="36">
        <f t="shared" si="15"/>
        <v>33999</v>
      </c>
      <c r="L161" s="36">
        <f t="shared" si="16"/>
        <v>532651</v>
      </c>
      <c r="M161" s="31"/>
    </row>
    <row r="162" spans="2:13" ht="18.75" x14ac:dyDescent="0.3">
      <c r="B162" s="34">
        <v>157</v>
      </c>
      <c r="C162" s="66" t="s">
        <v>271</v>
      </c>
      <c r="D162" s="32">
        <v>330000</v>
      </c>
      <c r="E162" s="33">
        <v>43989</v>
      </c>
      <c r="F162" s="32">
        <f t="shared" ref="F162:F165" si="18">D162+E162</f>
        <v>373989</v>
      </c>
      <c r="G162" s="34">
        <v>50</v>
      </c>
      <c r="H162" s="32">
        <v>7479.78</v>
      </c>
      <c r="I162" s="50">
        <v>3</v>
      </c>
      <c r="J162" s="35">
        <f t="shared" si="17"/>
        <v>47</v>
      </c>
      <c r="K162" s="36">
        <f t="shared" si="15"/>
        <v>22439.34</v>
      </c>
      <c r="L162" s="36">
        <f t="shared" si="16"/>
        <v>351549.66</v>
      </c>
      <c r="M162" s="31"/>
    </row>
    <row r="163" spans="2:13" ht="18.75" x14ac:dyDescent="0.3">
      <c r="B163" s="34">
        <v>158</v>
      </c>
      <c r="C163" s="66" t="s">
        <v>272</v>
      </c>
      <c r="D163" s="32">
        <v>330000</v>
      </c>
      <c r="E163" s="33">
        <v>43989</v>
      </c>
      <c r="F163" s="32">
        <f t="shared" si="18"/>
        <v>373989</v>
      </c>
      <c r="G163" s="34">
        <v>50</v>
      </c>
      <c r="H163" s="32">
        <v>7479.78</v>
      </c>
      <c r="I163" s="50">
        <v>3</v>
      </c>
      <c r="J163" s="35">
        <f t="shared" si="17"/>
        <v>47</v>
      </c>
      <c r="K163" s="36">
        <f t="shared" si="15"/>
        <v>22439.34</v>
      </c>
      <c r="L163" s="36">
        <f t="shared" si="16"/>
        <v>351549.66</v>
      </c>
      <c r="M163" s="31"/>
    </row>
    <row r="164" spans="2:13" ht="18.75" x14ac:dyDescent="0.3">
      <c r="B164" s="34">
        <v>159</v>
      </c>
      <c r="C164" s="66" t="s">
        <v>277</v>
      </c>
      <c r="D164" s="33">
        <v>150000</v>
      </c>
      <c r="E164" s="33">
        <v>19995</v>
      </c>
      <c r="F164" s="32">
        <f t="shared" si="18"/>
        <v>169995</v>
      </c>
      <c r="G164" s="34">
        <v>50</v>
      </c>
      <c r="H164" s="32">
        <v>3399.9</v>
      </c>
      <c r="I164" s="50">
        <v>2</v>
      </c>
      <c r="J164" s="35">
        <f t="shared" si="17"/>
        <v>48</v>
      </c>
      <c r="K164" s="36">
        <f t="shared" si="15"/>
        <v>6799.8</v>
      </c>
      <c r="L164" s="36">
        <f t="shared" si="16"/>
        <v>163195.20000000001</v>
      </c>
      <c r="M164" s="53"/>
    </row>
    <row r="165" spans="2:13" ht="18.75" x14ac:dyDescent="0.3">
      <c r="B165" s="34">
        <v>160</v>
      </c>
      <c r="C165" s="66" t="s">
        <v>278</v>
      </c>
      <c r="D165" s="33">
        <v>150000</v>
      </c>
      <c r="E165" s="33">
        <v>19995</v>
      </c>
      <c r="F165" s="32">
        <f t="shared" si="18"/>
        <v>169995</v>
      </c>
      <c r="G165" s="34">
        <v>50</v>
      </c>
      <c r="H165" s="32">
        <v>3399.9</v>
      </c>
      <c r="I165" s="50">
        <v>2</v>
      </c>
      <c r="J165" s="35">
        <f t="shared" si="17"/>
        <v>48</v>
      </c>
      <c r="K165" s="36">
        <f t="shared" si="15"/>
        <v>6799.8</v>
      </c>
      <c r="L165" s="36">
        <f t="shared" si="16"/>
        <v>163195.20000000001</v>
      </c>
      <c r="M165" s="1"/>
    </row>
    <row r="166" spans="2:13" ht="18.75" x14ac:dyDescent="0.3">
      <c r="B166" s="34">
        <v>161</v>
      </c>
      <c r="C166" s="66" t="s">
        <v>283</v>
      </c>
      <c r="D166" s="33">
        <v>450000</v>
      </c>
      <c r="E166" s="33">
        <v>59985</v>
      </c>
      <c r="F166" s="32">
        <f>D166+E166</f>
        <v>509985</v>
      </c>
      <c r="G166" s="34">
        <v>50</v>
      </c>
      <c r="H166" s="32">
        <v>10199.700000000001</v>
      </c>
      <c r="I166" s="50">
        <v>1</v>
      </c>
      <c r="J166" s="35">
        <f t="shared" si="17"/>
        <v>49</v>
      </c>
      <c r="K166" s="36">
        <f t="shared" si="15"/>
        <v>10199.700000000001</v>
      </c>
      <c r="L166" s="36">
        <f t="shared" si="16"/>
        <v>499785.3</v>
      </c>
      <c r="M166" s="53" t="s">
        <v>255</v>
      </c>
    </row>
    <row r="167" spans="2:13" ht="18.75" x14ac:dyDescent="0.3">
      <c r="B167" s="34">
        <v>162</v>
      </c>
      <c r="C167" s="66" t="s">
        <v>284</v>
      </c>
      <c r="D167" s="32">
        <v>330000</v>
      </c>
      <c r="E167" s="33">
        <v>43989</v>
      </c>
      <c r="F167" s="32">
        <f t="shared" ref="F167" si="19">D167+E167</f>
        <v>373989</v>
      </c>
      <c r="G167" s="34">
        <v>50</v>
      </c>
      <c r="H167" s="32">
        <v>7479.78</v>
      </c>
      <c r="I167" s="50">
        <v>1</v>
      </c>
      <c r="J167" s="35">
        <f t="shared" si="17"/>
        <v>49</v>
      </c>
      <c r="K167" s="36">
        <f t="shared" si="15"/>
        <v>7479.78</v>
      </c>
      <c r="L167" s="36">
        <f t="shared" si="16"/>
        <v>366509.22</v>
      </c>
      <c r="M167" s="53" t="s">
        <v>255</v>
      </c>
    </row>
    <row r="168" spans="2:13" ht="18.75" x14ac:dyDescent="0.3">
      <c r="B168" s="34">
        <v>163</v>
      </c>
      <c r="C168" s="66" t="s">
        <v>285</v>
      </c>
      <c r="D168" s="33">
        <v>150000</v>
      </c>
      <c r="E168" s="33">
        <v>19995</v>
      </c>
      <c r="F168" s="32">
        <f t="shared" ref="F168:F172" si="20">D168+E168</f>
        <v>169995</v>
      </c>
      <c r="G168" s="34">
        <v>50</v>
      </c>
      <c r="H168" s="32">
        <v>3399.9</v>
      </c>
      <c r="I168" s="50">
        <v>1</v>
      </c>
      <c r="J168" s="35">
        <f t="shared" si="17"/>
        <v>49</v>
      </c>
      <c r="K168" s="36">
        <f t="shared" si="15"/>
        <v>3399.9</v>
      </c>
      <c r="L168" s="36">
        <f t="shared" si="16"/>
        <v>166595.1</v>
      </c>
      <c r="M168" s="53" t="s">
        <v>255</v>
      </c>
    </row>
    <row r="169" spans="2:13" ht="18.75" x14ac:dyDescent="0.3">
      <c r="B169" s="34">
        <v>164</v>
      </c>
      <c r="C169" s="66" t="s">
        <v>286</v>
      </c>
      <c r="D169" s="33">
        <v>150000</v>
      </c>
      <c r="E169" s="33">
        <v>19995</v>
      </c>
      <c r="F169" s="32">
        <f t="shared" si="20"/>
        <v>169995</v>
      </c>
      <c r="G169" s="34">
        <v>50</v>
      </c>
      <c r="H169" s="32">
        <v>3399.9</v>
      </c>
      <c r="I169" s="50">
        <v>1</v>
      </c>
      <c r="J169" s="35">
        <f t="shared" si="17"/>
        <v>49</v>
      </c>
      <c r="K169" s="36">
        <f t="shared" si="15"/>
        <v>3399.9</v>
      </c>
      <c r="L169" s="36">
        <f t="shared" si="16"/>
        <v>166595.1</v>
      </c>
      <c r="M169" s="53" t="s">
        <v>255</v>
      </c>
    </row>
    <row r="170" spans="2:13" ht="18.75" x14ac:dyDescent="0.3">
      <c r="B170" s="34">
        <v>165</v>
      </c>
      <c r="C170" s="66" t="s">
        <v>287</v>
      </c>
      <c r="D170" s="33">
        <v>150000</v>
      </c>
      <c r="E170" s="33">
        <v>19995</v>
      </c>
      <c r="F170" s="32">
        <f t="shared" si="20"/>
        <v>169995</v>
      </c>
      <c r="G170" s="34">
        <v>50</v>
      </c>
      <c r="H170" s="32">
        <v>3399.9</v>
      </c>
      <c r="I170" s="50">
        <v>1</v>
      </c>
      <c r="J170" s="35">
        <f t="shared" si="17"/>
        <v>49</v>
      </c>
      <c r="K170" s="36">
        <f t="shared" si="15"/>
        <v>3399.9</v>
      </c>
      <c r="L170" s="36">
        <f t="shared" si="16"/>
        <v>166595.1</v>
      </c>
      <c r="M170" s="53" t="s">
        <v>255</v>
      </c>
    </row>
    <row r="171" spans="2:13" ht="18.75" x14ac:dyDescent="0.3">
      <c r="B171" s="34">
        <v>166</v>
      </c>
      <c r="C171" s="66" t="s">
        <v>288</v>
      </c>
      <c r="D171" s="33">
        <v>150000</v>
      </c>
      <c r="E171" s="33">
        <v>19995</v>
      </c>
      <c r="F171" s="32">
        <f t="shared" si="20"/>
        <v>169995</v>
      </c>
      <c r="G171" s="34">
        <v>50</v>
      </c>
      <c r="H171" s="32">
        <v>3399.9</v>
      </c>
      <c r="I171" s="50">
        <v>1</v>
      </c>
      <c r="J171" s="35">
        <f t="shared" si="17"/>
        <v>49</v>
      </c>
      <c r="K171" s="36">
        <f t="shared" si="15"/>
        <v>3399.9</v>
      </c>
      <c r="L171" s="36">
        <f t="shared" si="16"/>
        <v>166595.1</v>
      </c>
      <c r="M171" s="53" t="s">
        <v>255</v>
      </c>
    </row>
    <row r="172" spans="2:13" ht="18.75" x14ac:dyDescent="0.3">
      <c r="B172" s="34">
        <v>167</v>
      </c>
      <c r="C172" s="66" t="s">
        <v>289</v>
      </c>
      <c r="D172" s="33">
        <v>150000</v>
      </c>
      <c r="E172" s="33">
        <v>19995</v>
      </c>
      <c r="F172" s="32">
        <f t="shared" si="20"/>
        <v>169995</v>
      </c>
      <c r="G172" s="34">
        <v>50</v>
      </c>
      <c r="H172" s="32">
        <v>3399.9</v>
      </c>
      <c r="I172" s="50">
        <v>1</v>
      </c>
      <c r="J172" s="35">
        <f t="shared" si="17"/>
        <v>49</v>
      </c>
      <c r="K172" s="36">
        <f t="shared" si="15"/>
        <v>3399.9</v>
      </c>
      <c r="L172" s="36">
        <f t="shared" si="16"/>
        <v>166595.1</v>
      </c>
      <c r="M172" s="53" t="s">
        <v>255</v>
      </c>
    </row>
    <row r="173" spans="2:13" ht="18.75" x14ac:dyDescent="0.3">
      <c r="B173" s="34">
        <v>168</v>
      </c>
      <c r="C173" s="66" t="s">
        <v>290</v>
      </c>
      <c r="D173" s="33">
        <v>450000</v>
      </c>
      <c r="E173" s="33">
        <v>59985</v>
      </c>
      <c r="F173" s="32">
        <f>D173+E173</f>
        <v>509985</v>
      </c>
      <c r="G173" s="34">
        <v>50</v>
      </c>
      <c r="H173" s="32">
        <v>10199.700000000001</v>
      </c>
      <c r="I173" s="50">
        <v>1</v>
      </c>
      <c r="J173" s="35">
        <f t="shared" si="17"/>
        <v>49</v>
      </c>
      <c r="K173" s="36">
        <f t="shared" si="15"/>
        <v>10199.700000000001</v>
      </c>
      <c r="L173" s="36">
        <f t="shared" si="16"/>
        <v>499785.3</v>
      </c>
      <c r="M173" s="53" t="s">
        <v>255</v>
      </c>
    </row>
    <row r="174" spans="2:13" ht="18.75" x14ac:dyDescent="0.3">
      <c r="B174" s="34">
        <v>169</v>
      </c>
      <c r="C174" s="66" t="s">
        <v>132</v>
      </c>
      <c r="D174" s="32">
        <v>330000</v>
      </c>
      <c r="E174" s="33">
        <v>21994.5</v>
      </c>
      <c r="F174" s="32">
        <f>D174+E174</f>
        <v>351994.5</v>
      </c>
      <c r="G174" s="34">
        <v>25</v>
      </c>
      <c r="H174" s="32">
        <v>14079.78</v>
      </c>
      <c r="I174" s="50">
        <v>1</v>
      </c>
      <c r="J174" s="35">
        <f t="shared" si="17"/>
        <v>24</v>
      </c>
      <c r="K174" s="36">
        <f t="shared" si="15"/>
        <v>14079.78</v>
      </c>
      <c r="L174" s="36">
        <f t="shared" si="16"/>
        <v>337914.72</v>
      </c>
      <c r="M174" s="53" t="s">
        <v>255</v>
      </c>
    </row>
    <row r="175" spans="2:13" ht="18.75" x14ac:dyDescent="0.3">
      <c r="B175" s="34">
        <v>170</v>
      </c>
      <c r="C175" s="29" t="s">
        <v>291</v>
      </c>
      <c r="D175" s="32">
        <v>330000</v>
      </c>
      <c r="E175" s="33">
        <v>43989</v>
      </c>
      <c r="F175" s="32">
        <f t="shared" ref="F175:F176" si="21">D175+E175</f>
        <v>373989</v>
      </c>
      <c r="G175" s="34">
        <v>50</v>
      </c>
      <c r="H175" s="32">
        <v>7479.78</v>
      </c>
      <c r="I175" s="50">
        <v>1</v>
      </c>
      <c r="J175" s="35">
        <f t="shared" si="17"/>
        <v>49</v>
      </c>
      <c r="K175" s="36">
        <f t="shared" si="15"/>
        <v>7479.78</v>
      </c>
      <c r="L175" s="36">
        <f t="shared" si="16"/>
        <v>366509.22</v>
      </c>
      <c r="M175" s="53" t="s">
        <v>255</v>
      </c>
    </row>
    <row r="176" spans="2:13" ht="18.75" x14ac:dyDescent="0.3">
      <c r="B176" s="34">
        <v>171</v>
      </c>
      <c r="C176" s="66" t="s">
        <v>292</v>
      </c>
      <c r="D176" s="33">
        <v>150000</v>
      </c>
      <c r="E176" s="33">
        <v>19995</v>
      </c>
      <c r="F176" s="32">
        <f t="shared" si="21"/>
        <v>169995</v>
      </c>
      <c r="G176" s="34">
        <v>50</v>
      </c>
      <c r="H176" s="32">
        <v>3399.9</v>
      </c>
      <c r="I176" s="50">
        <v>1</v>
      </c>
      <c r="J176" s="35">
        <f t="shared" si="17"/>
        <v>49</v>
      </c>
      <c r="K176" s="36">
        <f t="shared" si="15"/>
        <v>3399.9</v>
      </c>
      <c r="L176" s="36">
        <f t="shared" si="16"/>
        <v>166595.1</v>
      </c>
      <c r="M176" s="53" t="s">
        <v>255</v>
      </c>
    </row>
    <row r="177" spans="2:14" ht="18.75" x14ac:dyDescent="0.3">
      <c r="B177" s="34">
        <v>172</v>
      </c>
      <c r="C177" s="66" t="s">
        <v>293</v>
      </c>
      <c r="D177" s="33">
        <v>450000</v>
      </c>
      <c r="E177" s="33">
        <v>59985</v>
      </c>
      <c r="F177" s="32">
        <f>D177+E177</f>
        <v>509985</v>
      </c>
      <c r="G177" s="34">
        <v>50</v>
      </c>
      <c r="H177" s="32">
        <v>10199.700000000001</v>
      </c>
      <c r="I177" s="50">
        <v>1</v>
      </c>
      <c r="J177" s="35">
        <f t="shared" si="17"/>
        <v>49</v>
      </c>
      <c r="K177" s="36">
        <f t="shared" si="15"/>
        <v>10199.700000000001</v>
      </c>
      <c r="L177" s="36">
        <f t="shared" si="16"/>
        <v>499785.3</v>
      </c>
      <c r="M177" s="53" t="s">
        <v>255</v>
      </c>
    </row>
    <row r="178" spans="2:14" ht="18.75" x14ac:dyDescent="0.3">
      <c r="B178" s="71"/>
      <c r="C178" s="30" t="s">
        <v>296</v>
      </c>
      <c r="D178" s="72">
        <f>SUM(D6:D177)</f>
        <v>50300000</v>
      </c>
      <c r="E178" s="72">
        <f t="shared" ref="E178:F178" si="22">SUM(E6:E177)</f>
        <v>6648337.4199999999</v>
      </c>
      <c r="F178" s="72">
        <f t="shared" si="22"/>
        <v>57039001.420000002</v>
      </c>
      <c r="G178" s="71"/>
      <c r="H178" s="72">
        <f>SUM(H6:H177)</f>
        <v>1170028.2000000018</v>
      </c>
      <c r="I178" s="73"/>
      <c r="J178" s="74"/>
      <c r="K178" s="72">
        <f t="shared" ref="K178:L178" si="23">SUM(K6:K177)</f>
        <v>25819619.390000004</v>
      </c>
      <c r="L178" s="72">
        <f t="shared" si="23"/>
        <v>31317979.129999995</v>
      </c>
      <c r="M178" s="53"/>
      <c r="N178" s="57"/>
    </row>
    <row r="179" spans="2:14" ht="18.75" x14ac:dyDescent="0.3">
      <c r="B179" s="34"/>
      <c r="C179" s="48"/>
      <c r="D179" s="43"/>
      <c r="E179" s="44"/>
      <c r="F179" s="43"/>
      <c r="G179" s="41"/>
      <c r="H179" s="43"/>
      <c r="I179" s="46"/>
      <c r="J179" s="47"/>
      <c r="K179" s="45"/>
      <c r="L179" s="45"/>
      <c r="M179" s="49"/>
    </row>
    <row r="180" spans="2:14" ht="18.75" x14ac:dyDescent="0.3">
      <c r="B180" s="9"/>
      <c r="C180" s="8" t="s">
        <v>217</v>
      </c>
      <c r="D180" s="9"/>
      <c r="E180" s="9"/>
      <c r="F180" s="9"/>
      <c r="G180" s="9"/>
      <c r="H180" s="9"/>
      <c r="I180" s="9"/>
      <c r="J180" s="9"/>
      <c r="K180" s="9"/>
      <c r="L180" s="9"/>
      <c r="M180" s="49"/>
    </row>
    <row r="181" spans="2:14" ht="18.75" x14ac:dyDescent="0.3">
      <c r="B181" s="34">
        <v>1</v>
      </c>
      <c r="C181" s="9" t="s">
        <v>160</v>
      </c>
      <c r="D181" s="12">
        <v>500000</v>
      </c>
      <c r="E181" s="12">
        <v>66650</v>
      </c>
      <c r="F181" s="12">
        <v>566650</v>
      </c>
      <c r="G181" s="14">
        <v>50</v>
      </c>
      <c r="H181" s="12">
        <v>11333</v>
      </c>
      <c r="I181" s="14">
        <v>29</v>
      </c>
      <c r="J181" s="35">
        <f t="shared" ref="J181:J196" si="24">G181-I181</f>
        <v>21</v>
      </c>
      <c r="K181" s="36">
        <f t="shared" ref="K181:K196" si="25">H181*I181</f>
        <v>328657</v>
      </c>
      <c r="L181" s="32">
        <f t="shared" ref="L181:L196" si="26">F181-K181</f>
        <v>237993</v>
      </c>
      <c r="M181" s="49"/>
    </row>
    <row r="182" spans="2:14" ht="18.75" x14ac:dyDescent="0.3">
      <c r="B182" s="34">
        <v>2</v>
      </c>
      <c r="C182" s="9" t="s">
        <v>164</v>
      </c>
      <c r="D182" s="12">
        <v>450000</v>
      </c>
      <c r="E182" s="12">
        <v>59985</v>
      </c>
      <c r="F182" s="12">
        <v>509985</v>
      </c>
      <c r="G182" s="14">
        <v>50</v>
      </c>
      <c r="H182" s="12">
        <v>10199.700000000001</v>
      </c>
      <c r="I182" s="14">
        <v>34</v>
      </c>
      <c r="J182" s="35">
        <f t="shared" si="24"/>
        <v>16</v>
      </c>
      <c r="K182" s="36">
        <f t="shared" si="25"/>
        <v>346789.80000000005</v>
      </c>
      <c r="L182" s="32">
        <f t="shared" si="26"/>
        <v>163195.19999999995</v>
      </c>
      <c r="M182" s="49"/>
    </row>
    <row r="183" spans="2:14" ht="18.75" x14ac:dyDescent="0.3">
      <c r="B183" s="34">
        <v>3</v>
      </c>
      <c r="C183" s="9" t="s">
        <v>184</v>
      </c>
      <c r="D183" s="12">
        <v>330000</v>
      </c>
      <c r="E183" s="12">
        <v>43989</v>
      </c>
      <c r="F183" s="12">
        <v>373989</v>
      </c>
      <c r="G183" s="14">
        <v>50</v>
      </c>
      <c r="H183" s="12">
        <v>7479.78</v>
      </c>
      <c r="I183" s="14">
        <v>47</v>
      </c>
      <c r="J183" s="35">
        <f t="shared" si="24"/>
        <v>3</v>
      </c>
      <c r="K183" s="36">
        <f t="shared" si="25"/>
        <v>351549.66</v>
      </c>
      <c r="L183" s="32">
        <f t="shared" si="26"/>
        <v>22439.340000000026</v>
      </c>
      <c r="M183" s="49"/>
    </row>
    <row r="184" spans="2:14" ht="18.75" x14ac:dyDescent="0.3">
      <c r="B184" s="34">
        <v>4</v>
      </c>
      <c r="C184" s="9" t="s">
        <v>180</v>
      </c>
      <c r="D184" s="12">
        <v>330000</v>
      </c>
      <c r="E184" s="12">
        <v>43989</v>
      </c>
      <c r="F184" s="12">
        <v>373989</v>
      </c>
      <c r="G184" s="14">
        <v>50</v>
      </c>
      <c r="H184" s="12">
        <v>7479.78</v>
      </c>
      <c r="I184" s="14">
        <v>29</v>
      </c>
      <c r="J184" s="35">
        <f t="shared" si="24"/>
        <v>21</v>
      </c>
      <c r="K184" s="36">
        <f t="shared" si="25"/>
        <v>216913.62</v>
      </c>
      <c r="L184" s="32">
        <f t="shared" si="26"/>
        <v>157075.38</v>
      </c>
      <c r="M184" s="49"/>
    </row>
    <row r="185" spans="2:14" ht="18.75" x14ac:dyDescent="0.3">
      <c r="B185" s="34">
        <v>5</v>
      </c>
      <c r="C185" s="9" t="s">
        <v>162</v>
      </c>
      <c r="D185" s="12">
        <v>150000</v>
      </c>
      <c r="E185" s="12">
        <v>19995</v>
      </c>
      <c r="F185" s="12">
        <v>169995</v>
      </c>
      <c r="G185" s="14">
        <v>50</v>
      </c>
      <c r="H185" s="12">
        <v>3399.9</v>
      </c>
      <c r="I185" s="14">
        <v>29</v>
      </c>
      <c r="J185" s="35">
        <f t="shared" si="24"/>
        <v>21</v>
      </c>
      <c r="K185" s="36">
        <f t="shared" si="25"/>
        <v>98597.1</v>
      </c>
      <c r="L185" s="32">
        <f t="shared" si="26"/>
        <v>71397.899999999994</v>
      </c>
      <c r="M185" s="49"/>
    </row>
    <row r="186" spans="2:14" ht="18.75" x14ac:dyDescent="0.3">
      <c r="B186" s="34">
        <v>6</v>
      </c>
      <c r="C186" s="9" t="s">
        <v>163</v>
      </c>
      <c r="D186" s="12">
        <v>150000</v>
      </c>
      <c r="E186" s="12">
        <v>19995</v>
      </c>
      <c r="F186" s="12">
        <v>169995</v>
      </c>
      <c r="G186" s="14">
        <v>50</v>
      </c>
      <c r="H186" s="12">
        <v>3399.9</v>
      </c>
      <c r="I186" s="14">
        <v>29</v>
      </c>
      <c r="J186" s="35">
        <f t="shared" si="24"/>
        <v>21</v>
      </c>
      <c r="K186" s="36">
        <f t="shared" si="25"/>
        <v>98597.1</v>
      </c>
      <c r="L186" s="32">
        <f t="shared" si="26"/>
        <v>71397.899999999994</v>
      </c>
      <c r="M186" s="49"/>
    </row>
    <row r="187" spans="2:14" ht="18.75" x14ac:dyDescent="0.3">
      <c r="B187" s="34">
        <v>7</v>
      </c>
      <c r="C187" s="9" t="s">
        <v>167</v>
      </c>
      <c r="D187" s="12">
        <v>150000</v>
      </c>
      <c r="E187" s="12">
        <v>19995</v>
      </c>
      <c r="F187" s="12">
        <v>169995</v>
      </c>
      <c r="G187" s="14">
        <v>50</v>
      </c>
      <c r="H187" s="12">
        <v>3399.9</v>
      </c>
      <c r="I187" s="14">
        <v>29</v>
      </c>
      <c r="J187" s="35">
        <f t="shared" si="24"/>
        <v>21</v>
      </c>
      <c r="K187" s="36">
        <f t="shared" si="25"/>
        <v>98597.1</v>
      </c>
      <c r="L187" s="32">
        <f t="shared" si="26"/>
        <v>71397.899999999994</v>
      </c>
      <c r="M187" s="49"/>
    </row>
    <row r="188" spans="2:14" ht="18.75" x14ac:dyDescent="0.3">
      <c r="B188" s="34">
        <v>8</v>
      </c>
      <c r="C188" s="9" t="s">
        <v>186</v>
      </c>
      <c r="D188" s="12">
        <v>150000</v>
      </c>
      <c r="E188" s="12">
        <v>19995</v>
      </c>
      <c r="F188" s="12">
        <v>169995</v>
      </c>
      <c r="G188" s="14">
        <v>50</v>
      </c>
      <c r="H188" s="12">
        <v>3399.9</v>
      </c>
      <c r="I188" s="14">
        <v>29</v>
      </c>
      <c r="J188" s="35">
        <f t="shared" si="24"/>
        <v>21</v>
      </c>
      <c r="K188" s="36">
        <f t="shared" si="25"/>
        <v>98597.1</v>
      </c>
      <c r="L188" s="32">
        <f t="shared" si="26"/>
        <v>71397.899999999994</v>
      </c>
      <c r="M188" s="49"/>
    </row>
    <row r="189" spans="2:14" ht="18.75" x14ac:dyDescent="0.3">
      <c r="B189" s="34">
        <v>9</v>
      </c>
      <c r="C189" s="9" t="s">
        <v>188</v>
      </c>
      <c r="D189" s="12">
        <v>150000</v>
      </c>
      <c r="E189" s="12">
        <v>19995</v>
      </c>
      <c r="F189" s="12">
        <v>169995</v>
      </c>
      <c r="G189" s="14">
        <v>50</v>
      </c>
      <c r="H189" s="12">
        <v>3399.9</v>
      </c>
      <c r="I189" s="14">
        <v>29</v>
      </c>
      <c r="J189" s="35">
        <f t="shared" si="24"/>
        <v>21</v>
      </c>
      <c r="K189" s="36">
        <f t="shared" si="25"/>
        <v>98597.1</v>
      </c>
      <c r="L189" s="32">
        <f t="shared" si="26"/>
        <v>71397.899999999994</v>
      </c>
      <c r="M189" s="42"/>
    </row>
    <row r="190" spans="2:14" ht="18.75" x14ac:dyDescent="0.3">
      <c r="B190" s="34">
        <v>10</v>
      </c>
      <c r="C190" s="9" t="s">
        <v>166</v>
      </c>
      <c r="D190" s="12">
        <v>150000</v>
      </c>
      <c r="E190" s="12">
        <v>19995</v>
      </c>
      <c r="F190" s="12">
        <v>169995</v>
      </c>
      <c r="G190" s="14">
        <v>50</v>
      </c>
      <c r="H190" s="12">
        <v>3399.9</v>
      </c>
      <c r="I190" s="14">
        <v>29</v>
      </c>
      <c r="J190" s="35">
        <f t="shared" si="24"/>
        <v>21</v>
      </c>
      <c r="K190" s="36">
        <f t="shared" si="25"/>
        <v>98597.1</v>
      </c>
      <c r="L190" s="32">
        <f t="shared" si="26"/>
        <v>71397.899999999994</v>
      </c>
      <c r="M190" s="42"/>
    </row>
    <row r="191" spans="2:14" ht="18.75" x14ac:dyDescent="0.3">
      <c r="B191" s="34">
        <v>11</v>
      </c>
      <c r="C191" s="9" t="s">
        <v>57</v>
      </c>
      <c r="D191" s="12">
        <v>450000</v>
      </c>
      <c r="E191" s="12">
        <v>59985</v>
      </c>
      <c r="F191" s="12">
        <v>509985</v>
      </c>
      <c r="G191" s="14">
        <v>50</v>
      </c>
      <c r="H191" s="12">
        <v>10199.700000000001</v>
      </c>
      <c r="I191" s="14">
        <v>8</v>
      </c>
      <c r="J191" s="35">
        <f t="shared" si="24"/>
        <v>42</v>
      </c>
      <c r="K191" s="36">
        <f t="shared" si="25"/>
        <v>81597.600000000006</v>
      </c>
      <c r="L191" s="32">
        <f t="shared" si="26"/>
        <v>428387.4</v>
      </c>
      <c r="M191" s="42"/>
    </row>
    <row r="192" spans="2:14" ht="18.75" x14ac:dyDescent="0.3">
      <c r="B192" s="34">
        <v>12</v>
      </c>
      <c r="C192" s="29" t="s">
        <v>179</v>
      </c>
      <c r="D192" s="33">
        <v>500000</v>
      </c>
      <c r="E192" s="33">
        <v>66650</v>
      </c>
      <c r="F192" s="32">
        <f t="shared" ref="F192:F193" si="27">D192+E192</f>
        <v>566650</v>
      </c>
      <c r="G192" s="34">
        <v>50</v>
      </c>
      <c r="H192" s="32">
        <v>11333</v>
      </c>
      <c r="I192" s="81">
        <v>4</v>
      </c>
      <c r="J192" s="35">
        <f t="shared" si="24"/>
        <v>46</v>
      </c>
      <c r="K192" s="36">
        <f t="shared" si="25"/>
        <v>45332</v>
      </c>
      <c r="L192" s="32">
        <f t="shared" si="26"/>
        <v>521318</v>
      </c>
      <c r="M192" s="31"/>
      <c r="N192" s="23"/>
    </row>
    <row r="193" spans="2:14" ht="18.75" x14ac:dyDescent="0.3">
      <c r="B193" s="34">
        <v>13</v>
      </c>
      <c r="C193" s="29" t="s">
        <v>275</v>
      </c>
      <c r="D193" s="33">
        <v>500000</v>
      </c>
      <c r="E193" s="33">
        <v>66650</v>
      </c>
      <c r="F193" s="32">
        <f t="shared" si="27"/>
        <v>566650</v>
      </c>
      <c r="G193" s="34">
        <v>50</v>
      </c>
      <c r="H193" s="32">
        <v>11333</v>
      </c>
      <c r="I193" s="81">
        <v>2</v>
      </c>
      <c r="J193" s="35">
        <f t="shared" si="24"/>
        <v>48</v>
      </c>
      <c r="K193" s="36">
        <f t="shared" si="25"/>
        <v>22666</v>
      </c>
      <c r="L193" s="36">
        <f t="shared" si="26"/>
        <v>543984</v>
      </c>
      <c r="M193" s="31"/>
      <c r="N193" s="23"/>
    </row>
    <row r="194" spans="2:14" ht="18.75" x14ac:dyDescent="0.3">
      <c r="B194" s="34">
        <v>14</v>
      </c>
      <c r="C194" s="29" t="s">
        <v>185</v>
      </c>
      <c r="D194" s="32">
        <v>330000</v>
      </c>
      <c r="E194" s="33">
        <v>43989</v>
      </c>
      <c r="F194" s="32">
        <f>D194+E194</f>
        <v>373989</v>
      </c>
      <c r="G194" s="34">
        <v>50</v>
      </c>
      <c r="H194" s="32">
        <v>7479.78</v>
      </c>
      <c r="I194" s="81">
        <v>2</v>
      </c>
      <c r="J194" s="35">
        <f t="shared" si="24"/>
        <v>48</v>
      </c>
      <c r="K194" s="36">
        <f t="shared" si="25"/>
        <v>14959.56</v>
      </c>
      <c r="L194" s="36">
        <f t="shared" si="26"/>
        <v>359029.44</v>
      </c>
      <c r="M194" s="31"/>
      <c r="N194" s="23"/>
    </row>
    <row r="195" spans="2:14" ht="18.75" x14ac:dyDescent="0.3">
      <c r="B195" s="34">
        <v>15</v>
      </c>
      <c r="C195" s="29" t="s">
        <v>276</v>
      </c>
      <c r="D195" s="33">
        <v>150000</v>
      </c>
      <c r="E195" s="33">
        <v>19995</v>
      </c>
      <c r="F195" s="32">
        <f t="shared" ref="F195" si="28">D195+E195</f>
        <v>169995</v>
      </c>
      <c r="G195" s="34">
        <v>50</v>
      </c>
      <c r="H195" s="32">
        <v>3399.9</v>
      </c>
      <c r="I195" s="81">
        <v>2</v>
      </c>
      <c r="J195" s="35">
        <f t="shared" si="24"/>
        <v>48</v>
      </c>
      <c r="K195" s="36">
        <f t="shared" si="25"/>
        <v>6799.8</v>
      </c>
      <c r="L195" s="36">
        <f t="shared" si="26"/>
        <v>163195.20000000001</v>
      </c>
      <c r="M195" s="1"/>
      <c r="N195" s="23"/>
    </row>
    <row r="196" spans="2:14" ht="18.75" x14ac:dyDescent="0.3">
      <c r="B196" s="34">
        <v>16</v>
      </c>
      <c r="C196" s="66" t="s">
        <v>294</v>
      </c>
      <c r="D196" s="33">
        <v>150000</v>
      </c>
      <c r="E196" s="33">
        <v>19995</v>
      </c>
      <c r="F196" s="32">
        <f t="shared" ref="F196" si="29">D196+E196</f>
        <v>169995</v>
      </c>
      <c r="G196" s="34">
        <v>50</v>
      </c>
      <c r="H196" s="32">
        <v>3399.9</v>
      </c>
      <c r="I196" s="81">
        <v>1</v>
      </c>
      <c r="J196" s="35">
        <f t="shared" si="24"/>
        <v>49</v>
      </c>
      <c r="K196" s="36">
        <f t="shared" si="25"/>
        <v>3399.9</v>
      </c>
      <c r="L196" s="36">
        <f t="shared" si="26"/>
        <v>166595.1</v>
      </c>
      <c r="M196" s="53" t="s">
        <v>255</v>
      </c>
      <c r="N196" s="23"/>
    </row>
    <row r="197" spans="2:14" ht="18.75" x14ac:dyDescent="0.3">
      <c r="B197" s="86"/>
      <c r="C197" s="30" t="s">
        <v>296</v>
      </c>
      <c r="D197" s="72">
        <f>SUM(D181:D196)</f>
        <v>4590000</v>
      </c>
      <c r="E197" s="72">
        <f t="shared" ref="E197:F197" si="30">SUM(E181:E196)</f>
        <v>611847</v>
      </c>
      <c r="F197" s="72">
        <f t="shared" si="30"/>
        <v>5201847</v>
      </c>
      <c r="G197" s="71"/>
      <c r="H197" s="72">
        <f>SUM(H181:H196)</f>
        <v>104036.94</v>
      </c>
      <c r="I197" s="73"/>
      <c r="J197" s="74"/>
      <c r="K197" s="72">
        <f t="shared" ref="K197:L197" si="31">SUM(K181:K196)</f>
        <v>2010247.5400000007</v>
      </c>
      <c r="L197" s="72">
        <f t="shared" si="31"/>
        <v>3191599.4600000004</v>
      </c>
      <c r="M197" s="53"/>
      <c r="N197" s="57"/>
    </row>
    <row r="198" spans="2:14" ht="18.75" x14ac:dyDescent="0.3">
      <c r="B198" s="41"/>
      <c r="C198" s="29"/>
      <c r="D198" s="33"/>
      <c r="E198" s="33"/>
      <c r="F198" s="32"/>
      <c r="G198" s="34"/>
      <c r="H198" s="32"/>
      <c r="I198" s="50"/>
      <c r="J198" s="35"/>
      <c r="K198" s="36"/>
      <c r="L198" s="36"/>
      <c r="M198" s="31"/>
    </row>
    <row r="199" spans="2:14" ht="18.75" x14ac:dyDescent="0.3">
      <c r="B199" s="7">
        <f>B196+B177</f>
        <v>188</v>
      </c>
      <c r="C199" s="30" t="s">
        <v>38</v>
      </c>
      <c r="D199" s="17">
        <f>D197+D178</f>
        <v>54890000</v>
      </c>
      <c r="E199" s="17">
        <f t="shared" ref="E199:F199" si="32">E197+E178</f>
        <v>7260184.4199999999</v>
      </c>
      <c r="F199" s="17">
        <f t="shared" si="32"/>
        <v>62240848.420000002</v>
      </c>
      <c r="G199" s="17"/>
      <c r="H199" s="17">
        <f>H197+H178</f>
        <v>1274065.1400000018</v>
      </c>
      <c r="I199" s="17"/>
      <c r="J199" s="17"/>
      <c r="K199" s="17">
        <f t="shared" ref="K199:L199" si="33">K197+K178</f>
        <v>27829866.930000003</v>
      </c>
      <c r="L199" s="17">
        <f t="shared" si="33"/>
        <v>34509578.589999996</v>
      </c>
      <c r="M199" s="9"/>
    </row>
    <row r="200" spans="2:14" x14ac:dyDescent="0.25"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</row>
    <row r="201" spans="2:14" x14ac:dyDescent="0.25"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</row>
    <row r="202" spans="2:14" ht="18.75" x14ac:dyDescent="0.3">
      <c r="B202" s="1"/>
      <c r="C202" s="8" t="s">
        <v>280</v>
      </c>
      <c r="D202" s="12"/>
      <c r="E202" s="12"/>
      <c r="F202" s="12"/>
      <c r="G202" s="12"/>
      <c r="H202" s="12"/>
      <c r="I202" s="12"/>
      <c r="J202" s="12"/>
      <c r="K202" s="12"/>
      <c r="L202" s="12"/>
      <c r="M202" s="1"/>
    </row>
    <row r="203" spans="2:14" ht="37.5" x14ac:dyDescent="0.3">
      <c r="B203" s="7" t="s">
        <v>2</v>
      </c>
      <c r="C203" s="7" t="s">
        <v>0</v>
      </c>
      <c r="D203" s="8" t="s">
        <v>3</v>
      </c>
      <c r="E203" s="8" t="s">
        <v>4</v>
      </c>
      <c r="F203" s="8" t="s">
        <v>1</v>
      </c>
      <c r="G203" s="10" t="s">
        <v>11</v>
      </c>
      <c r="H203" s="10" t="s">
        <v>10</v>
      </c>
      <c r="I203" s="11" t="s">
        <v>5</v>
      </c>
      <c r="J203" s="11" t="s">
        <v>6</v>
      </c>
      <c r="K203" s="10" t="s">
        <v>7</v>
      </c>
      <c r="L203" s="10" t="s">
        <v>8</v>
      </c>
      <c r="M203" s="10" t="s">
        <v>9</v>
      </c>
    </row>
    <row r="204" spans="2:14" ht="18.75" x14ac:dyDescent="0.3">
      <c r="B204" s="88">
        <v>1</v>
      </c>
      <c r="C204" s="66" t="s">
        <v>295</v>
      </c>
      <c r="D204" s="12">
        <v>150000</v>
      </c>
      <c r="E204" s="12">
        <v>19995</v>
      </c>
      <c r="F204" s="12">
        <v>169995</v>
      </c>
      <c r="G204" s="14">
        <v>50</v>
      </c>
      <c r="H204" s="90">
        <v>3399.9</v>
      </c>
      <c r="I204" s="9">
        <v>35</v>
      </c>
      <c r="J204" s="9">
        <f>G204-I204</f>
        <v>15</v>
      </c>
      <c r="K204" s="92">
        <f>H204*I204</f>
        <v>118996.5</v>
      </c>
      <c r="L204" s="32">
        <f t="shared" ref="L204" si="34">F204-K204</f>
        <v>50998.5</v>
      </c>
      <c r="M204" s="89"/>
    </row>
    <row r="205" spans="2:14" x14ac:dyDescent="0.25"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</row>
    <row r="206" spans="2:14" x14ac:dyDescent="0.25">
      <c r="B206" s="1"/>
      <c r="C206" s="1"/>
      <c r="D206" s="1"/>
      <c r="E206" s="1"/>
      <c r="F206" s="1"/>
      <c r="G206" s="1"/>
      <c r="H206" s="91"/>
      <c r="I206" s="1"/>
      <c r="J206" s="1"/>
      <c r="K206" s="1"/>
      <c r="L206" s="1"/>
      <c r="M206" s="1"/>
    </row>
    <row r="207" spans="2:14" ht="18.75" x14ac:dyDescent="0.3">
      <c r="B207" s="1"/>
      <c r="C207" s="30" t="s">
        <v>279</v>
      </c>
      <c r="D207" s="83">
        <f>D204+D199</f>
        <v>55040000</v>
      </c>
      <c r="E207" s="83">
        <f t="shared" ref="E207:F207" si="35">E204+E199</f>
        <v>7280179.4199999999</v>
      </c>
      <c r="F207" s="83">
        <f t="shared" si="35"/>
        <v>62410843.420000002</v>
      </c>
      <c r="G207" s="1"/>
      <c r="H207" s="83">
        <f>H204+H199</f>
        <v>1277465.0400000017</v>
      </c>
      <c r="I207" s="1"/>
      <c r="J207" s="1"/>
      <c r="K207" s="83">
        <f t="shared" ref="K207:L207" si="36">K204+K199</f>
        <v>27948863.430000003</v>
      </c>
      <c r="L207" s="83">
        <f t="shared" si="36"/>
        <v>34560577.089999996</v>
      </c>
      <c r="M207" s="1"/>
    </row>
    <row r="208" spans="2:14" ht="18.75" x14ac:dyDescent="0.3">
      <c r="B208" s="1"/>
      <c r="C208" s="30"/>
      <c r="D208" s="1"/>
      <c r="E208" s="1"/>
      <c r="F208" s="1"/>
      <c r="G208" s="1"/>
      <c r="H208" s="91"/>
      <c r="I208" s="1"/>
      <c r="J208" s="1"/>
      <c r="K208" s="1"/>
      <c r="L208" s="1"/>
      <c r="M208" s="1"/>
    </row>
    <row r="209" spans="2:13" ht="18.75" x14ac:dyDescent="0.3">
      <c r="B209" s="1"/>
      <c r="C209" s="8" t="s">
        <v>227</v>
      </c>
      <c r="D209" s="1"/>
      <c r="E209" s="1"/>
      <c r="F209" s="1"/>
      <c r="G209" s="1"/>
      <c r="H209" s="1"/>
      <c r="I209" s="1"/>
      <c r="J209" s="1"/>
      <c r="K209" s="1"/>
      <c r="L209" s="1"/>
      <c r="M209" s="1"/>
    </row>
    <row r="210" spans="2:13" ht="18.75" x14ac:dyDescent="0.3">
      <c r="B210" s="88">
        <v>1</v>
      </c>
      <c r="C210" s="66" t="s">
        <v>281</v>
      </c>
      <c r="D210" s="33">
        <v>450000</v>
      </c>
      <c r="E210" s="33">
        <v>59985</v>
      </c>
      <c r="F210" s="32">
        <f>D210+E210</f>
        <v>509985</v>
      </c>
      <c r="G210" s="34">
        <v>50</v>
      </c>
      <c r="H210" s="87">
        <v>10199.700000000001</v>
      </c>
      <c r="I210" s="9">
        <v>50</v>
      </c>
      <c r="J210" s="9">
        <f>G210-I210</f>
        <v>0</v>
      </c>
      <c r="K210" s="92">
        <f>H210*I210</f>
        <v>509985.00000000006</v>
      </c>
      <c r="L210" s="32">
        <f t="shared" ref="L210" si="37">F210-K210</f>
        <v>0</v>
      </c>
      <c r="M210" s="8" t="s">
        <v>248</v>
      </c>
    </row>
    <row r="211" spans="2:13" x14ac:dyDescent="0.25"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</row>
  </sheetData>
  <pageMargins left="0.7" right="0.7" top="0.75" bottom="0.75" header="0.3" footer="0.3"/>
  <pageSetup paperSize="5" scale="5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JAN. 2018</vt:lpstr>
      <vt:lpstr>ISSUE</vt:lpstr>
      <vt:lpstr>FEB. 2018</vt:lpstr>
      <vt:lpstr>MAR. 2018</vt:lpstr>
      <vt:lpstr>APRIL. 2018</vt:lpstr>
      <vt:lpstr>MAY. 2018</vt:lpstr>
      <vt:lpstr>JUNE. 2018</vt:lpstr>
      <vt:lpstr>JULY. 2018</vt:lpstr>
      <vt:lpstr>AUG. 2018</vt:lpstr>
      <vt:lpstr>SEP. 2018</vt:lpstr>
      <vt:lpstr>OCT 2018</vt:lpstr>
      <vt:lpstr>NOV. 2018</vt:lpstr>
      <vt:lpstr>DEC 2018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CSC1</dc:creator>
  <cp:lastModifiedBy>OYSG</cp:lastModifiedBy>
  <cp:lastPrinted>2019-04-25T09:27:38Z</cp:lastPrinted>
  <dcterms:created xsi:type="dcterms:W3CDTF">2014-02-06T18:27:49Z</dcterms:created>
  <dcterms:modified xsi:type="dcterms:W3CDTF">2026-02-25T16:58:13Z</dcterms:modified>
</cp:coreProperties>
</file>