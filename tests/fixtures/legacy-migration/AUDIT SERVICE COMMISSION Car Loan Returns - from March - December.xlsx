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bookViews>
    <workbookView xWindow="0" yWindow="0" windowWidth="20490" windowHeight="7230" firstSheet="4" activeTab="9"/>
  </bookViews>
  <sheets>
    <sheet name="MAR 24" sheetId="1" r:id="rId1"/>
    <sheet name="APRIL 24" sheetId="2" r:id="rId2"/>
    <sheet name="MAY, 2024" sheetId="3" r:id="rId3"/>
    <sheet name="JUNE, 2024" sheetId="4" r:id="rId4"/>
    <sheet name="AUGUST,2024" sheetId="6" r:id="rId5"/>
    <sheet name="SEPT, 2024" sheetId="7" r:id="rId6"/>
    <sheet name="OCTOBER,2024" sheetId="8" r:id="rId7"/>
    <sheet name="NOVEMBER,2024" sheetId="9" r:id="rId8"/>
    <sheet name="JULY,2024" sheetId="5" r:id="rId9"/>
    <sheet name="DECEMBER,2024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10" l="1"/>
  <c r="H9" i="10"/>
  <c r="E9" i="10"/>
  <c r="D9" i="10"/>
  <c r="O8" i="10"/>
  <c r="P8" i="10"/>
  <c r="J8" i="10"/>
  <c r="I8" i="10"/>
  <c r="L8" i="10" s="1"/>
  <c r="O7" i="10"/>
  <c r="P7" i="10"/>
  <c r="L7" i="10"/>
  <c r="J7" i="10"/>
  <c r="I7" i="10"/>
  <c r="K7" i="10" s="1"/>
  <c r="F7" i="10"/>
  <c r="O6" i="10"/>
  <c r="P6" i="10"/>
  <c r="L6" i="10"/>
  <c r="J6" i="10"/>
  <c r="I6" i="10"/>
  <c r="K6" i="10" s="1"/>
  <c r="F6" i="10"/>
  <c r="O5" i="10"/>
  <c r="P5" i="10"/>
  <c r="L5" i="10"/>
  <c r="J5" i="10"/>
  <c r="I5" i="10"/>
  <c r="K5" i="10" s="1"/>
  <c r="P4" i="10"/>
  <c r="O4" i="10"/>
  <c r="L4" i="10"/>
  <c r="K4" i="10"/>
  <c r="J4" i="10"/>
  <c r="I4" i="10"/>
  <c r="I9" i="10" s="1"/>
  <c r="F4" i="10"/>
  <c r="F9" i="10" s="1"/>
  <c r="H9" i="9"/>
  <c r="E9" i="9"/>
  <c r="D9" i="9"/>
  <c r="O8" i="9"/>
  <c r="N8" i="9"/>
  <c r="P8" i="9" s="1"/>
  <c r="J8" i="9"/>
  <c r="I8" i="9"/>
  <c r="O7" i="9"/>
  <c r="N7" i="9"/>
  <c r="P7" i="9" s="1"/>
  <c r="J7" i="9"/>
  <c r="I7" i="9"/>
  <c r="L7" i="9" s="1"/>
  <c r="F7" i="9"/>
  <c r="O6" i="9"/>
  <c r="N6" i="9"/>
  <c r="P6" i="9" s="1"/>
  <c r="J6" i="9"/>
  <c r="I6" i="9"/>
  <c r="L6" i="9" s="1"/>
  <c r="F6" i="9"/>
  <c r="O5" i="9"/>
  <c r="N5" i="9"/>
  <c r="P5" i="9" s="1"/>
  <c r="J5" i="9"/>
  <c r="I5" i="9"/>
  <c r="O4" i="9"/>
  <c r="N4" i="9"/>
  <c r="P4" i="9" s="1"/>
  <c r="J4" i="9"/>
  <c r="J9" i="9" s="1"/>
  <c r="I4" i="9"/>
  <c r="K4" i="9" s="1"/>
  <c r="F4" i="9"/>
  <c r="F9" i="9" s="1"/>
  <c r="O9" i="10" l="1"/>
  <c r="P9" i="10"/>
  <c r="L9" i="10"/>
  <c r="K8" i="10"/>
  <c r="K9" i="10" s="1"/>
  <c r="L8" i="9"/>
  <c r="O9" i="9"/>
  <c r="P9" i="9"/>
  <c r="L5" i="9"/>
  <c r="L4" i="9"/>
  <c r="L9" i="9" s="1"/>
  <c r="K8" i="9"/>
  <c r="K5" i="9"/>
  <c r="K6" i="9"/>
  <c r="K7" i="9"/>
  <c r="I9" i="9"/>
  <c r="P5" i="8"/>
  <c r="O5" i="8"/>
  <c r="L5" i="8"/>
  <c r="K5" i="8"/>
  <c r="J8" i="8"/>
  <c r="J7" i="8"/>
  <c r="J6" i="8"/>
  <c r="J5" i="8"/>
  <c r="J4" i="8"/>
  <c r="I5" i="8"/>
  <c r="I4" i="8"/>
  <c r="N5" i="8"/>
  <c r="K9" i="9" l="1"/>
  <c r="H9" i="8"/>
  <c r="E9" i="8"/>
  <c r="D9" i="8"/>
  <c r="O8" i="8"/>
  <c r="N8" i="8"/>
  <c r="P8" i="8" s="1"/>
  <c r="K8" i="8"/>
  <c r="I8" i="8"/>
  <c r="L8" i="8" s="1"/>
  <c r="O7" i="8"/>
  <c r="N7" i="8"/>
  <c r="P7" i="8" s="1"/>
  <c r="I7" i="8"/>
  <c r="F7" i="8"/>
  <c r="O6" i="8"/>
  <c r="N6" i="8"/>
  <c r="P6" i="8" s="1"/>
  <c r="I6" i="8"/>
  <c r="F6" i="8"/>
  <c r="O4" i="8"/>
  <c r="N4" i="8"/>
  <c r="P4" i="8" s="1"/>
  <c r="J9" i="8"/>
  <c r="F4" i="8"/>
  <c r="F9" i="8" s="1"/>
  <c r="H8" i="7"/>
  <c r="E8" i="7"/>
  <c r="D8" i="7"/>
  <c r="O7" i="7"/>
  <c r="N7" i="7"/>
  <c r="P7" i="7" s="1"/>
  <c r="J7" i="7"/>
  <c r="I7" i="7"/>
  <c r="O6" i="7"/>
  <c r="N6" i="7"/>
  <c r="P6" i="7" s="1"/>
  <c r="J6" i="7"/>
  <c r="I6" i="7"/>
  <c r="F6" i="7"/>
  <c r="O5" i="7"/>
  <c r="N5" i="7"/>
  <c r="P5" i="7" s="1"/>
  <c r="J5" i="7"/>
  <c r="I5" i="7"/>
  <c r="F5" i="7"/>
  <c r="O4" i="7"/>
  <c r="N4" i="7"/>
  <c r="P4" i="7" s="1"/>
  <c r="J4" i="7"/>
  <c r="J8" i="7" s="1"/>
  <c r="I4" i="7"/>
  <c r="F4" i="7"/>
  <c r="F8" i="7" s="1"/>
  <c r="L7" i="7" l="1"/>
  <c r="L6" i="7"/>
  <c r="O8" i="7"/>
  <c r="L5" i="7"/>
  <c r="P8" i="7"/>
  <c r="L4" i="7"/>
  <c r="L8" i="7" s="1"/>
  <c r="L7" i="8"/>
  <c r="O9" i="8"/>
  <c r="L4" i="8"/>
  <c r="L6" i="8"/>
  <c r="L9" i="8" s="1"/>
  <c r="P9" i="8"/>
  <c r="K4" i="8"/>
  <c r="K6" i="8"/>
  <c r="K7" i="8"/>
  <c r="I9" i="8"/>
  <c r="K7" i="7"/>
  <c r="K4" i="7"/>
  <c r="K5" i="7"/>
  <c r="K6" i="7"/>
  <c r="I8" i="7"/>
  <c r="N7" i="6"/>
  <c r="P7" i="6" s="1"/>
  <c r="H8" i="6"/>
  <c r="E8" i="6"/>
  <c r="D8" i="6"/>
  <c r="O7" i="6"/>
  <c r="J7" i="6"/>
  <c r="I7" i="6"/>
  <c r="O6" i="6"/>
  <c r="N6" i="6"/>
  <c r="P6" i="6" s="1"/>
  <c r="J6" i="6"/>
  <c r="I6" i="6"/>
  <c r="K6" i="6" s="1"/>
  <c r="F6" i="6"/>
  <c r="O5" i="6"/>
  <c r="N5" i="6"/>
  <c r="P5" i="6" s="1"/>
  <c r="J5" i="6"/>
  <c r="I5" i="6"/>
  <c r="K5" i="6" s="1"/>
  <c r="F5" i="6"/>
  <c r="O4" i="6"/>
  <c r="N4" i="6"/>
  <c r="P4" i="6" s="1"/>
  <c r="J4" i="6"/>
  <c r="J8" i="6" s="1"/>
  <c r="I4" i="6"/>
  <c r="K4" i="6" s="1"/>
  <c r="F4" i="6"/>
  <c r="F8" i="6" s="1"/>
  <c r="K9" i="8" l="1"/>
  <c r="K8" i="7"/>
  <c r="L7" i="6"/>
  <c r="O8" i="6"/>
  <c r="P8" i="6"/>
  <c r="L4" i="6"/>
  <c r="L5" i="6"/>
  <c r="L6" i="6"/>
  <c r="K7" i="6"/>
  <c r="K8" i="6" s="1"/>
  <c r="I8" i="6"/>
  <c r="H7" i="5"/>
  <c r="D7" i="5"/>
  <c r="E7" i="5"/>
  <c r="L8" i="6" l="1"/>
  <c r="O6" i="5" l="1"/>
  <c r="N6" i="5"/>
  <c r="P6" i="5" s="1"/>
  <c r="J6" i="5"/>
  <c r="I6" i="5"/>
  <c r="F6" i="5"/>
  <c r="O5" i="5"/>
  <c r="N5" i="5"/>
  <c r="P5" i="5" s="1"/>
  <c r="J5" i="5"/>
  <c r="I5" i="5"/>
  <c r="F5" i="5"/>
  <c r="O4" i="5"/>
  <c r="O7" i="5" s="1"/>
  <c r="N4" i="5"/>
  <c r="P4" i="5" s="1"/>
  <c r="J4" i="5"/>
  <c r="J7" i="5" s="1"/>
  <c r="I4" i="5"/>
  <c r="I7" i="5" s="1"/>
  <c r="F4" i="5"/>
  <c r="F7" i="5" s="1"/>
  <c r="P7" i="5" l="1"/>
  <c r="L6" i="5"/>
  <c r="L5" i="5"/>
  <c r="K4" i="5"/>
  <c r="K7" i="5" s="1"/>
  <c r="K5" i="5"/>
  <c r="K6" i="5"/>
  <c r="L4" i="5"/>
  <c r="L7" i="5" s="1"/>
  <c r="J7" i="4"/>
  <c r="H7" i="4"/>
  <c r="E7" i="4"/>
  <c r="D7" i="4"/>
  <c r="O6" i="4"/>
  <c r="N6" i="4"/>
  <c r="L6" i="4" s="1"/>
  <c r="J6" i="4"/>
  <c r="I6" i="4"/>
  <c r="K6" i="4" s="1"/>
  <c r="F6" i="4"/>
  <c r="O5" i="4"/>
  <c r="O7" i="4" s="1"/>
  <c r="N5" i="4"/>
  <c r="P5" i="4" s="1"/>
  <c r="J5" i="4"/>
  <c r="I5" i="4"/>
  <c r="F5" i="4"/>
  <c r="O4" i="4"/>
  <c r="N4" i="4"/>
  <c r="P4" i="4" s="1"/>
  <c r="J4" i="4"/>
  <c r="I4" i="4"/>
  <c r="I7" i="4" s="1"/>
  <c r="F4" i="4"/>
  <c r="F7" i="4" s="1"/>
  <c r="J8" i="3"/>
  <c r="H8" i="3"/>
  <c r="E8" i="3"/>
  <c r="D8" i="3"/>
  <c r="O7" i="3"/>
  <c r="N7" i="3"/>
  <c r="P7" i="3" s="1"/>
  <c r="J7" i="3"/>
  <c r="I7" i="3"/>
  <c r="F7" i="3"/>
  <c r="O6" i="3"/>
  <c r="N6" i="3"/>
  <c r="P6" i="3" s="1"/>
  <c r="J6" i="3"/>
  <c r="I6" i="3"/>
  <c r="F6" i="3"/>
  <c r="O5" i="3"/>
  <c r="O8" i="3" s="1"/>
  <c r="N5" i="3"/>
  <c r="P5" i="3" s="1"/>
  <c r="J5" i="3"/>
  <c r="I5" i="3"/>
  <c r="I8" i="3" s="1"/>
  <c r="F5" i="3"/>
  <c r="F8" i="3" s="1"/>
  <c r="L5" i="4" l="1"/>
  <c r="K4" i="4"/>
  <c r="K5" i="4"/>
  <c r="P6" i="4"/>
  <c r="P7" i="4" s="1"/>
  <c r="L4" i="4"/>
  <c r="L7" i="4" s="1"/>
  <c r="L7" i="3"/>
  <c r="L6" i="3"/>
  <c r="P8" i="3"/>
  <c r="K5" i="3"/>
  <c r="K6" i="3"/>
  <c r="K7" i="3"/>
  <c r="L5" i="3"/>
  <c r="N7" i="2"/>
  <c r="L7" i="2" s="1"/>
  <c r="N6" i="2"/>
  <c r="P6" i="2" s="1"/>
  <c r="H8" i="2"/>
  <c r="E8" i="2"/>
  <c r="D8" i="2"/>
  <c r="O7" i="2"/>
  <c r="J7" i="2"/>
  <c r="J8" i="2" s="1"/>
  <c r="I7" i="2"/>
  <c r="K7" i="2" s="1"/>
  <c r="F7" i="2"/>
  <c r="O6" i="2"/>
  <c r="K6" i="2"/>
  <c r="J6" i="2"/>
  <c r="I6" i="2"/>
  <c r="F6" i="2"/>
  <c r="O5" i="2"/>
  <c r="O8" i="2" s="1"/>
  <c r="N5" i="2"/>
  <c r="P5" i="2" s="1"/>
  <c r="K5" i="2"/>
  <c r="J5" i="2"/>
  <c r="I5" i="2"/>
  <c r="I8" i="2" s="1"/>
  <c r="F5" i="2"/>
  <c r="F8" i="2" s="1"/>
  <c r="O8" i="1"/>
  <c r="P8" i="1"/>
  <c r="L8" i="1"/>
  <c r="H8" i="1"/>
  <c r="I8" i="1"/>
  <c r="J8" i="1"/>
  <c r="K8" i="1"/>
  <c r="D8" i="1"/>
  <c r="E8" i="1"/>
  <c r="F8" i="1"/>
  <c r="P7" i="1"/>
  <c r="O7" i="1"/>
  <c r="L7" i="1"/>
  <c r="I7" i="1"/>
  <c r="K7" i="1" s="1"/>
  <c r="J7" i="1"/>
  <c r="F7" i="1"/>
  <c r="P6" i="1"/>
  <c r="O6" i="1"/>
  <c r="L6" i="1"/>
  <c r="K6" i="1"/>
  <c r="J6" i="1"/>
  <c r="I6" i="1"/>
  <c r="F6" i="1"/>
  <c r="K7" i="4" l="1"/>
  <c r="L8" i="3"/>
  <c r="K8" i="3"/>
  <c r="P7" i="2"/>
  <c r="P8" i="2" s="1"/>
  <c r="L6" i="2"/>
  <c r="K8" i="2"/>
  <c r="L5" i="2"/>
  <c r="L8" i="2" s="1"/>
  <c r="O5" i="1"/>
  <c r="N5" i="1"/>
  <c r="P5" i="1" s="1"/>
  <c r="J5" i="1"/>
  <c r="I5" i="1"/>
  <c r="F5" i="1"/>
  <c r="L5" i="1" l="1"/>
  <c r="K5" i="1"/>
</calcChain>
</file>

<file path=xl/sharedStrings.xml><?xml version="1.0" encoding="utf-8"?>
<sst xmlns="http://schemas.openxmlformats.org/spreadsheetml/2006/main" count="361" uniqueCount="48">
  <si>
    <t>S/N</t>
  </si>
  <si>
    <t>MDAs</t>
  </si>
  <si>
    <t>NAME</t>
  </si>
  <si>
    <t>Principal</t>
  </si>
  <si>
    <t>Interest According to Instalment</t>
  </si>
  <si>
    <t>TOTAL  LOAN</t>
  </si>
  <si>
    <t>No of Inst.</t>
  </si>
  <si>
    <t xml:space="preserve">Monthly Deduction </t>
  </si>
  <si>
    <t>Monthly Interest</t>
  </si>
  <si>
    <t>Monthly Principal</t>
  </si>
  <si>
    <t>Total outstanding Interest</t>
  </si>
  <si>
    <t>No of instal paid</t>
  </si>
  <si>
    <t>No of instal outstanding</t>
  </si>
  <si>
    <t>Total Loan Paid</t>
  </si>
  <si>
    <t>Outstanding Balance</t>
  </si>
  <si>
    <t xml:space="preserve">REMARKS </t>
  </si>
  <si>
    <t>START DATE</t>
  </si>
  <si>
    <t>END DATE</t>
  </si>
  <si>
    <t>OLANREWAJU HALILU OLABODE</t>
  </si>
  <si>
    <t>AUDIT SERVICE COMMISSION OYO STATE</t>
  </si>
  <si>
    <t>MOTOR VEHINCLE LOAN PAYMENT FOR THE MONTH OF MARTH, 2024.</t>
  </si>
  <si>
    <t>TRANSFERED FROM MIN. OF AGRIC</t>
  </si>
  <si>
    <t xml:space="preserve"> TOTAL</t>
  </si>
  <si>
    <t>LUCAS OMOLOLA OLUWABUNMI</t>
  </si>
  <si>
    <t>60</t>
  </si>
  <si>
    <t>TRANSFERED FROM ACCOUNTANT GENERAL</t>
  </si>
  <si>
    <t>AUDIT SERVICE COMM</t>
  </si>
  <si>
    <t xml:space="preserve">	GBENLE KAZEEM ADEWALE</t>
  </si>
  <si>
    <t>50</t>
  </si>
  <si>
    <t>TRANSFERED FROM MIN. OF WORK</t>
  </si>
  <si>
    <t>31-06-2025</t>
  </si>
  <si>
    <t>31-09-2027</t>
  </si>
  <si>
    <t>Total Int. paid</t>
  </si>
  <si>
    <t>MOTOR VEHINCLE LOAN PAYMENT FOR THE MONTH OF APRIL, 2024.</t>
  </si>
  <si>
    <t>MOTOR VEHINCLE LOAN PAYMENT FOR THE MONTH OF MAY, 2024.</t>
  </si>
  <si>
    <t>MOTOR VEHINCLE LOAN PAYMENT FOR THE MONTH OF JUNE, 2024.</t>
  </si>
  <si>
    <t>MOTOR VEHINCLE LOAN PAYMENT FOR THE MONTH OF JULY, 2024.</t>
  </si>
  <si>
    <t>RAIFU MUTIAT ADEOLA</t>
  </si>
  <si>
    <t>31-06-25</t>
  </si>
  <si>
    <t>31-09-27</t>
  </si>
  <si>
    <t>MOTOR VEHINCLE LOAN PAYMENT FOR THE MONTH OF AUGUST, 2024.</t>
  </si>
  <si>
    <t>AUDIT SERVICE COMM.</t>
  </si>
  <si>
    <t>MOTOR VEHINCLE LOAN PAYMENT FOR THE MONTH OF SEPTEMBER, 2024.</t>
  </si>
  <si>
    <t>MOTOR VEHINCLE LOAN PAYMENT FOR THE MONTH OF OCTOBER, 2024.</t>
  </si>
  <si>
    <t>AJADI MOJEED ADEKUNLE</t>
  </si>
  <si>
    <t>MIN. WOMEN AFFAIRS</t>
  </si>
  <si>
    <t>MOTOR VEHINCLE LOAN PAYMENT FOR THE MONTH OF NOVEMBER, 2024.</t>
  </si>
  <si>
    <t>MOTOR VEHINCLE LOAN PAYMENT FOR THE MONTH OF DECEMBER,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</si>
</sst>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 Light"/>
      <family val="1"/>
      <scheme val="major"/>
    </font>
    <font>
      <sz val="15"/>
      <name val="Calibri"/>
      <family val="2"/>
      <scheme val="minor"/>
    </font>
    <font>
      <b/>
      <sz val="15"/>
      <name val="Calibri Light"/>
      <family val="1"/>
      <scheme val="major"/>
    </font>
    <font>
      <b/>
      <sz val="15"/>
      <name val="Calibri"/>
      <family val="2"/>
      <scheme val="minor"/>
    </font>
    <font>
      <b/>
      <sz val="15"/>
      <name val="Cambria"/>
      <family val="1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4"/>
      <color rgb="FF000000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 Light"/>
      <family val="1"/>
      <scheme val="major"/>
    </font>
    <font>
      <b/>
      <sz val="16"/>
      <name val="Calibri"/>
      <family val="2"/>
      <scheme val="minor"/>
    </font>
    <font>
      <sz val="16"/>
      <name val="Calibri Light"/>
      <family val="1"/>
      <scheme val="major"/>
    </font>
    <font>
      <b/>
      <sz val="14"/>
      <name val="Calibri Light"/>
      <family val="1"/>
      <scheme val="maj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 Light"/>
      <family val="1"/>
      <scheme val="major"/>
    </font>
    <font>
      <sz val="10"/>
      <color indexed="8"/>
      <name val="Arial"/>
      <family val="2"/>
    </font>
    <font>
      <sz val="14"/>
      <color indexed="8"/>
      <name val="Calibri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8" fillId="0" borderId="0"/>
  </cellStyleXfs>
  <cellXfs count="85">
    <xf numFmtId="0" fontId="0" fillId="0" borderId="0" xfId="0"/>
    <xf numFmtId="0" fontId="2" fillId="0" borderId="0" xfId="0" applyFont="1" applyBorder="1" applyAlignment="1">
      <alignment horizontal="left"/>
    </xf>
    <xf numFmtId="14" fontId="7" fillId="0" borderId="1" xfId="0" applyNumberFormat="1" applyFont="1" applyBorder="1"/>
    <xf numFmtId="0" fontId="7" fillId="0" borderId="1" xfId="0" applyFont="1" applyBorder="1" applyAlignment="1"/>
    <xf numFmtId="14" fontId="9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4" fontId="10" fillId="0" borderId="1" xfId="0" applyNumberFormat="1" applyFont="1" applyBorder="1"/>
    <xf numFmtId="43" fontId="10" fillId="0" borderId="1" xfId="1" applyNumberFormat="1" applyFont="1" applyBorder="1" applyAlignment="1">
      <alignment horizontal="right"/>
    </xf>
    <xf numFmtId="43" fontId="10" fillId="2" borderId="1" xfId="1" applyFont="1" applyFill="1" applyBorder="1" applyAlignment="1">
      <alignment vertical="top"/>
    </xf>
    <xf numFmtId="43" fontId="12" fillId="0" borderId="1" xfId="1" applyNumberFormat="1" applyFont="1" applyFill="1" applyBorder="1" applyAlignment="1"/>
    <xf numFmtId="0" fontId="10" fillId="0" borderId="1" xfId="0" applyFont="1" applyFill="1" applyBorder="1"/>
    <xf numFmtId="0" fontId="10" fillId="0" borderId="1" xfId="1" quotePrefix="1" applyNumberFormat="1" applyFont="1" applyBorder="1" applyAlignment="1">
      <alignment horizontal="center"/>
    </xf>
    <xf numFmtId="43" fontId="10" fillId="0" borderId="1" xfId="0" applyNumberFormat="1" applyFont="1" applyBorder="1" applyAlignment="1">
      <alignment horizontal="right"/>
    </xf>
    <xf numFmtId="43" fontId="13" fillId="0" borderId="1" xfId="1" applyFont="1" applyBorder="1" applyAlignment="1">
      <alignment horizontal="right"/>
    </xf>
    <xf numFmtId="0" fontId="14" fillId="0" borderId="1" xfId="0" applyFont="1" applyBorder="1" applyAlignment="1">
      <alignment horizontal="left" wrapText="1"/>
    </xf>
    <xf numFmtId="0" fontId="14" fillId="0" borderId="1" xfId="0" applyFont="1" applyFill="1" applyBorder="1" applyAlignment="1">
      <alignment horizontal="left" wrapText="1"/>
    </xf>
    <xf numFmtId="43" fontId="14" fillId="0" borderId="1" xfId="1" applyNumberFormat="1" applyFont="1" applyBorder="1" applyAlignment="1">
      <alignment horizontal="left" wrapText="1"/>
    </xf>
    <xf numFmtId="43" fontId="14" fillId="0" borderId="1" xfId="1" applyFont="1" applyBorder="1" applyAlignment="1">
      <alignment horizontal="left" wrapText="1"/>
    </xf>
    <xf numFmtId="0" fontId="15" fillId="0" borderId="1" xfId="0" applyFont="1" applyBorder="1" applyAlignment="1">
      <alignment horizontal="left"/>
    </xf>
    <xf numFmtId="0" fontId="16" fillId="0" borderId="0" xfId="0" applyFont="1"/>
    <xf numFmtId="43" fontId="8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4" fontId="7" fillId="0" borderId="1" xfId="0" applyNumberFormat="1" applyFont="1" applyBorder="1"/>
    <xf numFmtId="43" fontId="7" fillId="0" borderId="1" xfId="1" applyNumberFormat="1" applyFont="1" applyBorder="1" applyAlignment="1">
      <alignment horizontal="right"/>
    </xf>
    <xf numFmtId="43" fontId="7" fillId="0" borderId="1" xfId="1" applyFont="1" applyBorder="1" applyAlignment="1">
      <alignment horizontal="left"/>
    </xf>
    <xf numFmtId="0" fontId="7" fillId="0" borderId="1" xfId="1" quotePrefix="1" applyNumberFormat="1" applyFont="1" applyBorder="1" applyAlignment="1">
      <alignment horizontal="right"/>
    </xf>
    <xf numFmtId="43" fontId="7" fillId="0" borderId="1" xfId="0" applyNumberFormat="1" applyFont="1" applyBorder="1" applyAlignment="1">
      <alignment horizontal="right"/>
    </xf>
    <xf numFmtId="43" fontId="17" fillId="0" borderId="1" xfId="1" applyFont="1" applyBorder="1" applyAlignment="1">
      <alignment horizontal="right"/>
    </xf>
    <xf numFmtId="0" fontId="14" fillId="0" borderId="1" xfId="0" applyFont="1" applyBorder="1" applyAlignment="1">
      <alignment horizontal="center"/>
    </xf>
    <xf numFmtId="0" fontId="7" fillId="0" borderId="1" xfId="0" applyFont="1" applyBorder="1"/>
    <xf numFmtId="0" fontId="15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43" fontId="15" fillId="0" borderId="1" xfId="0" applyNumberFormat="1" applyFont="1" applyBorder="1"/>
    <xf numFmtId="0" fontId="7" fillId="0" borderId="1" xfId="0" applyFont="1" applyBorder="1" applyAlignment="1">
      <alignment horizontal="right"/>
    </xf>
    <xf numFmtId="0" fontId="19" fillId="0" borderId="1" xfId="2" applyFont="1" applyFill="1" applyBorder="1" applyAlignment="1">
      <alignment horizontal="left"/>
    </xf>
    <xf numFmtId="0" fontId="19" fillId="0" borderId="1" xfId="2" applyFont="1" applyFill="1" applyBorder="1" applyAlignment="1">
      <alignment horizontal="center"/>
    </xf>
    <xf numFmtId="4" fontId="19" fillId="0" borderId="1" xfId="2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4" fontId="19" fillId="0" borderId="1" xfId="2" applyNumberFormat="1" applyFont="1" applyFill="1" applyBorder="1" applyAlignment="1">
      <alignment horizontal="right"/>
    </xf>
    <xf numFmtId="43" fontId="8" fillId="0" borderId="1" xfId="0" applyNumberFormat="1" applyFont="1" applyBorder="1" applyAlignment="1">
      <alignment horizontal="right"/>
    </xf>
    <xf numFmtId="0" fontId="2" fillId="0" borderId="0" xfId="0" applyFont="1" applyFill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center"/>
    </xf>
    <xf numFmtId="0" fontId="6" fillId="0" borderId="0" xfId="0" applyFont="1" applyBorder="1"/>
    <xf numFmtId="0" fontId="16" fillId="0" borderId="1" xfId="0" applyFont="1" applyBorder="1"/>
    <xf numFmtId="0" fontId="0" fillId="0" borderId="1" xfId="0" applyBorder="1"/>
    <xf numFmtId="43" fontId="7" fillId="0" borderId="1" xfId="1" applyNumberFormat="1" applyFont="1" applyFill="1" applyBorder="1" applyAlignment="1"/>
    <xf numFmtId="14" fontId="7" fillId="0" borderId="1" xfId="0" applyNumberFormat="1" applyFont="1" applyBorder="1" applyAlignment="1">
      <alignment horizontal="center" wrapText="1"/>
    </xf>
    <xf numFmtId="4" fontId="7" fillId="0" borderId="1" xfId="0" applyNumberFormat="1" applyFont="1" applyBorder="1" applyAlignment="1"/>
    <xf numFmtId="0" fontId="20" fillId="0" borderId="0" xfId="0" applyFont="1"/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43" fontId="16" fillId="0" borderId="1" xfId="1" applyFont="1" applyBorder="1"/>
    <xf numFmtId="0" fontId="20" fillId="0" borderId="1" xfId="0" applyFont="1" applyBorder="1"/>
    <xf numFmtId="4" fontId="20" fillId="0" borderId="1" xfId="0" applyNumberFormat="1" applyFont="1" applyBorder="1"/>
    <xf numFmtId="43" fontId="20" fillId="0" borderId="1" xfId="0" applyNumberFormat="1" applyFont="1" applyBorder="1"/>
    <xf numFmtId="0" fontId="7" fillId="0" borderId="1" xfId="0" applyFont="1" applyBorder="1" applyAlignment="1">
      <alignment wrapText="1"/>
    </xf>
    <xf numFmtId="0" fontId="19" fillId="0" borderId="1" xfId="2" applyFont="1" applyFill="1" applyBorder="1" applyAlignment="1">
      <alignment horizontal="left" wrapText="1"/>
    </xf>
    <xf numFmtId="0" fontId="17" fillId="0" borderId="1" xfId="0" applyFont="1" applyBorder="1" applyAlignment="1">
      <alignment horizontal="left" wrapText="1"/>
    </xf>
    <xf numFmtId="14" fontId="7" fillId="0" borderId="1" xfId="0" applyNumberFormat="1" applyFont="1" applyBorder="1" applyAlignment="1">
      <alignment horizontal="center"/>
    </xf>
    <xf numFmtId="43" fontId="16" fillId="0" borderId="1" xfId="1" applyFont="1" applyBorder="1" applyAlignment="1"/>
    <xf numFmtId="0" fontId="20" fillId="0" borderId="1" xfId="0" applyFont="1" applyBorder="1" applyAlignment="1"/>
    <xf numFmtId="4" fontId="20" fillId="0" borderId="1" xfId="0" applyNumberFormat="1" applyFont="1" applyBorder="1" applyAlignment="1"/>
    <xf numFmtId="43" fontId="20" fillId="0" borderId="1" xfId="0" applyNumberFormat="1" applyFont="1" applyBorder="1" applyAlignment="1"/>
    <xf numFmtId="14" fontId="7" fillId="0" borderId="1" xfId="0" applyNumberFormat="1" applyFont="1" applyBorder="1" applyAlignment="1"/>
    <xf numFmtId="0" fontId="15" fillId="0" borderId="1" xfId="0" applyFont="1" applyBorder="1" applyAlignment="1">
      <alignment horizontal="left" wrapText="1"/>
    </xf>
    <xf numFmtId="0" fontId="20" fillId="0" borderId="1" xfId="0" applyFont="1" applyBorder="1" applyAlignment="1">
      <alignment wrapText="1"/>
    </xf>
    <xf numFmtId="0" fontId="0" fillId="0" borderId="0" xfId="0" applyAlignment="1"/>
    <xf numFmtId="0" fontId="4" fillId="0" borderId="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_MARCH,202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topLeftCell="H4" workbookViewId="0">
      <selection activeCell="S7" sqref="S7"/>
    </sheetView>
  </sheetViews>
  <sheetFormatPr defaultRowHeight="15" x14ac:dyDescent="0.25"/>
  <cols>
    <col min="1" max="1" width="5.5703125" customWidth="1"/>
    <col min="2" max="2" width="26.85546875" customWidth="1"/>
    <col min="3" max="3" width="38.28515625" customWidth="1"/>
    <col min="4" max="4" width="15.140625" customWidth="1"/>
    <col min="5" max="5" width="15.85546875" customWidth="1"/>
    <col min="6" max="6" width="18.28515625" customWidth="1"/>
    <col min="7" max="7" width="9.28515625" bestFit="1" customWidth="1"/>
    <col min="8" max="8" width="14.85546875" customWidth="1"/>
    <col min="9" max="9" width="14.28515625" customWidth="1"/>
    <col min="10" max="10" width="14.5703125" bestFit="1" customWidth="1"/>
    <col min="11" max="11" width="15.5703125" customWidth="1"/>
    <col min="12" max="12" width="15.7109375" customWidth="1"/>
    <col min="13" max="13" width="9.140625" customWidth="1"/>
    <col min="14" max="14" width="9.28515625" bestFit="1" customWidth="1"/>
    <col min="15" max="15" width="15.7109375" customWidth="1"/>
    <col min="16" max="16" width="16.42578125" customWidth="1"/>
    <col min="17" max="17" width="17.5703125" customWidth="1"/>
    <col min="18" max="18" width="14.140625" customWidth="1"/>
    <col min="19" max="19" width="15.28515625" customWidth="1"/>
  </cols>
  <sheetData>
    <row r="1" spans="1:20" ht="15.75" x14ac:dyDescent="0.25">
      <c r="A1" s="43"/>
      <c r="B1" s="1"/>
      <c r="C1" s="43"/>
      <c r="D1" s="43"/>
      <c r="E1" s="44"/>
      <c r="F1" s="44"/>
      <c r="G1" s="45"/>
      <c r="H1" s="45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ht="19.5" x14ac:dyDescent="0.3">
      <c r="A2" s="46"/>
      <c r="B2" s="47" t="s">
        <v>19</v>
      </c>
      <c r="C2" s="48"/>
      <c r="D2" s="48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9"/>
      <c r="R2" s="46"/>
      <c r="S2" s="46"/>
    </row>
    <row r="3" spans="1:20" ht="19.5" x14ac:dyDescent="0.3">
      <c r="A3" s="46"/>
      <c r="B3" s="50" t="s">
        <v>20</v>
      </c>
      <c r="C3" s="48"/>
      <c r="D3" s="48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9"/>
      <c r="R3" s="46"/>
      <c r="S3" s="46"/>
    </row>
    <row r="4" spans="1:20" ht="76.5" customHeight="1" x14ac:dyDescent="0.3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7" t="s">
        <v>8</v>
      </c>
      <c r="J4" s="17" t="s">
        <v>9</v>
      </c>
      <c r="K4" s="17" t="s">
        <v>32</v>
      </c>
      <c r="L4" s="17" t="s">
        <v>10</v>
      </c>
      <c r="M4" s="18" t="s">
        <v>11</v>
      </c>
      <c r="N4" s="18" t="s">
        <v>12</v>
      </c>
      <c r="O4" s="16" t="s">
        <v>13</v>
      </c>
      <c r="P4" s="19" t="s">
        <v>14</v>
      </c>
      <c r="Q4" s="16" t="s">
        <v>15</v>
      </c>
      <c r="R4" s="20" t="s">
        <v>16</v>
      </c>
      <c r="S4" s="20" t="s">
        <v>17</v>
      </c>
      <c r="T4" s="21"/>
    </row>
    <row r="5" spans="1:20" ht="56.25" x14ac:dyDescent="0.3">
      <c r="A5" s="23">
        <v>1</v>
      </c>
      <c r="B5" s="24" t="s">
        <v>26</v>
      </c>
      <c r="C5" s="3" t="s">
        <v>18</v>
      </c>
      <c r="D5" s="25">
        <v>600000</v>
      </c>
      <c r="E5" s="25">
        <v>63984</v>
      </c>
      <c r="F5" s="26">
        <f t="shared" ref="F5:F7" si="0">D5+E5</f>
        <v>663984</v>
      </c>
      <c r="G5" s="23">
        <v>47</v>
      </c>
      <c r="H5" s="27">
        <v>14166.25</v>
      </c>
      <c r="I5" s="53">
        <f>E5/47</f>
        <v>1361.3617021276596</v>
      </c>
      <c r="J5" s="53">
        <f>D5/47</f>
        <v>12765.95744680851</v>
      </c>
      <c r="K5" s="53">
        <f t="shared" ref="K5:K7" si="1">I5*M5</f>
        <v>43563.574468085106</v>
      </c>
      <c r="L5" s="53">
        <f t="shared" ref="L5:L7" si="2">I5*N5</f>
        <v>20420.425531914894</v>
      </c>
      <c r="M5" s="40">
        <v>32</v>
      </c>
      <c r="N5" s="28">
        <f t="shared" ref="N5" si="3">G5-M5</f>
        <v>15</v>
      </c>
      <c r="O5" s="29">
        <f t="shared" ref="O5:O7" si="4">H5*M5</f>
        <v>453320</v>
      </c>
      <c r="P5" s="30">
        <f t="shared" ref="P5:P7" si="5">H5*N5</f>
        <v>212493.75</v>
      </c>
      <c r="Q5" s="54" t="s">
        <v>21</v>
      </c>
      <c r="R5" s="4">
        <v>44409</v>
      </c>
      <c r="S5" s="4" t="s">
        <v>30</v>
      </c>
    </row>
    <row r="6" spans="1:20" ht="56.25" x14ac:dyDescent="0.3">
      <c r="A6" s="23">
        <v>2</v>
      </c>
      <c r="B6" s="24" t="s">
        <v>26</v>
      </c>
      <c r="C6" s="37" t="s">
        <v>23</v>
      </c>
      <c r="D6" s="41">
        <v>600000</v>
      </c>
      <c r="E6" s="41">
        <v>79980</v>
      </c>
      <c r="F6" s="26">
        <f t="shared" si="0"/>
        <v>679980</v>
      </c>
      <c r="G6" s="38" t="s">
        <v>24</v>
      </c>
      <c r="H6" s="39">
        <v>11333</v>
      </c>
      <c r="I6" s="53">
        <f>E6/60</f>
        <v>1333</v>
      </c>
      <c r="J6" s="53">
        <f>D6/60</f>
        <v>10000</v>
      </c>
      <c r="K6" s="53">
        <f t="shared" si="1"/>
        <v>65317</v>
      </c>
      <c r="L6" s="53">
        <f t="shared" si="2"/>
        <v>14663</v>
      </c>
      <c r="M6" s="40">
        <v>49</v>
      </c>
      <c r="N6" s="28">
        <v>11</v>
      </c>
      <c r="O6" s="29">
        <f t="shared" si="4"/>
        <v>555317</v>
      </c>
      <c r="P6" s="30">
        <f t="shared" si="5"/>
        <v>124663</v>
      </c>
      <c r="Q6" s="54" t="s">
        <v>29</v>
      </c>
      <c r="R6" s="4">
        <v>43891</v>
      </c>
      <c r="S6" s="4">
        <v>45716</v>
      </c>
    </row>
    <row r="7" spans="1:20" ht="75" x14ac:dyDescent="0.3">
      <c r="A7" s="23">
        <v>3</v>
      </c>
      <c r="B7" s="24" t="s">
        <v>26</v>
      </c>
      <c r="C7" s="37" t="s">
        <v>27</v>
      </c>
      <c r="D7" s="41">
        <v>750000</v>
      </c>
      <c r="E7" s="41">
        <v>83312.5</v>
      </c>
      <c r="F7" s="26">
        <f t="shared" si="0"/>
        <v>833312.5</v>
      </c>
      <c r="G7" s="38" t="s">
        <v>28</v>
      </c>
      <c r="H7" s="39">
        <v>16666.25</v>
      </c>
      <c r="I7" s="53">
        <f>E7/50</f>
        <v>1666.25</v>
      </c>
      <c r="J7" s="53">
        <f>D7/50</f>
        <v>15000</v>
      </c>
      <c r="K7" s="53">
        <f t="shared" si="1"/>
        <v>16662.5</v>
      </c>
      <c r="L7" s="53">
        <f t="shared" si="2"/>
        <v>66650</v>
      </c>
      <c r="M7" s="40">
        <v>10</v>
      </c>
      <c r="N7" s="51">
        <v>40</v>
      </c>
      <c r="O7" s="29">
        <f t="shared" si="4"/>
        <v>166662.5</v>
      </c>
      <c r="P7" s="30">
        <f t="shared" si="5"/>
        <v>666650</v>
      </c>
      <c r="Q7" s="54" t="s">
        <v>25</v>
      </c>
      <c r="R7" s="4">
        <v>45078</v>
      </c>
      <c r="S7" s="2">
        <v>46599</v>
      </c>
    </row>
    <row r="8" spans="1:20" ht="18.75" x14ac:dyDescent="0.3">
      <c r="A8" s="33"/>
      <c r="B8" s="34" t="s">
        <v>22</v>
      </c>
      <c r="C8" s="52"/>
      <c r="D8" s="42">
        <f>SUM(D5:D7)</f>
        <v>1950000</v>
      </c>
      <c r="E8" s="35">
        <f>SUM(E5:E7)</f>
        <v>227276.5</v>
      </c>
      <c r="F8" s="35">
        <f>SUM(F5:F7)</f>
        <v>2177276.5</v>
      </c>
      <c r="G8" s="35"/>
      <c r="H8" s="35">
        <f>SUM(H5:H7)</f>
        <v>42165.5</v>
      </c>
      <c r="I8" s="35">
        <f>SUM(I5:I7)</f>
        <v>4360.6117021276596</v>
      </c>
      <c r="J8" s="35">
        <f>SUM(J5:J7)</f>
        <v>37765.957446808512</v>
      </c>
      <c r="K8" s="35">
        <f>SUM(K5:K7)</f>
        <v>125543.07446808511</v>
      </c>
      <c r="L8" s="35">
        <f>SUM(L5:L7)</f>
        <v>101733.42553191489</v>
      </c>
      <c r="M8" s="35"/>
      <c r="N8" s="36"/>
      <c r="O8" s="22">
        <f>SUM(O5:O7)</f>
        <v>1175299.5</v>
      </c>
      <c r="P8" s="22">
        <f>SUM(P5:P7)</f>
        <v>1003806.75</v>
      </c>
      <c r="Q8" s="31"/>
      <c r="R8" s="34"/>
      <c r="S8" s="32"/>
    </row>
    <row r="9" spans="1:20" ht="21" x14ac:dyDescent="0.35">
      <c r="A9" s="5"/>
      <c r="B9" s="6"/>
      <c r="C9" s="7"/>
      <c r="D9" s="8"/>
      <c r="E9" s="8"/>
      <c r="F9" s="9"/>
      <c r="G9" s="5"/>
      <c r="H9" s="10"/>
      <c r="I9" s="11"/>
      <c r="J9" s="11"/>
      <c r="K9" s="11"/>
      <c r="L9" s="11"/>
      <c r="M9" s="12"/>
      <c r="N9" s="13"/>
      <c r="O9" s="14"/>
      <c r="P9" s="15"/>
      <c r="Q9" s="6"/>
      <c r="R9" s="2"/>
      <c r="S9" s="2"/>
    </row>
  </sheetData>
  <pageMargins left="1.2" right="0.7" top="0.75" bottom="0.75" header="0.3" footer="0.3"/>
  <pageSetup paperSize="5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workbookViewId="0">
      <selection activeCell="H7" sqref="H7"/>
    </sheetView>
  </sheetViews>
  <sheetFormatPr defaultRowHeight="15" x14ac:dyDescent="0.25"/>
  <cols>
    <col min="1" max="1" width="7" customWidth="1"/>
    <col min="2" max="2" width="26.28515625" customWidth="1"/>
    <col min="3" max="3" width="38" customWidth="1"/>
    <col min="4" max="4" width="14.140625" customWidth="1"/>
    <col min="5" max="6" width="18" customWidth="1"/>
    <col min="8" max="8" width="14.85546875" customWidth="1"/>
    <col min="9" max="9" width="12.7109375" customWidth="1"/>
    <col min="10" max="10" width="14.140625" customWidth="1"/>
    <col min="11" max="11" width="16.28515625" customWidth="1"/>
    <col min="12" max="12" width="16.140625" customWidth="1"/>
    <col min="15" max="15" width="16.85546875" customWidth="1"/>
    <col min="16" max="16" width="16.28515625" customWidth="1"/>
    <col min="17" max="17" width="17" customWidth="1"/>
    <col min="18" max="18" width="14.5703125" customWidth="1"/>
    <col min="19" max="19" width="13.7109375" customWidth="1"/>
  </cols>
  <sheetData>
    <row r="1" spans="1:19" ht="15.75" x14ac:dyDescent="0.25">
      <c r="A1" s="43"/>
      <c r="B1" s="1"/>
      <c r="C1" s="43"/>
      <c r="D1" s="43"/>
      <c r="E1" s="44"/>
      <c r="F1" s="44"/>
      <c r="G1" s="45"/>
      <c r="H1" s="45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9.5" x14ac:dyDescent="0.3">
      <c r="A2" s="46"/>
      <c r="B2" s="47" t="s">
        <v>19</v>
      </c>
      <c r="C2" s="48"/>
      <c r="D2" s="48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9"/>
      <c r="R2" s="46"/>
      <c r="S2" s="46"/>
    </row>
    <row r="3" spans="1:19" ht="19.5" x14ac:dyDescent="0.3">
      <c r="A3" s="46"/>
      <c r="B3" s="50" t="s">
        <v>33</v>
      </c>
      <c r="C3" s="48"/>
      <c r="D3" s="48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9"/>
      <c r="R3" s="46"/>
      <c r="S3" s="46"/>
    </row>
    <row r="4" spans="1:19" ht="72.75" customHeight="1" x14ac:dyDescent="0.3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7" t="s">
        <v>8</v>
      </c>
      <c r="J4" s="17" t="s">
        <v>9</v>
      </c>
      <c r="K4" s="17" t="s">
        <v>32</v>
      </c>
      <c r="L4" s="17" t="s">
        <v>10</v>
      </c>
      <c r="M4" s="18" t="s">
        <v>11</v>
      </c>
      <c r="N4" s="18" t="s">
        <v>12</v>
      </c>
      <c r="O4" s="16" t="s">
        <v>13</v>
      </c>
      <c r="P4" s="19" t="s">
        <v>14</v>
      </c>
      <c r="Q4" s="16" t="s">
        <v>15</v>
      </c>
      <c r="R4" s="20" t="s">
        <v>16</v>
      </c>
      <c r="S4" s="20" t="s">
        <v>17</v>
      </c>
    </row>
    <row r="5" spans="1:19" ht="54" customHeight="1" x14ac:dyDescent="0.3">
      <c r="A5" s="23">
        <v>1</v>
      </c>
      <c r="B5" s="24" t="s">
        <v>26</v>
      </c>
      <c r="C5" s="3" t="s">
        <v>18</v>
      </c>
      <c r="D5" s="25">
        <v>600000</v>
      </c>
      <c r="E5" s="25">
        <v>63984</v>
      </c>
      <c r="F5" s="26">
        <f t="shared" ref="F5:F7" si="0">D5+E5</f>
        <v>663984</v>
      </c>
      <c r="G5" s="23">
        <v>47</v>
      </c>
      <c r="H5" s="27">
        <v>14166.25</v>
      </c>
      <c r="I5" s="53">
        <f>E5/47</f>
        <v>1361.3617021276596</v>
      </c>
      <c r="J5" s="53">
        <f>D5/47</f>
        <v>12765.95744680851</v>
      </c>
      <c r="K5" s="53">
        <f t="shared" ref="K5:K7" si="1">I5*M5</f>
        <v>44924.936170212764</v>
      </c>
      <c r="L5" s="53">
        <f t="shared" ref="L5:L7" si="2">I5*N5</f>
        <v>19059.063829787236</v>
      </c>
      <c r="M5" s="40">
        <v>33</v>
      </c>
      <c r="N5" s="28">
        <f t="shared" ref="N5:N7" si="3">G5-M5</f>
        <v>14</v>
      </c>
      <c r="O5" s="29">
        <f t="shared" ref="O5:O7" si="4">H5*M5</f>
        <v>467486.25</v>
      </c>
      <c r="P5" s="30">
        <f t="shared" ref="P5:P7" si="5">H5*N5</f>
        <v>198327.5</v>
      </c>
      <c r="Q5" s="54" t="s">
        <v>21</v>
      </c>
      <c r="R5" s="4">
        <v>44409</v>
      </c>
      <c r="S5" s="4" t="s">
        <v>30</v>
      </c>
    </row>
    <row r="6" spans="1:19" ht="54" customHeight="1" x14ac:dyDescent="0.3">
      <c r="A6" s="23">
        <v>2</v>
      </c>
      <c r="B6" s="24" t="s">
        <v>26</v>
      </c>
      <c r="C6" s="37" t="s">
        <v>23</v>
      </c>
      <c r="D6" s="41">
        <v>600000</v>
      </c>
      <c r="E6" s="41">
        <v>79980</v>
      </c>
      <c r="F6" s="26">
        <f t="shared" si="0"/>
        <v>679980</v>
      </c>
      <c r="G6" s="38" t="s">
        <v>24</v>
      </c>
      <c r="H6" s="39">
        <v>11333</v>
      </c>
      <c r="I6" s="53">
        <f>E6/60</f>
        <v>1333</v>
      </c>
      <c r="J6" s="53">
        <f>D6/60</f>
        <v>10000</v>
      </c>
      <c r="K6" s="53">
        <f t="shared" si="1"/>
        <v>66650</v>
      </c>
      <c r="L6" s="53">
        <f t="shared" si="2"/>
        <v>13330</v>
      </c>
      <c r="M6" s="40">
        <v>50</v>
      </c>
      <c r="N6" s="28">
        <f t="shared" si="3"/>
        <v>10</v>
      </c>
      <c r="O6" s="29">
        <f t="shared" si="4"/>
        <v>566650</v>
      </c>
      <c r="P6" s="30">
        <f t="shared" si="5"/>
        <v>113330</v>
      </c>
      <c r="Q6" s="54" t="s">
        <v>29</v>
      </c>
      <c r="R6" s="4">
        <v>43891</v>
      </c>
      <c r="S6" s="4">
        <v>45716</v>
      </c>
    </row>
    <row r="7" spans="1:19" ht="60" customHeight="1" x14ac:dyDescent="0.3">
      <c r="A7" s="23">
        <v>3</v>
      </c>
      <c r="B7" s="24" t="s">
        <v>26</v>
      </c>
      <c r="C7" s="37" t="s">
        <v>27</v>
      </c>
      <c r="D7" s="41">
        <v>750000</v>
      </c>
      <c r="E7" s="41">
        <v>83312.5</v>
      </c>
      <c r="F7" s="26">
        <f t="shared" si="0"/>
        <v>833312.5</v>
      </c>
      <c r="G7" s="38" t="s">
        <v>28</v>
      </c>
      <c r="H7" s="39">
        <v>16666.25</v>
      </c>
      <c r="I7" s="53">
        <f>E7/50</f>
        <v>1666.25</v>
      </c>
      <c r="J7" s="53">
        <f>D7/50</f>
        <v>15000</v>
      </c>
      <c r="K7" s="53">
        <f t="shared" si="1"/>
        <v>18328.75</v>
      </c>
      <c r="L7" s="53">
        <f t="shared" si="2"/>
        <v>64983.75</v>
      </c>
      <c r="M7" s="40">
        <v>11</v>
      </c>
      <c r="N7" s="28">
        <f t="shared" si="3"/>
        <v>39</v>
      </c>
      <c r="O7" s="29">
        <f t="shared" si="4"/>
        <v>183328.75</v>
      </c>
      <c r="P7" s="30">
        <f t="shared" si="5"/>
        <v>649983.75</v>
      </c>
      <c r="Q7" s="54" t="s">
        <v>25</v>
      </c>
      <c r="R7" s="4">
        <v>45078</v>
      </c>
      <c r="S7" s="32" t="s">
        <v>31</v>
      </c>
    </row>
    <row r="8" spans="1:19" ht="18.75" x14ac:dyDescent="0.3">
      <c r="A8" s="33"/>
      <c r="B8" s="34" t="s">
        <v>22</v>
      </c>
      <c r="C8" s="52"/>
      <c r="D8" s="42">
        <f>SUM(D5:D7)</f>
        <v>1950000</v>
      </c>
      <c r="E8" s="35">
        <f>SUM(E5:E7)</f>
        <v>227276.5</v>
      </c>
      <c r="F8" s="35">
        <f>SUM(F5:F7)</f>
        <v>2177276.5</v>
      </c>
      <c r="G8" s="35"/>
      <c r="H8" s="35">
        <f>SUM(H5:H7)</f>
        <v>42165.5</v>
      </c>
      <c r="I8" s="35">
        <f>SUM(I5:I7)</f>
        <v>4360.6117021276596</v>
      </c>
      <c r="J8" s="35">
        <f>SUM(J5:J7)</f>
        <v>37765.957446808512</v>
      </c>
      <c r="K8" s="35">
        <f>SUM(K5:K7)</f>
        <v>129903.68617021276</v>
      </c>
      <c r="L8" s="35">
        <f>SUM(L5:L7)</f>
        <v>97372.813829787236</v>
      </c>
      <c r="M8" s="35"/>
      <c r="N8" s="36"/>
      <c r="O8" s="22">
        <f>SUM(O5:O7)</f>
        <v>1217465</v>
      </c>
      <c r="P8" s="22">
        <f>SUM(P5:P7)</f>
        <v>961641.25</v>
      </c>
      <c r="Q8" s="31"/>
      <c r="R8" s="34"/>
      <c r="S8" s="32"/>
    </row>
    <row r="9" spans="1:19" ht="21" x14ac:dyDescent="0.35">
      <c r="A9" s="5"/>
      <c r="B9" s="6"/>
      <c r="C9" s="7"/>
      <c r="D9" s="8"/>
      <c r="E9" s="8"/>
      <c r="F9" s="9"/>
      <c r="G9" s="5"/>
      <c r="H9" s="10"/>
      <c r="I9" s="11"/>
      <c r="J9" s="11"/>
      <c r="K9" s="11"/>
      <c r="L9" s="11"/>
      <c r="M9" s="12"/>
      <c r="N9" s="13"/>
      <c r="O9" s="14"/>
      <c r="P9" s="15"/>
      <c r="Q9" s="6"/>
      <c r="R9" s="2"/>
      <c r="S9" s="2"/>
    </row>
  </sheetData>
  <pageMargins left="1.2" right="0.7" top="0.75" bottom="0.75" header="0.3" footer="0.3"/>
  <pageSetup paperSize="5" scale="5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topLeftCell="H1" workbookViewId="0">
      <selection activeCell="U9" sqref="U9"/>
    </sheetView>
  </sheetViews>
  <sheetFormatPr defaultRowHeight="15" x14ac:dyDescent="0.25"/>
  <cols>
    <col min="1" max="1" width="5.28515625" customWidth="1"/>
    <col min="2" max="2" width="18.140625" customWidth="1"/>
    <col min="3" max="3" width="20.7109375" customWidth="1"/>
    <col min="4" max="4" width="14.140625" customWidth="1"/>
    <col min="5" max="5" width="17.28515625" customWidth="1"/>
    <col min="6" max="6" width="17.85546875" customWidth="1"/>
    <col min="7" max="7" width="8.28515625" customWidth="1"/>
    <col min="8" max="8" width="14.42578125" customWidth="1"/>
    <col min="9" max="9" width="12.7109375" customWidth="1"/>
    <col min="10" max="10" width="14.140625" customWidth="1"/>
    <col min="11" max="11" width="16.28515625" customWidth="1"/>
    <col min="12" max="12" width="16.140625" customWidth="1"/>
    <col min="15" max="15" width="16.85546875" customWidth="1"/>
    <col min="16" max="16" width="16.28515625" customWidth="1"/>
    <col min="17" max="17" width="17" customWidth="1"/>
    <col min="18" max="18" width="14.5703125" customWidth="1"/>
    <col min="19" max="19" width="12.85546875" customWidth="1"/>
  </cols>
  <sheetData>
    <row r="1" spans="1:19" ht="15.75" x14ac:dyDescent="0.25">
      <c r="A1" s="43"/>
      <c r="B1" s="1"/>
      <c r="C1" s="43"/>
      <c r="D1" s="43"/>
      <c r="E1" s="44"/>
      <c r="F1" s="44"/>
      <c r="G1" s="45"/>
      <c r="H1" s="45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9.5" x14ac:dyDescent="0.3">
      <c r="A2" s="46"/>
      <c r="B2" s="47" t="s">
        <v>19</v>
      </c>
      <c r="C2" s="48"/>
      <c r="D2" s="48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9"/>
      <c r="R2" s="46"/>
      <c r="S2" s="46"/>
    </row>
    <row r="3" spans="1:19" ht="19.5" x14ac:dyDescent="0.3">
      <c r="A3" s="46"/>
      <c r="B3" s="50" t="s">
        <v>34</v>
      </c>
      <c r="C3" s="48"/>
      <c r="D3" s="48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9"/>
      <c r="R3" s="46"/>
      <c r="S3" s="46"/>
    </row>
    <row r="4" spans="1:19" ht="72.75" customHeight="1" x14ac:dyDescent="0.3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7" t="s">
        <v>8</v>
      </c>
      <c r="J4" s="17" t="s">
        <v>9</v>
      </c>
      <c r="K4" s="17" t="s">
        <v>32</v>
      </c>
      <c r="L4" s="17" t="s">
        <v>10</v>
      </c>
      <c r="M4" s="18" t="s">
        <v>11</v>
      </c>
      <c r="N4" s="18" t="s">
        <v>12</v>
      </c>
      <c r="O4" s="16" t="s">
        <v>13</v>
      </c>
      <c r="P4" s="19" t="s">
        <v>14</v>
      </c>
      <c r="Q4" s="16" t="s">
        <v>15</v>
      </c>
      <c r="R4" s="20" t="s">
        <v>16</v>
      </c>
      <c r="S4" s="20" t="s">
        <v>17</v>
      </c>
    </row>
    <row r="5" spans="1:19" ht="38.25" customHeight="1" x14ac:dyDescent="0.3">
      <c r="A5" s="23">
        <v>1</v>
      </c>
      <c r="B5" s="65" t="s">
        <v>26</v>
      </c>
      <c r="C5" s="63" t="s">
        <v>18</v>
      </c>
      <c r="D5" s="25">
        <v>600000</v>
      </c>
      <c r="E5" s="25">
        <v>63984</v>
      </c>
      <c r="F5" s="26">
        <f t="shared" ref="F5:F7" si="0">D5+E5</f>
        <v>663984</v>
      </c>
      <c r="G5" s="23">
        <v>47</v>
      </c>
      <c r="H5" s="27">
        <v>14166.25</v>
      </c>
      <c r="I5" s="53">
        <f>E5/47</f>
        <v>1361.3617021276596</v>
      </c>
      <c r="J5" s="53">
        <f>D5/47</f>
        <v>12765.95744680851</v>
      </c>
      <c r="K5" s="53">
        <f t="shared" ref="K5:K7" si="1">I5*M5</f>
        <v>46286.297872340423</v>
      </c>
      <c r="L5" s="53">
        <f t="shared" ref="L5:L7" si="2">I5*N5</f>
        <v>17697.702127659573</v>
      </c>
      <c r="M5" s="40">
        <v>34</v>
      </c>
      <c r="N5" s="28">
        <f t="shared" ref="N5:N7" si="3">G5-M5</f>
        <v>13</v>
      </c>
      <c r="O5" s="29">
        <f t="shared" ref="O5:O7" si="4">H5*M5</f>
        <v>481652.5</v>
      </c>
      <c r="P5" s="30">
        <f t="shared" ref="P5:P7" si="5">H5*N5</f>
        <v>184161.25</v>
      </c>
      <c r="Q5" s="54" t="s">
        <v>21</v>
      </c>
      <c r="R5" s="4">
        <v>44409</v>
      </c>
      <c r="S5" s="4" t="s">
        <v>38</v>
      </c>
    </row>
    <row r="6" spans="1:19" ht="33" customHeight="1" x14ac:dyDescent="0.3">
      <c r="A6" s="23">
        <v>2</v>
      </c>
      <c r="B6" s="65" t="s">
        <v>26</v>
      </c>
      <c r="C6" s="64" t="s">
        <v>23</v>
      </c>
      <c r="D6" s="41">
        <v>600000</v>
      </c>
      <c r="E6" s="41">
        <v>79980</v>
      </c>
      <c r="F6" s="26">
        <f t="shared" si="0"/>
        <v>679980</v>
      </c>
      <c r="G6" s="38" t="s">
        <v>24</v>
      </c>
      <c r="H6" s="39">
        <v>11333</v>
      </c>
      <c r="I6" s="53">
        <f>E6/60</f>
        <v>1333</v>
      </c>
      <c r="J6" s="53">
        <f>D6/60</f>
        <v>10000</v>
      </c>
      <c r="K6" s="53">
        <f t="shared" si="1"/>
        <v>67983</v>
      </c>
      <c r="L6" s="53">
        <f t="shared" si="2"/>
        <v>11997</v>
      </c>
      <c r="M6" s="40">
        <v>51</v>
      </c>
      <c r="N6" s="28">
        <f t="shared" si="3"/>
        <v>9</v>
      </c>
      <c r="O6" s="29">
        <f t="shared" si="4"/>
        <v>577983</v>
      </c>
      <c r="P6" s="30">
        <f t="shared" si="5"/>
        <v>101997</v>
      </c>
      <c r="Q6" s="54" t="s">
        <v>29</v>
      </c>
      <c r="R6" s="4">
        <v>43891</v>
      </c>
      <c r="S6" s="4">
        <v>45716</v>
      </c>
    </row>
    <row r="7" spans="1:19" ht="34.5" customHeight="1" x14ac:dyDescent="0.3">
      <c r="A7" s="23">
        <v>3</v>
      </c>
      <c r="B7" s="65" t="s">
        <v>26</v>
      </c>
      <c r="C7" s="64" t="s">
        <v>27</v>
      </c>
      <c r="D7" s="41">
        <v>750000</v>
      </c>
      <c r="E7" s="41">
        <v>83312.5</v>
      </c>
      <c r="F7" s="26">
        <f t="shared" si="0"/>
        <v>833312.5</v>
      </c>
      <c r="G7" s="38" t="s">
        <v>28</v>
      </c>
      <c r="H7" s="39">
        <v>16666.25</v>
      </c>
      <c r="I7" s="53">
        <f>E7/50</f>
        <v>1666.25</v>
      </c>
      <c r="J7" s="53">
        <f>D7/50</f>
        <v>15000</v>
      </c>
      <c r="K7" s="53">
        <f t="shared" si="1"/>
        <v>19995</v>
      </c>
      <c r="L7" s="53">
        <f t="shared" si="2"/>
        <v>63317.5</v>
      </c>
      <c r="M7" s="40">
        <v>12</v>
      </c>
      <c r="N7" s="28">
        <f t="shared" si="3"/>
        <v>38</v>
      </c>
      <c r="O7" s="29">
        <f t="shared" si="4"/>
        <v>199995</v>
      </c>
      <c r="P7" s="30">
        <f t="shared" si="5"/>
        <v>633317.5</v>
      </c>
      <c r="Q7" s="54" t="s">
        <v>25</v>
      </c>
      <c r="R7" s="4">
        <v>45078</v>
      </c>
      <c r="S7" s="32" t="s">
        <v>39</v>
      </c>
    </row>
    <row r="8" spans="1:19" ht="18.75" x14ac:dyDescent="0.3">
      <c r="A8" s="33"/>
      <c r="B8" s="34" t="s">
        <v>22</v>
      </c>
      <c r="C8" s="52"/>
      <c r="D8" s="42">
        <f>SUM(D5:D7)</f>
        <v>1950000</v>
      </c>
      <c r="E8" s="35">
        <f>SUM(E5:E7)</f>
        <v>227276.5</v>
      </c>
      <c r="F8" s="35">
        <f>SUM(F5:F7)</f>
        <v>2177276.5</v>
      </c>
      <c r="G8" s="35"/>
      <c r="H8" s="35">
        <f>SUM(H5:H7)</f>
        <v>42165.5</v>
      </c>
      <c r="I8" s="35">
        <f>SUM(I5:I7)</f>
        <v>4360.6117021276596</v>
      </c>
      <c r="J8" s="35">
        <f>SUM(J5:J7)</f>
        <v>37765.957446808512</v>
      </c>
      <c r="K8" s="35">
        <f>SUM(K5:K7)</f>
        <v>134264.29787234042</v>
      </c>
      <c r="L8" s="35">
        <f>SUM(L5:L7)</f>
        <v>93012.202127659577</v>
      </c>
      <c r="M8" s="35"/>
      <c r="N8" s="36"/>
      <c r="O8" s="22">
        <f>SUM(O5:O7)</f>
        <v>1259630.5</v>
      </c>
      <c r="P8" s="22">
        <f>SUM(P5:P7)</f>
        <v>919475.75</v>
      </c>
      <c r="Q8" s="31"/>
      <c r="R8" s="34"/>
      <c r="S8" s="32"/>
    </row>
    <row r="9" spans="1:19" ht="21" x14ac:dyDescent="0.35">
      <c r="A9" s="5"/>
      <c r="B9" s="6"/>
      <c r="C9" s="7"/>
      <c r="D9" s="8"/>
      <c r="E9" s="8"/>
      <c r="F9" s="9"/>
      <c r="G9" s="5"/>
      <c r="H9" s="10"/>
      <c r="I9" s="11"/>
      <c r="J9" s="11"/>
      <c r="K9" s="11"/>
      <c r="L9" s="11"/>
      <c r="M9" s="12"/>
      <c r="N9" s="13"/>
      <c r="O9" s="14"/>
      <c r="P9" s="15"/>
      <c r="Q9" s="6"/>
      <c r="R9" s="2"/>
      <c r="S9" s="2"/>
    </row>
  </sheetData>
  <pageMargins left="0.45" right="0.95" top="0.75" bottom="0.75" header="0.3" footer="0.3"/>
  <pageSetup scale="4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>
      <selection activeCell="A2" sqref="A2:H2"/>
    </sheetView>
  </sheetViews>
  <sheetFormatPr defaultRowHeight="15" x14ac:dyDescent="0.25"/>
  <cols>
    <col min="1" max="1" width="5.28515625" customWidth="1"/>
    <col min="2" max="2" width="17.85546875" customWidth="1"/>
    <col min="3" max="3" width="20" customWidth="1"/>
    <col min="4" max="4" width="14.5703125" bestFit="1" customWidth="1"/>
    <col min="5" max="5" width="16" bestFit="1" customWidth="1"/>
    <col min="6" max="6" width="18.28515625" bestFit="1" customWidth="1"/>
    <col min="8" max="8" width="14.5703125" bestFit="1" customWidth="1"/>
    <col min="9" max="9" width="14.42578125" customWidth="1"/>
    <col min="10" max="10" width="15.140625" customWidth="1"/>
    <col min="11" max="11" width="15.85546875" customWidth="1"/>
    <col min="12" max="12" width="14.42578125" customWidth="1"/>
    <col min="15" max="15" width="15.5703125" customWidth="1"/>
    <col min="16" max="16" width="16.42578125" customWidth="1"/>
    <col min="17" max="17" width="16" customWidth="1"/>
    <col min="18" max="18" width="14.140625" customWidth="1"/>
    <col min="19" max="19" width="13" customWidth="1"/>
  </cols>
  <sheetData>
    <row r="1" spans="1:19" ht="19.5" x14ac:dyDescent="0.3">
      <c r="A1" s="75" t="s">
        <v>19</v>
      </c>
      <c r="B1" s="75"/>
      <c r="C1" s="75"/>
      <c r="D1" s="75"/>
      <c r="E1" s="75"/>
      <c r="F1" s="75"/>
      <c r="G1" s="75"/>
      <c r="H1" s="75"/>
      <c r="I1" s="46"/>
      <c r="J1" s="46"/>
      <c r="K1" s="46"/>
      <c r="L1" s="46"/>
      <c r="M1" s="46"/>
      <c r="N1" s="46"/>
      <c r="O1" s="46"/>
      <c r="P1" s="46"/>
      <c r="Q1" s="49"/>
      <c r="R1" s="46"/>
      <c r="S1" s="46"/>
    </row>
    <row r="2" spans="1:19" ht="19.5" x14ac:dyDescent="0.3">
      <c r="A2" s="76" t="s">
        <v>35</v>
      </c>
      <c r="B2" s="76"/>
      <c r="C2" s="76"/>
      <c r="D2" s="76"/>
      <c r="E2" s="76"/>
      <c r="F2" s="76"/>
      <c r="G2" s="76"/>
      <c r="H2" s="76"/>
      <c r="I2" s="46"/>
      <c r="J2" s="46"/>
      <c r="K2" s="46"/>
      <c r="L2" s="46"/>
      <c r="M2" s="46"/>
      <c r="N2" s="46"/>
      <c r="O2" s="46"/>
      <c r="P2" s="46"/>
      <c r="Q2" s="49"/>
      <c r="R2" s="46"/>
      <c r="S2" s="46"/>
    </row>
    <row r="3" spans="1:19" ht="89.25" customHeight="1" x14ac:dyDescent="0.3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7</v>
      </c>
      <c r="I3" s="17" t="s">
        <v>8</v>
      </c>
      <c r="J3" s="17" t="s">
        <v>9</v>
      </c>
      <c r="K3" s="17" t="s">
        <v>32</v>
      </c>
      <c r="L3" s="17" t="s">
        <v>10</v>
      </c>
      <c r="M3" s="18" t="s">
        <v>11</v>
      </c>
      <c r="N3" s="18" t="s">
        <v>12</v>
      </c>
      <c r="O3" s="16" t="s">
        <v>13</v>
      </c>
      <c r="P3" s="19" t="s">
        <v>14</v>
      </c>
      <c r="Q3" s="16" t="s">
        <v>15</v>
      </c>
      <c r="R3" s="20" t="s">
        <v>16</v>
      </c>
      <c r="S3" s="20" t="s">
        <v>17</v>
      </c>
    </row>
    <row r="4" spans="1:19" ht="59.25" customHeight="1" x14ac:dyDescent="0.3">
      <c r="A4" s="23">
        <v>1</v>
      </c>
      <c r="B4" s="65" t="s">
        <v>26</v>
      </c>
      <c r="C4" s="63" t="s">
        <v>18</v>
      </c>
      <c r="D4" s="25">
        <v>600000</v>
      </c>
      <c r="E4" s="25">
        <v>63984</v>
      </c>
      <c r="F4" s="26">
        <f t="shared" ref="F4:F6" si="0">D4+E4</f>
        <v>663984</v>
      </c>
      <c r="G4" s="23">
        <v>47</v>
      </c>
      <c r="H4" s="27">
        <v>14166.25</v>
      </c>
      <c r="I4" s="53">
        <f>E4/47</f>
        <v>1361.3617021276596</v>
      </c>
      <c r="J4" s="53">
        <f>D4/47</f>
        <v>12765.95744680851</v>
      </c>
      <c r="K4" s="53">
        <f t="shared" ref="K4:K6" si="1">I4*M4</f>
        <v>47647.659574468082</v>
      </c>
      <c r="L4" s="53">
        <f t="shared" ref="L4:L6" si="2">I4*N4</f>
        <v>16336.340425531915</v>
      </c>
      <c r="M4" s="40">
        <v>35</v>
      </c>
      <c r="N4" s="28">
        <f t="shared" ref="N4:N6" si="3">G4-M4</f>
        <v>12</v>
      </c>
      <c r="O4" s="29">
        <f t="shared" ref="O4:O6" si="4">H4*M4</f>
        <v>495818.75</v>
      </c>
      <c r="P4" s="30">
        <f t="shared" ref="P4:P6" si="5">H4*N4</f>
        <v>169995</v>
      </c>
      <c r="Q4" s="54" t="s">
        <v>21</v>
      </c>
      <c r="R4" s="4">
        <v>44409</v>
      </c>
      <c r="S4" s="4" t="s">
        <v>38</v>
      </c>
    </row>
    <row r="5" spans="1:19" ht="56.25" customHeight="1" x14ac:dyDescent="0.3">
      <c r="A5" s="23">
        <v>2</v>
      </c>
      <c r="B5" s="65" t="s">
        <v>26</v>
      </c>
      <c r="C5" s="64" t="s">
        <v>23</v>
      </c>
      <c r="D5" s="41">
        <v>600000</v>
      </c>
      <c r="E5" s="41">
        <v>79980</v>
      </c>
      <c r="F5" s="26">
        <f t="shared" si="0"/>
        <v>679980</v>
      </c>
      <c r="G5" s="38" t="s">
        <v>24</v>
      </c>
      <c r="H5" s="39">
        <v>11333</v>
      </c>
      <c r="I5" s="53">
        <f>E5/60</f>
        <v>1333</v>
      </c>
      <c r="J5" s="53">
        <f>D5/60</f>
        <v>10000</v>
      </c>
      <c r="K5" s="53">
        <f t="shared" si="1"/>
        <v>69316</v>
      </c>
      <c r="L5" s="53">
        <f t="shared" si="2"/>
        <v>10664</v>
      </c>
      <c r="M5" s="40">
        <v>52</v>
      </c>
      <c r="N5" s="28">
        <f t="shared" si="3"/>
        <v>8</v>
      </c>
      <c r="O5" s="29">
        <f t="shared" si="4"/>
        <v>589316</v>
      </c>
      <c r="P5" s="30">
        <f t="shared" si="5"/>
        <v>90664</v>
      </c>
      <c r="Q5" s="54" t="s">
        <v>29</v>
      </c>
      <c r="R5" s="4">
        <v>43891</v>
      </c>
      <c r="S5" s="4">
        <v>45716</v>
      </c>
    </row>
    <row r="6" spans="1:19" ht="75" customHeight="1" x14ac:dyDescent="0.3">
      <c r="A6" s="23">
        <v>3</v>
      </c>
      <c r="B6" s="65" t="s">
        <v>26</v>
      </c>
      <c r="C6" s="64" t="s">
        <v>27</v>
      </c>
      <c r="D6" s="41">
        <v>750000</v>
      </c>
      <c r="E6" s="41">
        <v>83312.5</v>
      </c>
      <c r="F6" s="26">
        <f t="shared" si="0"/>
        <v>833312.5</v>
      </c>
      <c r="G6" s="38" t="s">
        <v>28</v>
      </c>
      <c r="H6" s="39">
        <v>16666.25</v>
      </c>
      <c r="I6" s="53">
        <f>E6/50</f>
        <v>1666.25</v>
      </c>
      <c r="J6" s="53">
        <f>D6/50</f>
        <v>15000</v>
      </c>
      <c r="K6" s="53">
        <f t="shared" si="1"/>
        <v>21661.25</v>
      </c>
      <c r="L6" s="53">
        <f t="shared" si="2"/>
        <v>61651.25</v>
      </c>
      <c r="M6" s="40">
        <v>13</v>
      </c>
      <c r="N6" s="28">
        <f t="shared" si="3"/>
        <v>37</v>
      </c>
      <c r="O6" s="29">
        <f t="shared" si="4"/>
        <v>216661.25</v>
      </c>
      <c r="P6" s="30">
        <f t="shared" si="5"/>
        <v>616651.25</v>
      </c>
      <c r="Q6" s="54" t="s">
        <v>25</v>
      </c>
      <c r="R6" s="4">
        <v>45078</v>
      </c>
      <c r="S6" s="32" t="s">
        <v>39</v>
      </c>
    </row>
    <row r="7" spans="1:19" ht="18.75" x14ac:dyDescent="0.3">
      <c r="A7" s="33"/>
      <c r="B7" s="34" t="s">
        <v>22</v>
      </c>
      <c r="C7" s="52"/>
      <c r="D7" s="42">
        <f>SUM(D4:D6)</f>
        <v>1950000</v>
      </c>
      <c r="E7" s="35">
        <f>SUM(E4:E6)</f>
        <v>227276.5</v>
      </c>
      <c r="F7" s="35">
        <f>SUM(F4:F6)</f>
        <v>2177276.5</v>
      </c>
      <c r="G7" s="35"/>
      <c r="H7" s="35">
        <f>SUM(H4:H6)</f>
        <v>42165.5</v>
      </c>
      <c r="I7" s="35">
        <f>SUM(I4:I6)</f>
        <v>4360.6117021276596</v>
      </c>
      <c r="J7" s="35">
        <f>SUM(J4:J6)</f>
        <v>37765.957446808512</v>
      </c>
      <c r="K7" s="35">
        <f>SUM(K4:K6)</f>
        <v>138624.9095744681</v>
      </c>
      <c r="L7" s="35">
        <f>SUM(L4:L6)</f>
        <v>88651.590425531918</v>
      </c>
      <c r="M7" s="35"/>
      <c r="N7" s="36"/>
      <c r="O7" s="22">
        <f>SUM(O4:O6)</f>
        <v>1301796</v>
      </c>
      <c r="P7" s="22">
        <f>SUM(P4:P6)</f>
        <v>877310.25</v>
      </c>
      <c r="Q7" s="31"/>
      <c r="R7" s="34"/>
      <c r="S7" s="32"/>
    </row>
  </sheetData>
  <mergeCells count="2">
    <mergeCell ref="A1:H1"/>
    <mergeCell ref="A2:H2"/>
  </mergeCells>
  <pageMargins left="0.45" right="0.7" top="0.75" bottom="0.75" header="0.3" footer="0.3"/>
  <pageSetup scale="4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topLeftCell="G4" zoomScaleNormal="100" workbookViewId="0">
      <selection activeCell="S6" sqref="S6"/>
    </sheetView>
  </sheetViews>
  <sheetFormatPr defaultRowHeight="15" x14ac:dyDescent="0.25"/>
  <cols>
    <col min="1" max="1" width="5.7109375" bestFit="1" customWidth="1"/>
    <col min="2" max="2" width="17.85546875" customWidth="1"/>
    <col min="3" max="3" width="25.28515625" customWidth="1"/>
    <col min="4" max="4" width="16.7109375" customWidth="1"/>
    <col min="5" max="5" width="15.42578125" customWidth="1"/>
    <col min="6" max="6" width="17.7109375" customWidth="1"/>
    <col min="7" max="7" width="7.85546875" customWidth="1"/>
    <col min="8" max="8" width="14.7109375" customWidth="1"/>
    <col min="9" max="9" width="13.140625" customWidth="1"/>
    <col min="10" max="10" width="14.5703125" customWidth="1"/>
    <col min="11" max="11" width="15.5703125" customWidth="1"/>
    <col min="12" max="12" width="16.140625" customWidth="1"/>
    <col min="13" max="13" width="8.140625" customWidth="1"/>
    <col min="14" max="14" width="10.140625" customWidth="1"/>
    <col min="15" max="15" width="17.85546875" customWidth="1"/>
    <col min="16" max="16" width="18.5703125" customWidth="1"/>
    <col min="17" max="17" width="19.5703125" customWidth="1"/>
    <col min="18" max="18" width="15.140625" bestFit="1" customWidth="1"/>
    <col min="19" max="19" width="14.5703125" bestFit="1" customWidth="1"/>
  </cols>
  <sheetData>
    <row r="1" spans="1:19" ht="19.5" x14ac:dyDescent="0.3">
      <c r="A1" s="77" t="s">
        <v>19</v>
      </c>
      <c r="B1" s="77"/>
      <c r="C1" s="77"/>
      <c r="D1" s="77"/>
      <c r="E1" s="77"/>
      <c r="F1" s="77"/>
      <c r="G1" s="57"/>
      <c r="H1" s="57"/>
      <c r="I1" s="57"/>
      <c r="J1" s="57"/>
      <c r="K1" s="57"/>
      <c r="L1" s="57"/>
      <c r="M1" s="57"/>
      <c r="N1" s="57"/>
      <c r="O1" s="57"/>
      <c r="P1" s="57"/>
      <c r="Q1" s="58"/>
      <c r="R1" s="57"/>
      <c r="S1" s="57"/>
    </row>
    <row r="2" spans="1:19" ht="38.25" customHeight="1" x14ac:dyDescent="0.3">
      <c r="A2" s="78" t="s">
        <v>40</v>
      </c>
      <c r="B2" s="78"/>
      <c r="C2" s="78"/>
      <c r="D2" s="78"/>
      <c r="E2" s="78"/>
      <c r="F2" s="78"/>
      <c r="G2" s="57"/>
      <c r="H2" s="57"/>
      <c r="I2" s="57"/>
      <c r="J2" s="57"/>
      <c r="K2" s="57"/>
      <c r="L2" s="57"/>
      <c r="M2" s="57"/>
      <c r="N2" s="57"/>
      <c r="O2" s="57"/>
      <c r="P2" s="57"/>
      <c r="Q2" s="58"/>
      <c r="R2" s="57"/>
      <c r="S2" s="57"/>
    </row>
    <row r="3" spans="1:19" ht="75" x14ac:dyDescent="0.3">
      <c r="A3" s="34" t="s">
        <v>0</v>
      </c>
      <c r="B3" s="34" t="s">
        <v>1</v>
      </c>
      <c r="C3" s="34" t="s">
        <v>2</v>
      </c>
      <c r="D3" s="34" t="s">
        <v>3</v>
      </c>
      <c r="E3" s="16" t="s">
        <v>4</v>
      </c>
      <c r="F3" s="34" t="s">
        <v>5</v>
      </c>
      <c r="G3" s="16" t="s">
        <v>6</v>
      </c>
      <c r="H3" s="16" t="s">
        <v>7</v>
      </c>
      <c r="I3" s="17" t="s">
        <v>8</v>
      </c>
      <c r="J3" s="17" t="s">
        <v>9</v>
      </c>
      <c r="K3" s="17" t="s">
        <v>32</v>
      </c>
      <c r="L3" s="17" t="s">
        <v>10</v>
      </c>
      <c r="M3" s="18" t="s">
        <v>11</v>
      </c>
      <c r="N3" s="18" t="s">
        <v>12</v>
      </c>
      <c r="O3" s="16" t="s">
        <v>13</v>
      </c>
      <c r="P3" s="19" t="s">
        <v>14</v>
      </c>
      <c r="Q3" s="34" t="s">
        <v>15</v>
      </c>
      <c r="R3" s="20" t="s">
        <v>16</v>
      </c>
      <c r="S3" s="20" t="s">
        <v>17</v>
      </c>
    </row>
    <row r="4" spans="1:19" ht="56.25" x14ac:dyDescent="0.3">
      <c r="A4" s="23">
        <v>1</v>
      </c>
      <c r="B4" s="24" t="s">
        <v>26</v>
      </c>
      <c r="C4" s="63" t="s">
        <v>18</v>
      </c>
      <c r="D4" s="55">
        <v>600000</v>
      </c>
      <c r="E4" s="55">
        <v>63984</v>
      </c>
      <c r="F4" s="26">
        <f t="shared" ref="F4:F6" si="0">D4+E4</f>
        <v>663984</v>
      </c>
      <c r="G4" s="23">
        <v>47</v>
      </c>
      <c r="H4" s="27">
        <v>14166.25</v>
      </c>
      <c r="I4" s="53">
        <f>E4/47</f>
        <v>1361.3617021276596</v>
      </c>
      <c r="J4" s="53">
        <f>D4/47</f>
        <v>12765.95744680851</v>
      </c>
      <c r="K4" s="53">
        <f t="shared" ref="K4:K7" si="1">I4*M4</f>
        <v>50370.382978723406</v>
      </c>
      <c r="L4" s="53">
        <f t="shared" ref="L4:L7" si="2">I4*N4</f>
        <v>13613.617021276596</v>
      </c>
      <c r="M4" s="40">
        <v>37</v>
      </c>
      <c r="N4" s="28">
        <f t="shared" ref="N4:N7" si="3">G4-M4</f>
        <v>10</v>
      </c>
      <c r="O4" s="29">
        <f t="shared" ref="O4:O7" si="4">H4*M4</f>
        <v>524151.25</v>
      </c>
      <c r="P4" s="30">
        <f t="shared" ref="P4:P7" si="5">H4*N4</f>
        <v>141662.5</v>
      </c>
      <c r="Q4" s="54" t="s">
        <v>21</v>
      </c>
      <c r="R4" s="4">
        <v>44409</v>
      </c>
      <c r="S4" s="4" t="s">
        <v>30</v>
      </c>
    </row>
    <row r="5" spans="1:19" ht="56.25" x14ac:dyDescent="0.3">
      <c r="A5" s="23">
        <v>2</v>
      </c>
      <c r="B5" s="24" t="s">
        <v>26</v>
      </c>
      <c r="C5" s="64" t="s">
        <v>23</v>
      </c>
      <c r="D5" s="41">
        <v>600000</v>
      </c>
      <c r="E5" s="41">
        <v>79980</v>
      </c>
      <c r="F5" s="26">
        <f t="shared" si="0"/>
        <v>679980</v>
      </c>
      <c r="G5" s="38" t="s">
        <v>24</v>
      </c>
      <c r="H5" s="39">
        <v>11333</v>
      </c>
      <c r="I5" s="53">
        <f>E5/60</f>
        <v>1333</v>
      </c>
      <c r="J5" s="53">
        <f>D5/60</f>
        <v>10000</v>
      </c>
      <c r="K5" s="53">
        <f t="shared" si="1"/>
        <v>71982</v>
      </c>
      <c r="L5" s="53">
        <f t="shared" si="2"/>
        <v>7998</v>
      </c>
      <c r="M5" s="40">
        <v>54</v>
      </c>
      <c r="N5" s="28">
        <f t="shared" si="3"/>
        <v>6</v>
      </c>
      <c r="O5" s="29">
        <f t="shared" si="4"/>
        <v>611982</v>
      </c>
      <c r="P5" s="30">
        <f t="shared" si="5"/>
        <v>67998</v>
      </c>
      <c r="Q5" s="54" t="s">
        <v>29</v>
      </c>
      <c r="R5" s="4">
        <v>43891</v>
      </c>
      <c r="S5" s="4">
        <v>45716</v>
      </c>
    </row>
    <row r="6" spans="1:19" ht="75" x14ac:dyDescent="0.3">
      <c r="A6" s="23">
        <v>3</v>
      </c>
      <c r="B6" s="24" t="s">
        <v>26</v>
      </c>
      <c r="C6" s="64" t="s">
        <v>27</v>
      </c>
      <c r="D6" s="41">
        <v>750000</v>
      </c>
      <c r="E6" s="41">
        <v>83312.5</v>
      </c>
      <c r="F6" s="26">
        <f t="shared" si="0"/>
        <v>833312.5</v>
      </c>
      <c r="G6" s="38" t="s">
        <v>28</v>
      </c>
      <c r="H6" s="39">
        <v>16666.25</v>
      </c>
      <c r="I6" s="53">
        <f>E6/50</f>
        <v>1666.25</v>
      </c>
      <c r="J6" s="53">
        <f>D6/50</f>
        <v>15000</v>
      </c>
      <c r="K6" s="53">
        <f t="shared" si="1"/>
        <v>24993.75</v>
      </c>
      <c r="L6" s="53">
        <f t="shared" si="2"/>
        <v>58318.75</v>
      </c>
      <c r="M6" s="40">
        <v>15</v>
      </c>
      <c r="N6" s="28">
        <f t="shared" si="3"/>
        <v>35</v>
      </c>
      <c r="O6" s="29">
        <f t="shared" si="4"/>
        <v>249993.75</v>
      </c>
      <c r="P6" s="30">
        <f t="shared" si="5"/>
        <v>583318.75</v>
      </c>
      <c r="Q6" s="54" t="s">
        <v>25</v>
      </c>
      <c r="R6" s="4">
        <v>45078</v>
      </c>
      <c r="S6" s="66">
        <v>46599</v>
      </c>
    </row>
    <row r="7" spans="1:19" s="21" customFormat="1" ht="37.5" x14ac:dyDescent="0.3">
      <c r="A7" s="23">
        <v>4</v>
      </c>
      <c r="B7" s="24" t="s">
        <v>26</v>
      </c>
      <c r="C7" s="63" t="s">
        <v>37</v>
      </c>
      <c r="D7" s="59">
        <v>250000</v>
      </c>
      <c r="E7" s="41">
        <v>33325</v>
      </c>
      <c r="F7" s="26">
        <v>283325</v>
      </c>
      <c r="G7" s="38">
        <v>60</v>
      </c>
      <c r="H7" s="39">
        <v>4722.09</v>
      </c>
      <c r="I7" s="53">
        <f>E7/50</f>
        <v>666.5</v>
      </c>
      <c r="J7" s="53">
        <f>D7/50</f>
        <v>5000</v>
      </c>
      <c r="K7" s="53">
        <f t="shared" si="1"/>
        <v>666.5</v>
      </c>
      <c r="L7" s="53">
        <f t="shared" si="2"/>
        <v>39323.5</v>
      </c>
      <c r="M7" s="40">
        <v>1</v>
      </c>
      <c r="N7" s="28">
        <f t="shared" si="3"/>
        <v>59</v>
      </c>
      <c r="O7" s="29">
        <f t="shared" si="4"/>
        <v>4722.09</v>
      </c>
      <c r="P7" s="30">
        <f t="shared" si="5"/>
        <v>278603.31</v>
      </c>
      <c r="Q7" s="54" t="s">
        <v>41</v>
      </c>
      <c r="R7" s="4">
        <v>45505</v>
      </c>
      <c r="S7" s="66">
        <v>47329</v>
      </c>
    </row>
    <row r="8" spans="1:19" s="56" customFormat="1" ht="18.75" x14ac:dyDescent="0.3">
      <c r="A8" s="60"/>
      <c r="B8" s="60"/>
      <c r="C8" s="60"/>
      <c r="D8" s="61">
        <f>SUM(D4:D7)</f>
        <v>2200000</v>
      </c>
      <c r="E8" s="61">
        <f>SUM(E4:E7)</f>
        <v>260601.5</v>
      </c>
      <c r="F8" s="62">
        <f>SUM(F4:F7)</f>
        <v>2460601.5</v>
      </c>
      <c r="G8" s="60"/>
      <c r="H8" s="62">
        <f>SUM(H4:H7)</f>
        <v>46887.59</v>
      </c>
      <c r="I8" s="62">
        <f>SUM(I4:I7)</f>
        <v>5027.1117021276596</v>
      </c>
      <c r="J8" s="62">
        <f>SUM(J4:J7)</f>
        <v>42765.957446808512</v>
      </c>
      <c r="K8" s="62">
        <f>SUM(K4:K7)</f>
        <v>148012.63297872341</v>
      </c>
      <c r="L8" s="62">
        <f>SUM(L4:L7)</f>
        <v>119253.86702127659</v>
      </c>
      <c r="M8" s="60"/>
      <c r="N8" s="60"/>
      <c r="O8" s="62">
        <f>SUM(O4:O7)</f>
        <v>1390849.09</v>
      </c>
      <c r="P8" s="62">
        <f>SUM(P4:P7)</f>
        <v>1071582.56</v>
      </c>
      <c r="Q8" s="60"/>
      <c r="R8" s="60"/>
      <c r="S8" s="60"/>
    </row>
  </sheetData>
  <mergeCells count="2">
    <mergeCell ref="A1:F1"/>
    <mergeCell ref="A2:F2"/>
  </mergeCells>
  <pageMargins left="1.2" right="0.7" top="0.75" bottom="0.75" header="0.3" footer="0.3"/>
  <pageSetup paperSize="5" scale="5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topLeftCell="G4" zoomScaleNormal="100" workbookViewId="0">
      <selection sqref="A1:H1"/>
    </sheetView>
  </sheetViews>
  <sheetFormatPr defaultRowHeight="15" x14ac:dyDescent="0.25"/>
  <cols>
    <col min="1" max="1" width="5.7109375" bestFit="1" customWidth="1"/>
    <col min="2" max="2" width="11.140625" customWidth="1"/>
    <col min="3" max="3" width="20.7109375" customWidth="1"/>
    <col min="4" max="4" width="16.42578125" bestFit="1" customWidth="1"/>
    <col min="5" max="5" width="17.42578125" customWidth="1"/>
    <col min="6" max="6" width="18.28515625" bestFit="1" customWidth="1"/>
    <col min="7" max="7" width="14.28515625" bestFit="1" customWidth="1"/>
    <col min="8" max="8" width="14.28515625" customWidth="1"/>
    <col min="9" max="9" width="14.42578125" customWidth="1"/>
    <col min="10" max="10" width="14.7109375" customWidth="1"/>
    <col min="11" max="11" width="16.140625" customWidth="1"/>
    <col min="12" max="12" width="15.7109375" customWidth="1"/>
    <col min="13" max="13" width="14.140625" customWidth="1"/>
    <col min="14" max="14" width="15.85546875" customWidth="1"/>
    <col min="15" max="15" width="19.140625" customWidth="1"/>
    <col min="16" max="16" width="18.42578125" customWidth="1"/>
    <col min="17" max="17" width="28.85546875" customWidth="1"/>
    <col min="18" max="18" width="15.140625" bestFit="1" customWidth="1"/>
    <col min="19" max="19" width="14.5703125" bestFit="1" customWidth="1"/>
  </cols>
  <sheetData>
    <row r="1" spans="1:19" ht="19.5" x14ac:dyDescent="0.3">
      <c r="A1" s="82" t="s">
        <v>19</v>
      </c>
      <c r="B1" s="83"/>
      <c r="C1" s="83"/>
      <c r="D1" s="83"/>
      <c r="E1" s="83"/>
      <c r="F1" s="83"/>
      <c r="G1" s="83"/>
      <c r="H1" s="84"/>
      <c r="I1" s="57"/>
      <c r="J1" s="57"/>
      <c r="K1" s="57"/>
      <c r="L1" s="57"/>
      <c r="M1" s="57"/>
      <c r="N1" s="57"/>
      <c r="O1" s="57"/>
      <c r="P1" s="57"/>
      <c r="Q1" s="58"/>
      <c r="R1" s="57"/>
      <c r="S1" s="57"/>
    </row>
    <row r="2" spans="1:19" ht="19.5" x14ac:dyDescent="0.3">
      <c r="A2" s="79" t="s">
        <v>42</v>
      </c>
      <c r="B2" s="80"/>
      <c r="C2" s="80"/>
      <c r="D2" s="80"/>
      <c r="E2" s="80"/>
      <c r="F2" s="80"/>
      <c r="G2" s="80"/>
      <c r="H2" s="81"/>
      <c r="I2" s="57"/>
      <c r="J2" s="57"/>
      <c r="K2" s="57"/>
      <c r="L2" s="57"/>
      <c r="M2" s="57"/>
      <c r="N2" s="57"/>
      <c r="O2" s="57"/>
      <c r="P2" s="57"/>
      <c r="Q2" s="58"/>
      <c r="R2" s="57"/>
      <c r="S2" s="57"/>
    </row>
    <row r="3" spans="1:19" ht="75" x14ac:dyDescent="0.3">
      <c r="A3" s="34" t="s">
        <v>0</v>
      </c>
      <c r="B3" s="34" t="s">
        <v>1</v>
      </c>
      <c r="C3" s="34" t="s">
        <v>2</v>
      </c>
      <c r="D3" s="34" t="s">
        <v>3</v>
      </c>
      <c r="E3" s="16" t="s">
        <v>4</v>
      </c>
      <c r="F3" s="34" t="s">
        <v>5</v>
      </c>
      <c r="G3" s="34" t="s">
        <v>6</v>
      </c>
      <c r="H3" s="16" t="s">
        <v>7</v>
      </c>
      <c r="I3" s="17" t="s">
        <v>8</v>
      </c>
      <c r="J3" s="17" t="s">
        <v>9</v>
      </c>
      <c r="K3" s="17" t="s">
        <v>32</v>
      </c>
      <c r="L3" s="17" t="s">
        <v>10</v>
      </c>
      <c r="M3" s="18" t="s">
        <v>11</v>
      </c>
      <c r="N3" s="18" t="s">
        <v>12</v>
      </c>
      <c r="O3" s="16" t="s">
        <v>13</v>
      </c>
      <c r="P3" s="19" t="s">
        <v>14</v>
      </c>
      <c r="Q3" s="34" t="s">
        <v>15</v>
      </c>
      <c r="R3" s="20" t="s">
        <v>16</v>
      </c>
      <c r="S3" s="20" t="s">
        <v>17</v>
      </c>
    </row>
    <row r="4" spans="1:19" ht="56.25" x14ac:dyDescent="0.3">
      <c r="A4" s="23">
        <v>1</v>
      </c>
      <c r="B4" s="65" t="s">
        <v>26</v>
      </c>
      <c r="C4" s="63" t="s">
        <v>18</v>
      </c>
      <c r="D4" s="55">
        <v>600000</v>
      </c>
      <c r="E4" s="55">
        <v>63984</v>
      </c>
      <c r="F4" s="26">
        <f t="shared" ref="F4:F6" si="0">D4+E4</f>
        <v>663984</v>
      </c>
      <c r="G4" s="23">
        <v>47</v>
      </c>
      <c r="H4" s="27">
        <v>14166.25</v>
      </c>
      <c r="I4" s="53">
        <f>E4/47</f>
        <v>1361.3617021276596</v>
      </c>
      <c r="J4" s="53">
        <f>D4/47</f>
        <v>12765.95744680851</v>
      </c>
      <c r="K4" s="53">
        <f t="shared" ref="K4:K7" si="1">I4*M4</f>
        <v>51731.744680851065</v>
      </c>
      <c r="L4" s="53">
        <f t="shared" ref="L4:L7" si="2">I4*N4</f>
        <v>12252.255319148935</v>
      </c>
      <c r="M4" s="40">
        <v>38</v>
      </c>
      <c r="N4" s="28">
        <f t="shared" ref="N4:N7" si="3">G4-M4</f>
        <v>9</v>
      </c>
      <c r="O4" s="29">
        <f t="shared" ref="O4:O7" si="4">H4*M4</f>
        <v>538317.5</v>
      </c>
      <c r="P4" s="30">
        <f t="shared" ref="P4:P7" si="5">H4*N4</f>
        <v>127496.25</v>
      </c>
      <c r="Q4" s="54" t="s">
        <v>21</v>
      </c>
      <c r="R4" s="4">
        <v>44409</v>
      </c>
      <c r="S4" s="4" t="s">
        <v>30</v>
      </c>
    </row>
    <row r="5" spans="1:19" ht="56.25" x14ac:dyDescent="0.3">
      <c r="A5" s="23">
        <v>2</v>
      </c>
      <c r="B5" s="65" t="s">
        <v>26</v>
      </c>
      <c r="C5" s="64" t="s">
        <v>23</v>
      </c>
      <c r="D5" s="41">
        <v>600000</v>
      </c>
      <c r="E5" s="41">
        <v>79980</v>
      </c>
      <c r="F5" s="26">
        <f t="shared" si="0"/>
        <v>679980</v>
      </c>
      <c r="G5" s="38" t="s">
        <v>24</v>
      </c>
      <c r="H5" s="39">
        <v>11333</v>
      </c>
      <c r="I5" s="53">
        <f>E5/60</f>
        <v>1333</v>
      </c>
      <c r="J5" s="53">
        <f>D5/60</f>
        <v>10000</v>
      </c>
      <c r="K5" s="53">
        <f t="shared" si="1"/>
        <v>73315</v>
      </c>
      <c r="L5" s="53">
        <f t="shared" si="2"/>
        <v>6665</v>
      </c>
      <c r="M5" s="40">
        <v>55</v>
      </c>
      <c r="N5" s="28">
        <f t="shared" si="3"/>
        <v>5</v>
      </c>
      <c r="O5" s="29">
        <f t="shared" si="4"/>
        <v>623315</v>
      </c>
      <c r="P5" s="30">
        <f t="shared" si="5"/>
        <v>56665</v>
      </c>
      <c r="Q5" s="54" t="s">
        <v>29</v>
      </c>
      <c r="R5" s="4">
        <v>43891</v>
      </c>
      <c r="S5" s="4">
        <v>45716</v>
      </c>
    </row>
    <row r="6" spans="1:19" ht="56.25" x14ac:dyDescent="0.3">
      <c r="A6" s="23">
        <v>3</v>
      </c>
      <c r="B6" s="65" t="s">
        <v>26</v>
      </c>
      <c r="C6" s="64" t="s">
        <v>27</v>
      </c>
      <c r="D6" s="41">
        <v>750000</v>
      </c>
      <c r="E6" s="41">
        <v>83312.5</v>
      </c>
      <c r="F6" s="26">
        <f t="shared" si="0"/>
        <v>833312.5</v>
      </c>
      <c r="G6" s="38" t="s">
        <v>28</v>
      </c>
      <c r="H6" s="39">
        <v>16666.25</v>
      </c>
      <c r="I6" s="53">
        <f>E6/50</f>
        <v>1666.25</v>
      </c>
      <c r="J6" s="53">
        <f>D6/50</f>
        <v>15000</v>
      </c>
      <c r="K6" s="53">
        <f t="shared" si="1"/>
        <v>26660</v>
      </c>
      <c r="L6" s="53">
        <f t="shared" si="2"/>
        <v>56652.5</v>
      </c>
      <c r="M6" s="40">
        <v>16</v>
      </c>
      <c r="N6" s="28">
        <f t="shared" si="3"/>
        <v>34</v>
      </c>
      <c r="O6" s="29">
        <f t="shared" si="4"/>
        <v>266660</v>
      </c>
      <c r="P6" s="30">
        <f t="shared" si="5"/>
        <v>566652.5</v>
      </c>
      <c r="Q6" s="54" t="s">
        <v>25</v>
      </c>
      <c r="R6" s="4">
        <v>45078</v>
      </c>
      <c r="S6" s="66">
        <v>46599</v>
      </c>
    </row>
    <row r="7" spans="1:19" ht="56.25" x14ac:dyDescent="0.3">
      <c r="A7" s="23">
        <v>4</v>
      </c>
      <c r="B7" s="65" t="s">
        <v>26</v>
      </c>
      <c r="C7" s="63" t="s">
        <v>37</v>
      </c>
      <c r="D7" s="67">
        <v>250000</v>
      </c>
      <c r="E7" s="41">
        <v>33325</v>
      </c>
      <c r="F7" s="26">
        <v>283325</v>
      </c>
      <c r="G7" s="38">
        <v>60</v>
      </c>
      <c r="H7" s="39">
        <v>4722.09</v>
      </c>
      <c r="I7" s="53">
        <f>E7/50</f>
        <v>666.5</v>
      </c>
      <c r="J7" s="53">
        <f>D7/50</f>
        <v>5000</v>
      </c>
      <c r="K7" s="53">
        <f t="shared" si="1"/>
        <v>1333</v>
      </c>
      <c r="L7" s="53">
        <f t="shared" si="2"/>
        <v>38657</v>
      </c>
      <c r="M7" s="40">
        <v>2</v>
      </c>
      <c r="N7" s="28">
        <f t="shared" si="3"/>
        <v>58</v>
      </c>
      <c r="O7" s="29">
        <f t="shared" si="4"/>
        <v>9444.18</v>
      </c>
      <c r="P7" s="30">
        <f t="shared" si="5"/>
        <v>273881.22000000003</v>
      </c>
      <c r="Q7" s="66" t="s">
        <v>41</v>
      </c>
      <c r="R7" s="4">
        <v>45505</v>
      </c>
      <c r="S7" s="66">
        <v>47329</v>
      </c>
    </row>
    <row r="8" spans="1:19" ht="18.75" x14ac:dyDescent="0.3">
      <c r="A8" s="68"/>
      <c r="B8" s="68"/>
      <c r="C8" s="68"/>
      <c r="D8" s="69">
        <f>SUM(D4:D7)</f>
        <v>2200000</v>
      </c>
      <c r="E8" s="69">
        <f>SUM(E4:E7)</f>
        <v>260601.5</v>
      </c>
      <c r="F8" s="70">
        <f>SUM(F4:F7)</f>
        <v>2460601.5</v>
      </c>
      <c r="G8" s="68"/>
      <c r="H8" s="70">
        <f>SUM(H4:H7)</f>
        <v>46887.59</v>
      </c>
      <c r="I8" s="70">
        <f>SUM(I4:I7)</f>
        <v>5027.1117021276596</v>
      </c>
      <c r="J8" s="70">
        <f>SUM(J4:J7)</f>
        <v>42765.957446808512</v>
      </c>
      <c r="K8" s="70">
        <f>SUM(K4:K7)</f>
        <v>153039.74468085106</v>
      </c>
      <c r="L8" s="70">
        <f>SUM(L4:L7)</f>
        <v>114226.75531914894</v>
      </c>
      <c r="M8" s="68"/>
      <c r="N8" s="68"/>
      <c r="O8" s="70">
        <f>SUM(O4:O7)</f>
        <v>1437736.68</v>
      </c>
      <c r="P8" s="70">
        <f>SUM(P4:P7)</f>
        <v>1024694.97</v>
      </c>
      <c r="Q8" s="68"/>
      <c r="R8" s="68"/>
      <c r="S8" s="68"/>
    </row>
  </sheetData>
  <mergeCells count="2">
    <mergeCell ref="A2:H2"/>
    <mergeCell ref="A1:H1"/>
  </mergeCells>
  <pageMargins left="0.7" right="0.7" top="0.75" bottom="0.75" header="0.3" footer="0.3"/>
  <pageSetup scale="4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topLeftCell="G7" zoomScaleNormal="100" workbookViewId="0">
      <selection activeCell="F3" sqref="F3"/>
    </sheetView>
  </sheetViews>
  <sheetFormatPr defaultRowHeight="15" x14ac:dyDescent="0.25"/>
  <cols>
    <col min="1" max="1" width="5.7109375" bestFit="1" customWidth="1"/>
    <col min="2" max="2" width="10.5703125" customWidth="1"/>
    <col min="3" max="3" width="21" customWidth="1"/>
    <col min="4" max="4" width="16.42578125" bestFit="1" customWidth="1"/>
    <col min="5" max="5" width="19" customWidth="1"/>
    <col min="6" max="6" width="18.28515625" bestFit="1" customWidth="1"/>
    <col min="7" max="7" width="8" bestFit="1" customWidth="1"/>
    <col min="8" max="8" width="14.5703125" bestFit="1" customWidth="1"/>
    <col min="9" max="9" width="13" bestFit="1" customWidth="1"/>
    <col min="10" max="10" width="14.5703125" bestFit="1" customWidth="1"/>
    <col min="11" max="11" width="16.85546875" customWidth="1"/>
    <col min="12" max="12" width="16" bestFit="1" customWidth="1"/>
    <col min="13" max="13" width="8.7109375" bestFit="1" customWidth="1"/>
    <col min="14" max="14" width="9" bestFit="1" customWidth="1"/>
    <col min="15" max="16" width="18.28515625" bestFit="1" customWidth="1"/>
    <col min="17" max="17" width="17.5703125" customWidth="1"/>
    <col min="18" max="18" width="15.140625" bestFit="1" customWidth="1"/>
    <col min="19" max="19" width="14.5703125" bestFit="1" customWidth="1"/>
  </cols>
  <sheetData>
    <row r="1" spans="1:19" ht="19.5" x14ac:dyDescent="0.3">
      <c r="A1" s="82" t="s">
        <v>19</v>
      </c>
      <c r="B1" s="83"/>
      <c r="C1" s="83"/>
      <c r="D1" s="83"/>
      <c r="E1" s="83"/>
      <c r="F1" s="83"/>
      <c r="G1" s="83"/>
      <c r="H1" s="84"/>
      <c r="I1" s="57"/>
      <c r="J1" s="57"/>
      <c r="K1" s="57"/>
      <c r="L1" s="57"/>
      <c r="M1" s="57"/>
      <c r="N1" s="57"/>
      <c r="O1" s="57"/>
      <c r="P1" s="57"/>
      <c r="Q1" s="58"/>
      <c r="R1" s="57"/>
      <c r="S1" s="57"/>
    </row>
    <row r="2" spans="1:19" ht="19.5" x14ac:dyDescent="0.3">
      <c r="A2" s="79" t="s">
        <v>43</v>
      </c>
      <c r="B2" s="80"/>
      <c r="C2" s="80"/>
      <c r="D2" s="80"/>
      <c r="E2" s="80"/>
      <c r="F2" s="80"/>
      <c r="G2" s="80"/>
      <c r="H2" s="81"/>
      <c r="I2" s="57"/>
      <c r="J2" s="57"/>
      <c r="K2" s="57"/>
      <c r="L2" s="57"/>
      <c r="M2" s="57"/>
      <c r="N2" s="57"/>
      <c r="O2" s="57"/>
      <c r="P2" s="57"/>
      <c r="Q2" s="58"/>
      <c r="R2" s="57"/>
      <c r="S2" s="57"/>
    </row>
    <row r="3" spans="1:19" ht="75" x14ac:dyDescent="0.3">
      <c r="A3" s="34" t="s">
        <v>0</v>
      </c>
      <c r="B3" s="34" t="s">
        <v>1</v>
      </c>
      <c r="C3" s="34" t="s">
        <v>2</v>
      </c>
      <c r="D3" s="34" t="s">
        <v>3</v>
      </c>
      <c r="E3" s="16" t="s">
        <v>4</v>
      </c>
      <c r="F3" s="34" t="s">
        <v>5</v>
      </c>
      <c r="G3" s="34" t="s">
        <v>6</v>
      </c>
      <c r="H3" s="16" t="s">
        <v>7</v>
      </c>
      <c r="I3" s="17" t="s">
        <v>8</v>
      </c>
      <c r="J3" s="17" t="s">
        <v>9</v>
      </c>
      <c r="K3" s="17" t="s">
        <v>32</v>
      </c>
      <c r="L3" s="17" t="s">
        <v>10</v>
      </c>
      <c r="M3" s="18" t="s">
        <v>11</v>
      </c>
      <c r="N3" s="18" t="s">
        <v>12</v>
      </c>
      <c r="O3" s="16" t="s">
        <v>13</v>
      </c>
      <c r="P3" s="19" t="s">
        <v>14</v>
      </c>
      <c r="Q3" s="34" t="s">
        <v>15</v>
      </c>
      <c r="R3" s="20" t="s">
        <v>16</v>
      </c>
      <c r="S3" s="20" t="s">
        <v>17</v>
      </c>
    </row>
    <row r="4" spans="1:19" ht="56.25" x14ac:dyDescent="0.3">
      <c r="A4" s="23">
        <v>1</v>
      </c>
      <c r="B4" s="65" t="s">
        <v>26</v>
      </c>
      <c r="C4" s="63" t="s">
        <v>18</v>
      </c>
      <c r="D4" s="55">
        <v>600000</v>
      </c>
      <c r="E4" s="55">
        <v>63984</v>
      </c>
      <c r="F4" s="26">
        <f t="shared" ref="F4:F7" si="0">D4+E4</f>
        <v>663984</v>
      </c>
      <c r="G4" s="23">
        <v>47</v>
      </c>
      <c r="H4" s="27">
        <v>14166.25</v>
      </c>
      <c r="I4" s="53">
        <f>E4/G4</f>
        <v>1361.3617021276596</v>
      </c>
      <c r="J4" s="53">
        <f>D4/G4</f>
        <v>12765.95744680851</v>
      </c>
      <c r="K4" s="53">
        <f t="shared" ref="K4:K8" si="1">I4*M4</f>
        <v>53093.106382978724</v>
      </c>
      <c r="L4" s="53">
        <f t="shared" ref="L4:L8" si="2">I4*N4</f>
        <v>10890.893617021276</v>
      </c>
      <c r="M4" s="40">
        <v>39</v>
      </c>
      <c r="N4" s="28">
        <f t="shared" ref="N4:N8" si="3">G4-M4</f>
        <v>8</v>
      </c>
      <c r="O4" s="29">
        <f t="shared" ref="O4:O8" si="4">H4*M4</f>
        <v>552483.75</v>
      </c>
      <c r="P4" s="30">
        <f t="shared" ref="P4:P8" si="5">H4*N4</f>
        <v>113330</v>
      </c>
      <c r="Q4" s="54" t="s">
        <v>21</v>
      </c>
      <c r="R4" s="4">
        <v>44409</v>
      </c>
      <c r="S4" s="4" t="s">
        <v>30</v>
      </c>
    </row>
    <row r="5" spans="1:19" ht="56.25" x14ac:dyDescent="0.3">
      <c r="A5" s="23">
        <v>2</v>
      </c>
      <c r="B5" s="65" t="s">
        <v>26</v>
      </c>
      <c r="C5" s="63" t="s">
        <v>44</v>
      </c>
      <c r="D5" s="55">
        <v>600000</v>
      </c>
      <c r="E5" s="55">
        <v>66650</v>
      </c>
      <c r="F5" s="26">
        <v>666650</v>
      </c>
      <c r="G5" s="23">
        <v>50</v>
      </c>
      <c r="H5" s="27">
        <v>13333</v>
      </c>
      <c r="I5" s="53">
        <f>E5/G5</f>
        <v>1333</v>
      </c>
      <c r="J5" s="53">
        <f>D5/G5</f>
        <v>12000</v>
      </c>
      <c r="K5" s="53">
        <f t="shared" si="1"/>
        <v>58652</v>
      </c>
      <c r="L5" s="53">
        <f t="shared" si="2"/>
        <v>7998</v>
      </c>
      <c r="M5" s="40">
        <v>44</v>
      </c>
      <c r="N5" s="28">
        <f t="shared" si="3"/>
        <v>6</v>
      </c>
      <c r="O5" s="29">
        <f t="shared" si="4"/>
        <v>586652</v>
      </c>
      <c r="P5" s="30">
        <f t="shared" si="5"/>
        <v>79998</v>
      </c>
      <c r="Q5" s="54" t="s">
        <v>45</v>
      </c>
      <c r="R5" s="4">
        <v>44256</v>
      </c>
      <c r="S5" s="4">
        <v>45777</v>
      </c>
    </row>
    <row r="6" spans="1:19" ht="56.25" x14ac:dyDescent="0.3">
      <c r="A6" s="23">
        <v>3</v>
      </c>
      <c r="B6" s="65" t="s">
        <v>26</v>
      </c>
      <c r="C6" s="64" t="s">
        <v>23</v>
      </c>
      <c r="D6" s="41">
        <v>600000</v>
      </c>
      <c r="E6" s="41">
        <v>79980</v>
      </c>
      <c r="F6" s="26">
        <f t="shared" si="0"/>
        <v>679980</v>
      </c>
      <c r="G6" s="38" t="s">
        <v>24</v>
      </c>
      <c r="H6" s="39">
        <v>11333</v>
      </c>
      <c r="I6" s="53">
        <f>E6/60</f>
        <v>1333</v>
      </c>
      <c r="J6" s="53">
        <f>D6/G6</f>
        <v>10000</v>
      </c>
      <c r="K6" s="53">
        <f t="shared" si="1"/>
        <v>74648</v>
      </c>
      <c r="L6" s="53">
        <f t="shared" si="2"/>
        <v>5332</v>
      </c>
      <c r="M6" s="40">
        <v>56</v>
      </c>
      <c r="N6" s="28">
        <f t="shared" si="3"/>
        <v>4</v>
      </c>
      <c r="O6" s="29">
        <f t="shared" si="4"/>
        <v>634648</v>
      </c>
      <c r="P6" s="30">
        <f t="shared" si="5"/>
        <v>45332</v>
      </c>
      <c r="Q6" s="54" t="s">
        <v>29</v>
      </c>
      <c r="R6" s="4">
        <v>43891</v>
      </c>
      <c r="S6" s="4">
        <v>45716</v>
      </c>
    </row>
    <row r="7" spans="1:19" ht="75" x14ac:dyDescent="0.3">
      <c r="A7" s="23">
        <v>4</v>
      </c>
      <c r="B7" s="65" t="s">
        <v>26</v>
      </c>
      <c r="C7" s="64" t="s">
        <v>27</v>
      </c>
      <c r="D7" s="41">
        <v>750000</v>
      </c>
      <c r="E7" s="41">
        <v>83312.5</v>
      </c>
      <c r="F7" s="26">
        <f t="shared" si="0"/>
        <v>833312.5</v>
      </c>
      <c r="G7" s="38" t="s">
        <v>28</v>
      </c>
      <c r="H7" s="39">
        <v>16666.25</v>
      </c>
      <c r="I7" s="53">
        <f>E7/50</f>
        <v>1666.25</v>
      </c>
      <c r="J7" s="53">
        <f>D7/G7</f>
        <v>15000</v>
      </c>
      <c r="K7" s="53">
        <f t="shared" si="1"/>
        <v>28326.25</v>
      </c>
      <c r="L7" s="53">
        <f t="shared" si="2"/>
        <v>54986.25</v>
      </c>
      <c r="M7" s="40">
        <v>17</v>
      </c>
      <c r="N7" s="28">
        <f t="shared" si="3"/>
        <v>33</v>
      </c>
      <c r="O7" s="29">
        <f t="shared" si="4"/>
        <v>283326.25</v>
      </c>
      <c r="P7" s="30">
        <f t="shared" si="5"/>
        <v>549986.25</v>
      </c>
      <c r="Q7" s="54" t="s">
        <v>25</v>
      </c>
      <c r="R7" s="4">
        <v>45078</v>
      </c>
      <c r="S7" s="66">
        <v>46599</v>
      </c>
    </row>
    <row r="8" spans="1:19" ht="56.25" x14ac:dyDescent="0.3">
      <c r="A8" s="23">
        <v>4</v>
      </c>
      <c r="B8" s="65" t="s">
        <v>26</v>
      </c>
      <c r="C8" s="63" t="s">
        <v>37</v>
      </c>
      <c r="D8" s="67">
        <v>250000</v>
      </c>
      <c r="E8" s="41">
        <v>33325</v>
      </c>
      <c r="F8" s="26">
        <v>283325</v>
      </c>
      <c r="G8" s="38">
        <v>60</v>
      </c>
      <c r="H8" s="39">
        <v>4722.09</v>
      </c>
      <c r="I8" s="53">
        <f>E8/50</f>
        <v>666.5</v>
      </c>
      <c r="J8" s="53">
        <f>D8/G8</f>
        <v>4166.666666666667</v>
      </c>
      <c r="K8" s="53">
        <f t="shared" si="1"/>
        <v>1999.5</v>
      </c>
      <c r="L8" s="53">
        <f t="shared" si="2"/>
        <v>37990.5</v>
      </c>
      <c r="M8" s="40">
        <v>3</v>
      </c>
      <c r="N8" s="28">
        <f t="shared" si="3"/>
        <v>57</v>
      </c>
      <c r="O8" s="29">
        <f t="shared" si="4"/>
        <v>14166.27</v>
      </c>
      <c r="P8" s="30">
        <f t="shared" si="5"/>
        <v>269159.13</v>
      </c>
      <c r="Q8" s="54" t="s">
        <v>41</v>
      </c>
      <c r="R8" s="4">
        <v>45505</v>
      </c>
      <c r="S8" s="66">
        <v>47329</v>
      </c>
    </row>
    <row r="9" spans="1:19" ht="18.75" x14ac:dyDescent="0.3">
      <c r="A9" s="68"/>
      <c r="B9" s="68"/>
      <c r="C9" s="68"/>
      <c r="D9" s="69">
        <f>SUM(D4:D8)</f>
        <v>2800000</v>
      </c>
      <c r="E9" s="69">
        <f>SUM(E4:E8)</f>
        <v>327251.5</v>
      </c>
      <c r="F9" s="70">
        <f>SUM(F4:F8)</f>
        <v>3127251.5</v>
      </c>
      <c r="G9" s="68"/>
      <c r="H9" s="70">
        <f>SUM(H4:H8)</f>
        <v>60220.59</v>
      </c>
      <c r="I9" s="70">
        <f>SUM(I4:I8)</f>
        <v>6360.1117021276596</v>
      </c>
      <c r="J9" s="70">
        <f>SUM(J4:J8)</f>
        <v>53932.624113475176</v>
      </c>
      <c r="K9" s="70">
        <f>SUM(K4:K8)</f>
        <v>216718.85638297873</v>
      </c>
      <c r="L9" s="70">
        <f>SUM(L4:L8)</f>
        <v>117197.64361702127</v>
      </c>
      <c r="M9" s="68"/>
      <c r="N9" s="68"/>
      <c r="O9" s="70">
        <f>SUM(O4:O8)</f>
        <v>2071276.27</v>
      </c>
      <c r="P9" s="70">
        <f>SUM(P4:P8)</f>
        <v>1057805.3799999999</v>
      </c>
      <c r="Q9" s="68"/>
      <c r="R9" s="68"/>
      <c r="S9" s="68"/>
    </row>
  </sheetData>
  <mergeCells count="2">
    <mergeCell ref="A2:H2"/>
    <mergeCell ref="A1:H1"/>
  </mergeCells>
  <pageMargins left="0.7" right="0.7" top="0.75" bottom="0.75" header="0.3" footer="0.3"/>
  <pageSetup paperSize="9" scale="4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topLeftCell="D4" zoomScaleNormal="100" workbookViewId="0">
      <selection sqref="A1:S9"/>
    </sheetView>
  </sheetViews>
  <sheetFormatPr defaultRowHeight="15" x14ac:dyDescent="0.25"/>
  <cols>
    <col min="1" max="1" width="5.7109375" bestFit="1" customWidth="1"/>
    <col min="2" max="2" width="18" customWidth="1"/>
    <col min="3" max="3" width="31.42578125" customWidth="1"/>
    <col min="4" max="4" width="16.42578125" bestFit="1" customWidth="1"/>
    <col min="5" max="5" width="14" customWidth="1"/>
    <col min="6" max="6" width="17.85546875" customWidth="1"/>
    <col min="7" max="7" width="7.140625" customWidth="1"/>
    <col min="8" max="8" width="15.28515625" customWidth="1"/>
    <col min="9" max="9" width="13.140625" customWidth="1"/>
    <col min="10" max="10" width="14.42578125" customWidth="1"/>
    <col min="11" max="11" width="16.28515625" customWidth="1"/>
    <col min="12" max="12" width="16.140625" customWidth="1"/>
    <col min="13" max="13" width="6.85546875" customWidth="1"/>
    <col min="14" max="14" width="7.5703125" customWidth="1"/>
    <col min="15" max="16" width="18.140625" customWidth="1"/>
    <col min="17" max="17" width="22.7109375" customWidth="1"/>
    <col min="18" max="18" width="12.85546875" customWidth="1"/>
    <col min="19" max="19" width="14" customWidth="1"/>
  </cols>
  <sheetData>
    <row r="1" spans="1:19" ht="19.5" x14ac:dyDescent="0.3">
      <c r="A1" s="82" t="s">
        <v>19</v>
      </c>
      <c r="B1" s="83"/>
      <c r="C1" s="83"/>
      <c r="D1" s="83"/>
      <c r="E1" s="83"/>
      <c r="F1" s="83"/>
      <c r="G1" s="83"/>
      <c r="H1" s="84"/>
      <c r="I1" s="57"/>
      <c r="J1" s="57"/>
      <c r="K1" s="57"/>
      <c r="L1" s="57"/>
      <c r="M1" s="57"/>
      <c r="N1" s="57"/>
      <c r="O1" s="57"/>
      <c r="P1" s="57"/>
      <c r="Q1" s="58"/>
      <c r="R1" s="57"/>
      <c r="S1" s="57"/>
    </row>
    <row r="2" spans="1:19" ht="19.5" x14ac:dyDescent="0.3">
      <c r="A2" s="79" t="s">
        <v>46</v>
      </c>
      <c r="B2" s="80"/>
      <c r="C2" s="80"/>
      <c r="D2" s="80"/>
      <c r="E2" s="80"/>
      <c r="F2" s="80"/>
      <c r="G2" s="80"/>
      <c r="H2" s="81"/>
      <c r="I2" s="57"/>
      <c r="J2" s="57"/>
      <c r="K2" s="57"/>
      <c r="L2" s="57"/>
      <c r="M2" s="57"/>
      <c r="N2" s="57"/>
      <c r="O2" s="57"/>
      <c r="P2" s="57"/>
      <c r="Q2" s="58"/>
      <c r="R2" s="57"/>
      <c r="S2" s="57"/>
    </row>
    <row r="3" spans="1:19" ht="131.25" x14ac:dyDescent="0.3">
      <c r="A3" s="34" t="s">
        <v>0</v>
      </c>
      <c r="B3" s="34" t="s">
        <v>1</v>
      </c>
      <c r="C3" s="34" t="s">
        <v>2</v>
      </c>
      <c r="D3" s="34" t="s">
        <v>3</v>
      </c>
      <c r="E3" s="16" t="s">
        <v>4</v>
      </c>
      <c r="F3" s="34" t="s">
        <v>5</v>
      </c>
      <c r="G3" s="16" t="s">
        <v>6</v>
      </c>
      <c r="H3" s="16" t="s">
        <v>7</v>
      </c>
      <c r="I3" s="17" t="s">
        <v>8</v>
      </c>
      <c r="J3" s="17" t="s">
        <v>9</v>
      </c>
      <c r="K3" s="17" t="s">
        <v>32</v>
      </c>
      <c r="L3" s="17" t="s">
        <v>10</v>
      </c>
      <c r="M3" s="18" t="s">
        <v>11</v>
      </c>
      <c r="N3" s="18" t="s">
        <v>12</v>
      </c>
      <c r="O3" s="16" t="s">
        <v>13</v>
      </c>
      <c r="P3" s="19" t="s">
        <v>14</v>
      </c>
      <c r="Q3" s="34" t="s">
        <v>15</v>
      </c>
      <c r="R3" s="72" t="s">
        <v>16</v>
      </c>
      <c r="S3" s="20" t="s">
        <v>17</v>
      </c>
    </row>
    <row r="4" spans="1:19" ht="56.25" x14ac:dyDescent="0.3">
      <c r="A4" s="23">
        <v>1</v>
      </c>
      <c r="B4" s="65" t="s">
        <v>26</v>
      </c>
      <c r="C4" s="63" t="s">
        <v>18</v>
      </c>
      <c r="D4" s="55">
        <v>600000</v>
      </c>
      <c r="E4" s="55">
        <v>63984</v>
      </c>
      <c r="F4" s="26">
        <f t="shared" ref="F4:F7" si="0">D4+E4</f>
        <v>663984</v>
      </c>
      <c r="G4" s="23">
        <v>47</v>
      </c>
      <c r="H4" s="27">
        <v>14166.25</v>
      </c>
      <c r="I4" s="53">
        <f>E4/G4</f>
        <v>1361.3617021276596</v>
      </c>
      <c r="J4" s="53">
        <f>D4/G4</f>
        <v>12765.95744680851</v>
      </c>
      <c r="K4" s="53">
        <f t="shared" ref="K4:K8" si="1">I4*M4</f>
        <v>54454.468085106382</v>
      </c>
      <c r="L4" s="53">
        <f t="shared" ref="L4:L8" si="2">I4*N4</f>
        <v>9529.5319148936178</v>
      </c>
      <c r="M4" s="40">
        <v>40</v>
      </c>
      <c r="N4" s="28">
        <f t="shared" ref="N4:N8" si="3">G4-M4</f>
        <v>7</v>
      </c>
      <c r="O4" s="29">
        <f t="shared" ref="O4:O8" si="4">H4*M4</f>
        <v>566650</v>
      </c>
      <c r="P4" s="30">
        <f t="shared" ref="P4:P8" si="5">H4*N4</f>
        <v>99163.75</v>
      </c>
      <c r="Q4" s="54" t="s">
        <v>21</v>
      </c>
      <c r="R4" s="4">
        <v>44409</v>
      </c>
      <c r="S4" s="4" t="s">
        <v>30</v>
      </c>
    </row>
    <row r="5" spans="1:19" ht="56.25" x14ac:dyDescent="0.3">
      <c r="A5" s="23">
        <v>2</v>
      </c>
      <c r="B5" s="65" t="s">
        <v>26</v>
      </c>
      <c r="C5" s="63" t="s">
        <v>44</v>
      </c>
      <c r="D5" s="55">
        <v>600000</v>
      </c>
      <c r="E5" s="55">
        <v>66650</v>
      </c>
      <c r="F5" s="26">
        <v>666650</v>
      </c>
      <c r="G5" s="23">
        <v>50</v>
      </c>
      <c r="H5" s="27">
        <v>13333</v>
      </c>
      <c r="I5" s="53">
        <f>E5/G5</f>
        <v>1333</v>
      </c>
      <c r="J5" s="53">
        <f>D5/G5</f>
        <v>12000</v>
      </c>
      <c r="K5" s="53">
        <f t="shared" si="1"/>
        <v>59985</v>
      </c>
      <c r="L5" s="53">
        <f t="shared" si="2"/>
        <v>6665</v>
      </c>
      <c r="M5" s="40">
        <v>45</v>
      </c>
      <c r="N5" s="28">
        <f t="shared" si="3"/>
        <v>5</v>
      </c>
      <c r="O5" s="29">
        <f t="shared" si="4"/>
        <v>599985</v>
      </c>
      <c r="P5" s="30">
        <f t="shared" si="5"/>
        <v>66665</v>
      </c>
      <c r="Q5" s="54" t="s">
        <v>45</v>
      </c>
      <c r="R5" s="4">
        <v>44256</v>
      </c>
      <c r="S5" s="4">
        <v>45777</v>
      </c>
    </row>
    <row r="6" spans="1:19" ht="56.25" x14ac:dyDescent="0.3">
      <c r="A6" s="23">
        <v>3</v>
      </c>
      <c r="B6" s="65" t="s">
        <v>26</v>
      </c>
      <c r="C6" s="64" t="s">
        <v>23</v>
      </c>
      <c r="D6" s="41">
        <v>600000</v>
      </c>
      <c r="E6" s="41">
        <v>79980</v>
      </c>
      <c r="F6" s="26">
        <f t="shared" si="0"/>
        <v>679980</v>
      </c>
      <c r="G6" s="38" t="s">
        <v>24</v>
      </c>
      <c r="H6" s="39">
        <v>11333</v>
      </c>
      <c r="I6" s="53">
        <f>E6/60</f>
        <v>1333</v>
      </c>
      <c r="J6" s="53">
        <f>D6/G6</f>
        <v>10000</v>
      </c>
      <c r="K6" s="53">
        <f t="shared" si="1"/>
        <v>75981</v>
      </c>
      <c r="L6" s="53">
        <f t="shared" si="2"/>
        <v>3999</v>
      </c>
      <c r="M6" s="40">
        <v>57</v>
      </c>
      <c r="N6" s="28">
        <f t="shared" si="3"/>
        <v>3</v>
      </c>
      <c r="O6" s="29">
        <f t="shared" si="4"/>
        <v>645981</v>
      </c>
      <c r="P6" s="30">
        <f t="shared" si="5"/>
        <v>33999</v>
      </c>
      <c r="Q6" s="54" t="s">
        <v>29</v>
      </c>
      <c r="R6" s="4">
        <v>43891</v>
      </c>
      <c r="S6" s="4">
        <v>45716</v>
      </c>
    </row>
    <row r="7" spans="1:19" ht="56.25" x14ac:dyDescent="0.3">
      <c r="A7" s="23">
        <v>4</v>
      </c>
      <c r="B7" s="65" t="s">
        <v>26</v>
      </c>
      <c r="C7" s="64" t="s">
        <v>27</v>
      </c>
      <c r="D7" s="41">
        <v>750000</v>
      </c>
      <c r="E7" s="41">
        <v>83312.5</v>
      </c>
      <c r="F7" s="26">
        <f t="shared" si="0"/>
        <v>833312.5</v>
      </c>
      <c r="G7" s="38" t="s">
        <v>28</v>
      </c>
      <c r="H7" s="39">
        <v>16666.25</v>
      </c>
      <c r="I7" s="53">
        <f>E7/50</f>
        <v>1666.25</v>
      </c>
      <c r="J7" s="53">
        <f>D7/G7</f>
        <v>15000</v>
      </c>
      <c r="K7" s="53">
        <f t="shared" si="1"/>
        <v>29992.5</v>
      </c>
      <c r="L7" s="53">
        <f t="shared" si="2"/>
        <v>53320</v>
      </c>
      <c r="M7" s="40">
        <v>18</v>
      </c>
      <c r="N7" s="28">
        <f t="shared" si="3"/>
        <v>32</v>
      </c>
      <c r="O7" s="29">
        <f t="shared" si="4"/>
        <v>299992.5</v>
      </c>
      <c r="P7" s="30">
        <f t="shared" si="5"/>
        <v>533320</v>
      </c>
      <c r="Q7" s="54" t="s">
        <v>25</v>
      </c>
      <c r="R7" s="4">
        <v>45078</v>
      </c>
      <c r="S7" s="66">
        <v>46599</v>
      </c>
    </row>
    <row r="8" spans="1:19" ht="56.25" x14ac:dyDescent="0.3">
      <c r="A8" s="23">
        <v>4</v>
      </c>
      <c r="B8" s="65" t="s">
        <v>26</v>
      </c>
      <c r="C8" s="63" t="s">
        <v>37</v>
      </c>
      <c r="D8" s="67">
        <v>250000</v>
      </c>
      <c r="E8" s="41">
        <v>33325</v>
      </c>
      <c r="F8" s="26">
        <v>283325</v>
      </c>
      <c r="G8" s="38">
        <v>60</v>
      </c>
      <c r="H8" s="39">
        <v>4722.09</v>
      </c>
      <c r="I8" s="53">
        <f>E8/50</f>
        <v>666.5</v>
      </c>
      <c r="J8" s="53">
        <f>D8/G8</f>
        <v>4166.666666666667</v>
      </c>
      <c r="K8" s="53">
        <f t="shared" si="1"/>
        <v>2666</v>
      </c>
      <c r="L8" s="53">
        <f t="shared" si="2"/>
        <v>37324</v>
      </c>
      <c r="M8" s="40">
        <v>4</v>
      </c>
      <c r="N8" s="28">
        <f t="shared" si="3"/>
        <v>56</v>
      </c>
      <c r="O8" s="29">
        <f t="shared" si="4"/>
        <v>18888.36</v>
      </c>
      <c r="P8" s="30">
        <f t="shared" si="5"/>
        <v>264437.04000000004</v>
      </c>
      <c r="Q8" s="54" t="s">
        <v>41</v>
      </c>
      <c r="R8" s="4">
        <v>45505</v>
      </c>
      <c r="S8" s="66">
        <v>47329</v>
      </c>
    </row>
    <row r="9" spans="1:19" ht="18.75" x14ac:dyDescent="0.3">
      <c r="A9" s="68"/>
      <c r="B9" s="68"/>
      <c r="C9" s="68"/>
      <c r="D9" s="69">
        <f>SUM(D4:D8)</f>
        <v>2800000</v>
      </c>
      <c r="E9" s="69">
        <f>SUM(E4:E8)</f>
        <v>327251.5</v>
      </c>
      <c r="F9" s="70">
        <f>SUM(F4:F8)</f>
        <v>3127251.5</v>
      </c>
      <c r="G9" s="68"/>
      <c r="H9" s="70">
        <f>SUM(H4:H8)</f>
        <v>60220.59</v>
      </c>
      <c r="I9" s="70">
        <f>SUM(I4:I8)</f>
        <v>6360.1117021276596</v>
      </c>
      <c r="J9" s="70">
        <f>SUM(J4:J8)</f>
        <v>53932.624113475176</v>
      </c>
      <c r="K9" s="70">
        <f>SUM(K4:K8)</f>
        <v>223078.96808510637</v>
      </c>
      <c r="L9" s="70">
        <f>SUM(L4:L8)</f>
        <v>110837.53191489363</v>
      </c>
      <c r="M9" s="68"/>
      <c r="N9" s="68"/>
      <c r="O9" s="70">
        <f>SUM(O4:O8)</f>
        <v>2131496.86</v>
      </c>
      <c r="P9" s="70">
        <f>SUM(P4:P8)</f>
        <v>997584.79</v>
      </c>
      <c r="Q9" s="73"/>
      <c r="R9" s="68"/>
      <c r="S9" s="68"/>
    </row>
    <row r="10" spans="1:19" x14ac:dyDescent="0.25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</row>
    <row r="11" spans="1:19" x14ac:dyDescent="0.25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</row>
  </sheetData>
  <mergeCells count="2">
    <mergeCell ref="A1:H1"/>
    <mergeCell ref="A2:H2"/>
  </mergeCells>
  <pageMargins left="0.7" right="0.7" top="0.75" bottom="0.75" header="0.3" footer="0.3"/>
  <pageSetup paperSize="9" scale="4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zoomScaleNormal="100" workbookViewId="0">
      <selection activeCell="S6" sqref="S6"/>
    </sheetView>
  </sheetViews>
  <sheetFormatPr defaultRowHeight="15" x14ac:dyDescent="0.25"/>
  <cols>
    <col min="1" max="1" width="5.7109375" bestFit="1" customWidth="1"/>
    <col min="2" max="2" width="11.28515625" customWidth="1"/>
    <col min="3" max="3" width="26.42578125" customWidth="1"/>
    <col min="4" max="4" width="16.140625" customWidth="1"/>
    <col min="5" max="5" width="15.42578125" customWidth="1"/>
    <col min="6" max="6" width="17.7109375" customWidth="1"/>
    <col min="7" max="7" width="7.85546875" customWidth="1"/>
    <col min="8" max="8" width="14.7109375" customWidth="1"/>
    <col min="9" max="9" width="13.140625" customWidth="1"/>
    <col min="10" max="10" width="14.5703125" customWidth="1"/>
    <col min="11" max="11" width="15.5703125" customWidth="1"/>
    <col min="12" max="12" width="15" customWidth="1"/>
    <col min="13" max="13" width="8.140625" customWidth="1"/>
    <col min="14" max="14" width="9.42578125" customWidth="1"/>
    <col min="15" max="15" width="17.7109375" customWidth="1"/>
    <col min="16" max="16" width="16.140625" customWidth="1"/>
    <col min="17" max="17" width="24.7109375" customWidth="1"/>
    <col min="18" max="18" width="15.140625" bestFit="1" customWidth="1"/>
    <col min="19" max="19" width="14.5703125" bestFit="1" customWidth="1"/>
  </cols>
  <sheetData>
    <row r="1" spans="1:19" ht="19.5" x14ac:dyDescent="0.3">
      <c r="A1" s="77" t="s">
        <v>19</v>
      </c>
      <c r="B1" s="77"/>
      <c r="C1" s="77"/>
      <c r="D1" s="77"/>
      <c r="E1" s="77"/>
      <c r="F1" s="77"/>
      <c r="G1" s="57"/>
      <c r="H1" s="57"/>
      <c r="I1" s="57"/>
      <c r="J1" s="57"/>
      <c r="K1" s="57"/>
      <c r="L1" s="57"/>
      <c r="M1" s="57"/>
      <c r="N1" s="57"/>
      <c r="O1" s="57"/>
      <c r="P1" s="57"/>
      <c r="Q1" s="58"/>
      <c r="R1" s="57"/>
      <c r="S1" s="57"/>
    </row>
    <row r="2" spans="1:19" ht="38.25" customHeight="1" x14ac:dyDescent="0.3">
      <c r="A2" s="78" t="s">
        <v>36</v>
      </c>
      <c r="B2" s="78"/>
      <c r="C2" s="78"/>
      <c r="D2" s="78"/>
      <c r="E2" s="78"/>
      <c r="F2" s="78"/>
      <c r="G2" s="57"/>
      <c r="H2" s="57"/>
      <c r="I2" s="57"/>
      <c r="J2" s="57"/>
      <c r="K2" s="57"/>
      <c r="L2" s="57"/>
      <c r="M2" s="57"/>
      <c r="N2" s="57"/>
      <c r="O2" s="57"/>
      <c r="P2" s="57"/>
      <c r="Q2" s="58"/>
      <c r="R2" s="57"/>
      <c r="S2" s="57"/>
    </row>
    <row r="3" spans="1:19" ht="75" x14ac:dyDescent="0.3">
      <c r="A3" s="34" t="s">
        <v>0</v>
      </c>
      <c r="B3" s="34" t="s">
        <v>1</v>
      </c>
      <c r="C3" s="34" t="s">
        <v>2</v>
      </c>
      <c r="D3" s="34" t="s">
        <v>3</v>
      </c>
      <c r="E3" s="16" t="s">
        <v>4</v>
      </c>
      <c r="F3" s="34" t="s">
        <v>5</v>
      </c>
      <c r="G3" s="16" t="s">
        <v>6</v>
      </c>
      <c r="H3" s="16" t="s">
        <v>7</v>
      </c>
      <c r="I3" s="17" t="s">
        <v>8</v>
      </c>
      <c r="J3" s="17" t="s">
        <v>9</v>
      </c>
      <c r="K3" s="17" t="s">
        <v>32</v>
      </c>
      <c r="L3" s="17" t="s">
        <v>10</v>
      </c>
      <c r="M3" s="18" t="s">
        <v>11</v>
      </c>
      <c r="N3" s="18" t="s">
        <v>12</v>
      </c>
      <c r="O3" s="16" t="s">
        <v>13</v>
      </c>
      <c r="P3" s="19" t="s">
        <v>14</v>
      </c>
      <c r="Q3" s="34" t="s">
        <v>15</v>
      </c>
      <c r="R3" s="20" t="s">
        <v>16</v>
      </c>
      <c r="S3" s="20" t="s">
        <v>17</v>
      </c>
    </row>
    <row r="4" spans="1:19" ht="37.5" x14ac:dyDescent="0.3">
      <c r="A4" s="23">
        <v>1</v>
      </c>
      <c r="B4" s="65" t="s">
        <v>26</v>
      </c>
      <c r="C4" s="63" t="s">
        <v>18</v>
      </c>
      <c r="D4" s="55">
        <v>600000</v>
      </c>
      <c r="E4" s="55">
        <v>63984</v>
      </c>
      <c r="F4" s="26">
        <f t="shared" ref="F4:F6" si="0">D4+E4</f>
        <v>663984</v>
      </c>
      <c r="G4" s="23">
        <v>47</v>
      </c>
      <c r="H4" s="27">
        <v>14166.25</v>
      </c>
      <c r="I4" s="53">
        <f>E4/47</f>
        <v>1361.3617021276596</v>
      </c>
      <c r="J4" s="53">
        <f>D4/47</f>
        <v>12765.95744680851</v>
      </c>
      <c r="K4" s="53">
        <f t="shared" ref="K4:K6" si="1">I4*M4</f>
        <v>49009.02127659574</v>
      </c>
      <c r="L4" s="53">
        <f t="shared" ref="L4:L6" si="2">I4*N4</f>
        <v>14974.978723404256</v>
      </c>
      <c r="M4" s="40">
        <v>36</v>
      </c>
      <c r="N4" s="28">
        <f t="shared" ref="N4:N6" si="3">G4-M4</f>
        <v>11</v>
      </c>
      <c r="O4" s="29">
        <f t="shared" ref="O4:O6" si="4">H4*M4</f>
        <v>509985</v>
      </c>
      <c r="P4" s="30">
        <f t="shared" ref="P4:P6" si="5">H4*N4</f>
        <v>155828.75</v>
      </c>
      <c r="Q4" s="54" t="s">
        <v>21</v>
      </c>
      <c r="R4" s="4">
        <v>44409</v>
      </c>
      <c r="S4" s="4" t="s">
        <v>30</v>
      </c>
    </row>
    <row r="5" spans="1:19" ht="37.5" x14ac:dyDescent="0.3">
      <c r="A5" s="23">
        <v>2</v>
      </c>
      <c r="B5" s="65" t="s">
        <v>26</v>
      </c>
      <c r="C5" s="64" t="s">
        <v>23</v>
      </c>
      <c r="D5" s="41">
        <v>600000</v>
      </c>
      <c r="E5" s="41">
        <v>79980</v>
      </c>
      <c r="F5" s="26">
        <f t="shared" si="0"/>
        <v>679980</v>
      </c>
      <c r="G5" s="38" t="s">
        <v>24</v>
      </c>
      <c r="H5" s="39">
        <v>11333</v>
      </c>
      <c r="I5" s="53">
        <f>E5/60</f>
        <v>1333</v>
      </c>
      <c r="J5" s="53">
        <f>D5/60</f>
        <v>10000</v>
      </c>
      <c r="K5" s="53">
        <f t="shared" si="1"/>
        <v>70649</v>
      </c>
      <c r="L5" s="53">
        <f t="shared" si="2"/>
        <v>9331</v>
      </c>
      <c r="M5" s="40">
        <v>53</v>
      </c>
      <c r="N5" s="28">
        <f t="shared" si="3"/>
        <v>7</v>
      </c>
      <c r="O5" s="29">
        <f t="shared" si="4"/>
        <v>600649</v>
      </c>
      <c r="P5" s="30">
        <f t="shared" si="5"/>
        <v>79331</v>
      </c>
      <c r="Q5" s="54" t="s">
        <v>29</v>
      </c>
      <c r="R5" s="4">
        <v>43891</v>
      </c>
      <c r="S5" s="4">
        <v>45716</v>
      </c>
    </row>
    <row r="6" spans="1:19" ht="37.5" x14ac:dyDescent="0.3">
      <c r="A6" s="23">
        <v>3</v>
      </c>
      <c r="B6" s="65" t="s">
        <v>26</v>
      </c>
      <c r="C6" s="64" t="s">
        <v>27</v>
      </c>
      <c r="D6" s="41">
        <v>750000</v>
      </c>
      <c r="E6" s="41">
        <v>83312.5</v>
      </c>
      <c r="F6" s="26">
        <f t="shared" si="0"/>
        <v>833312.5</v>
      </c>
      <c r="G6" s="38" t="s">
        <v>28</v>
      </c>
      <c r="H6" s="39">
        <v>16666.25</v>
      </c>
      <c r="I6" s="53">
        <f>E6/50</f>
        <v>1666.25</v>
      </c>
      <c r="J6" s="53">
        <f>D6/50</f>
        <v>15000</v>
      </c>
      <c r="K6" s="53">
        <f t="shared" si="1"/>
        <v>23327.5</v>
      </c>
      <c r="L6" s="53">
        <f t="shared" si="2"/>
        <v>59985</v>
      </c>
      <c r="M6" s="40">
        <v>14</v>
      </c>
      <c r="N6" s="28">
        <f t="shared" si="3"/>
        <v>36</v>
      </c>
      <c r="O6" s="29">
        <f t="shared" si="4"/>
        <v>233327.5</v>
      </c>
      <c r="P6" s="30">
        <f t="shared" si="5"/>
        <v>599985</v>
      </c>
      <c r="Q6" s="54" t="s">
        <v>25</v>
      </c>
      <c r="R6" s="4">
        <v>45078</v>
      </c>
      <c r="S6" s="71">
        <v>46599</v>
      </c>
    </row>
    <row r="7" spans="1:19" s="56" customFormat="1" ht="18.75" x14ac:dyDescent="0.3">
      <c r="A7" s="60"/>
      <c r="B7" s="60"/>
      <c r="C7" s="60"/>
      <c r="D7" s="61">
        <f>SUM(D4:D6)</f>
        <v>1950000</v>
      </c>
      <c r="E7" s="61">
        <f>SUM(E4:E6)</f>
        <v>227276.5</v>
      </c>
      <c r="F7" s="62">
        <f>SUM(F4:F6)</f>
        <v>2177276.5</v>
      </c>
      <c r="G7" s="60"/>
      <c r="H7" s="62">
        <f>SUM(H4:H6)</f>
        <v>42165.5</v>
      </c>
      <c r="I7" s="62">
        <f>SUM(I4:I6)</f>
        <v>4360.6117021276596</v>
      </c>
      <c r="J7" s="62">
        <f>SUM(J4:J6)</f>
        <v>37765.957446808512</v>
      </c>
      <c r="K7" s="62">
        <f>SUM(K4:K6)</f>
        <v>142985.52127659574</v>
      </c>
      <c r="L7" s="62">
        <f>SUM(L4:L6)</f>
        <v>84290.97872340426</v>
      </c>
      <c r="M7" s="60"/>
      <c r="N7" s="60"/>
      <c r="O7" s="62">
        <f>SUM(O4:O6)</f>
        <v>1343961.5</v>
      </c>
      <c r="P7" s="62">
        <f>SUM(P4:P6)</f>
        <v>835144.75</v>
      </c>
      <c r="Q7" s="60"/>
      <c r="R7" s="60"/>
      <c r="S7" s="60"/>
    </row>
  </sheetData>
  <mergeCells count="2">
    <mergeCell ref="A2:F2"/>
    <mergeCell ref="A1:F1"/>
  </mergeCells>
  <pageMargins left="1.2" right="0.45" top="0.75" bottom="0.75" header="0.3" footer="0.3"/>
  <pageSetup paperSize="5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tabSelected="1" topLeftCell="A4" zoomScaleNormal="100" workbookViewId="0">
      <selection activeCell="J6" sqref="J6"/>
    </sheetView>
  </sheetViews>
  <sheetFormatPr defaultRowHeight="15" x14ac:dyDescent="0.25"/>
  <cols>
    <col min="1" max="1" width="5.7109375" bestFit="1" customWidth="1"/>
    <col min="2" max="2" width="10.28515625" customWidth="1"/>
    <col min="3" max="3" width="21.28515625" customWidth="1"/>
    <col min="4" max="4" width="16.42578125" bestFit="1" customWidth="1"/>
    <col min="5" max="5" width="14.85546875" customWidth="1"/>
    <col min="6" max="6" width="17.85546875" customWidth="1"/>
    <col min="7" max="7" width="5.28515625" customWidth="1"/>
    <col min="8" max="8" width="14.28515625" customWidth="1"/>
    <col min="9" max="9" width="12.85546875" customWidth="1"/>
    <col min="10" max="10" width="14.85546875" customWidth="1"/>
    <col min="11" max="11" width="15.5703125" customWidth="1"/>
    <col min="12" max="12" width="16.7109375" customWidth="1"/>
    <col min="13" max="13" width="6.85546875" customWidth="1"/>
    <col min="14" max="14" width="8.7109375" customWidth="1"/>
    <col min="15" max="15" width="17.85546875" customWidth="1"/>
    <col min="16" max="16" width="16.42578125" customWidth="1"/>
    <col min="17" max="17" width="15.28515625" customWidth="1"/>
    <col min="18" max="18" width="12" customWidth="1"/>
    <col min="19" max="19" width="14.5703125" bestFit="1" customWidth="1"/>
  </cols>
  <sheetData>
    <row r="1" spans="1:19" ht="19.5" x14ac:dyDescent="0.3">
      <c r="A1" s="82" t="s">
        <v>19</v>
      </c>
      <c r="B1" s="83"/>
      <c r="C1" s="83"/>
      <c r="D1" s="83"/>
      <c r="E1" s="83"/>
      <c r="F1" s="83"/>
      <c r="G1" s="83"/>
      <c r="H1" s="84"/>
      <c r="I1" s="57"/>
      <c r="J1" s="57"/>
      <c r="K1" s="57"/>
      <c r="L1" s="57"/>
      <c r="M1" s="57"/>
      <c r="N1" s="57"/>
      <c r="O1" s="57"/>
      <c r="P1" s="57"/>
      <c r="Q1" s="58"/>
      <c r="R1" s="57"/>
      <c r="S1" s="57"/>
    </row>
    <row r="2" spans="1:19" ht="19.5" x14ac:dyDescent="0.3">
      <c r="A2" s="79" t="s">
        <v>47</v>
      </c>
      <c r="B2" s="80"/>
      <c r="C2" s="80"/>
      <c r="D2" s="80"/>
      <c r="E2" s="80"/>
      <c r="F2" s="80"/>
      <c r="G2" s="80"/>
      <c r="H2" s="81"/>
      <c r="I2" s="57"/>
      <c r="J2" s="57"/>
      <c r="K2" s="57"/>
      <c r="L2" s="57"/>
      <c r="M2" s="57"/>
      <c r="N2" s="57"/>
      <c r="O2" s="57"/>
      <c r="P2" s="57"/>
      <c r="Q2" s="58"/>
      <c r="R2" s="57"/>
      <c r="S2" s="57"/>
    </row>
    <row r="3" spans="1:19" ht="93.75" x14ac:dyDescent="0.3">
      <c r="A3" s="34" t="s">
        <v>0</v>
      </c>
      <c r="B3" s="34" t="s">
        <v>1</v>
      </c>
      <c r="C3" s="34" t="s">
        <v>2</v>
      </c>
      <c r="D3" s="34" t="s">
        <v>3</v>
      </c>
      <c r="E3" s="16" t="s">
        <v>4</v>
      </c>
      <c r="F3" s="34" t="s">
        <v>5</v>
      </c>
      <c r="G3" s="16" t="s">
        <v>6</v>
      </c>
      <c r="H3" s="16" t="s">
        <v>7</v>
      </c>
      <c r="I3" s="17" t="s">
        <v>8</v>
      </c>
      <c r="J3" s="17" t="s">
        <v>9</v>
      </c>
      <c r="K3" s="17" t="s">
        <v>32</v>
      </c>
      <c r="L3" s="17" t="s">
        <v>10</v>
      </c>
      <c r="M3" s="18" t="s">
        <v>11</v>
      </c>
      <c r="N3" s="18" t="s">
        <v>12</v>
      </c>
      <c r="O3" s="16" t="s">
        <v>13</v>
      </c>
      <c r="P3" s="19" t="s">
        <v>14</v>
      </c>
      <c r="Q3" s="34" t="s">
        <v>15</v>
      </c>
      <c r="R3" s="20" t="s">
        <v>16</v>
      </c>
      <c r="S3" s="20" t="s">
        <v>17</v>
      </c>
    </row>
    <row r="4" spans="1:19" ht="75" x14ac:dyDescent="0.3">
      <c r="A4" s="23">
        <v>1</v>
      </c>
      <c r="B4" s="65" t="s">
        <v>26</v>
      </c>
      <c r="C4" s="63" t="s">
        <v>18</v>
      </c>
      <c r="D4" s="55">
        <v>600000</v>
      </c>
      <c r="E4" s="55">
        <v>63984</v>
      </c>
      <c r="F4" s="26">
        <f t="shared" ref="F4:F7" si="0">D4+E4</f>
        <v>663984</v>
      </c>
      <c r="G4" s="23">
        <v>47</v>
      </c>
      <c r="H4" s="27">
        <v>14166.25</v>
      </c>
      <c r="I4" s="53">
        <f>E4/G4</f>
        <v>1361.3617021276596</v>
      </c>
      <c r="J4" s="53">
        <f>D4/G4</f>
        <v>12765.95744680851</v>
      </c>
      <c r="K4" s="53">
        <f t="shared" ref="K4:K8" si="1">I4*M4</f>
        <v>55815.829787234041</v>
      </c>
      <c r="L4" s="53">
        <f t="shared" ref="L4:L8" si="2">I4*N4</f>
        <v>8168.1702127659573</v>
      </c>
      <c r="M4" s="40">
        <v>41</v>
      </c>
      <c r="N4" s="28">
        <v>6</v>
      </c>
      <c r="O4" s="29">
        <f t="shared" ref="O4:O8" si="3">H4*M4</f>
        <v>580816.25</v>
      </c>
      <c r="P4" s="30">
        <f t="shared" ref="P4:P8" si="4">H4*N4</f>
        <v>84997.5</v>
      </c>
      <c r="Q4" s="54" t="s">
        <v>21</v>
      </c>
      <c r="R4" s="4">
        <v>44409</v>
      </c>
      <c r="S4" s="4" t="s">
        <v>30</v>
      </c>
    </row>
    <row r="5" spans="1:19" ht="56.25" x14ac:dyDescent="0.3">
      <c r="A5" s="23">
        <v>2</v>
      </c>
      <c r="B5" s="65" t="s">
        <v>26</v>
      </c>
      <c r="C5" s="63" t="s">
        <v>44</v>
      </c>
      <c r="D5" s="55">
        <v>600000</v>
      </c>
      <c r="E5" s="55">
        <v>66650</v>
      </c>
      <c r="F5" s="26">
        <v>666650</v>
      </c>
      <c r="G5" s="23">
        <v>50</v>
      </c>
      <c r="H5" s="27">
        <v>13333</v>
      </c>
      <c r="I5" s="53">
        <f>E5/G5</f>
        <v>1333</v>
      </c>
      <c r="J5" s="53">
        <f>D5/G5</f>
        <v>12000</v>
      </c>
      <c r="K5" s="53">
        <f t="shared" si="1"/>
        <v>61318</v>
      </c>
      <c r="L5" s="53">
        <f t="shared" si="2"/>
        <v>5332</v>
      </c>
      <c r="M5" s="40">
        <v>46</v>
      </c>
      <c r="N5" s="28">
        <v>4</v>
      </c>
      <c r="O5" s="29">
        <f t="shared" si="3"/>
        <v>613318</v>
      </c>
      <c r="P5" s="30">
        <f t="shared" si="4"/>
        <v>53332</v>
      </c>
      <c r="Q5" s="54" t="s">
        <v>45</v>
      </c>
      <c r="R5" s="4">
        <v>44256</v>
      </c>
      <c r="S5" s="4">
        <v>45777</v>
      </c>
    </row>
    <row r="6" spans="1:19" ht="75" x14ac:dyDescent="0.3">
      <c r="A6" s="23">
        <v>3</v>
      </c>
      <c r="B6" s="65" t="s">
        <v>26</v>
      </c>
      <c r="C6" s="64" t="s">
        <v>23</v>
      </c>
      <c r="D6" s="41">
        <v>600000</v>
      </c>
      <c r="E6" s="41">
        <v>79980</v>
      </c>
      <c r="F6" s="26">
        <f t="shared" si="0"/>
        <v>679980</v>
      </c>
      <c r="G6" s="38" t="s">
        <v>24</v>
      </c>
      <c r="H6" s="39">
        <v>11333</v>
      </c>
      <c r="I6" s="53">
        <f>E6/60</f>
        <v>1333</v>
      </c>
      <c r="J6" s="53">
        <f>D6/G6</f>
        <v>10000</v>
      </c>
      <c r="K6" s="53">
        <f t="shared" si="1"/>
        <v>77314</v>
      </c>
      <c r="L6" s="53">
        <f t="shared" si="2"/>
        <v>2666</v>
      </c>
      <c r="M6" s="40">
        <v>58</v>
      </c>
      <c r="N6" s="28">
        <v>2</v>
      </c>
      <c r="O6" s="29">
        <f t="shared" si="3"/>
        <v>657314</v>
      </c>
      <c r="P6" s="30">
        <f t="shared" si="4"/>
        <v>22666</v>
      </c>
      <c r="Q6" s="54" t="s">
        <v>29</v>
      </c>
      <c r="R6" s="4">
        <v>43891</v>
      </c>
      <c r="S6" s="4">
        <v>45716</v>
      </c>
    </row>
    <row r="7" spans="1:19" ht="75" x14ac:dyDescent="0.3">
      <c r="A7" s="23">
        <v>4</v>
      </c>
      <c r="B7" s="65" t="s">
        <v>26</v>
      </c>
      <c r="C7" s="64" t="s">
        <v>27</v>
      </c>
      <c r="D7" s="41">
        <v>750000</v>
      </c>
      <c r="E7" s="41">
        <v>83312.5</v>
      </c>
      <c r="F7" s="26">
        <f t="shared" si="0"/>
        <v>833312.5</v>
      </c>
      <c r="G7" s="38" t="s">
        <v>28</v>
      </c>
      <c r="H7" s="39">
        <v>16666.25</v>
      </c>
      <c r="I7" s="53">
        <f>E7/50</f>
        <v>1666.25</v>
      </c>
      <c r="J7" s="53">
        <f>D7/G7</f>
        <v>15000</v>
      </c>
      <c r="K7" s="53">
        <f t="shared" si="1"/>
        <v>31658.75</v>
      </c>
      <c r="L7" s="53">
        <f t="shared" si="2"/>
        <v>51653.75</v>
      </c>
      <c r="M7" s="40">
        <v>19</v>
      </c>
      <c r="N7" s="28">
        <v>31</v>
      </c>
      <c r="O7" s="29">
        <f t="shared" si="3"/>
        <v>316658.75</v>
      </c>
      <c r="P7" s="30">
        <f t="shared" si="4"/>
        <v>516653.75</v>
      </c>
      <c r="Q7" s="54" t="s">
        <v>25</v>
      </c>
      <c r="R7" s="4">
        <v>45078</v>
      </c>
      <c r="S7" s="66">
        <v>46599</v>
      </c>
    </row>
    <row r="8" spans="1:19" ht="56.25" x14ac:dyDescent="0.3">
      <c r="A8" s="23">
        <v>4</v>
      </c>
      <c r="B8" s="65" t="s">
        <v>26</v>
      </c>
      <c r="C8" s="63" t="s">
        <v>37</v>
      </c>
      <c r="D8" s="67">
        <v>250000</v>
      </c>
      <c r="E8" s="41">
        <v>33325</v>
      </c>
      <c r="F8" s="26">
        <v>283325</v>
      </c>
      <c r="G8" s="38">
        <v>60</v>
      </c>
      <c r="H8" s="39">
        <v>4722.09</v>
      </c>
      <c r="I8" s="53">
        <f>E8/50</f>
        <v>666.5</v>
      </c>
      <c r="J8" s="53">
        <f>D8/G8</f>
        <v>4166.666666666667</v>
      </c>
      <c r="K8" s="53">
        <f t="shared" si="1"/>
        <v>3332.5</v>
      </c>
      <c r="L8" s="53">
        <f t="shared" si="2"/>
        <v>36657.5</v>
      </c>
      <c r="M8" s="40">
        <v>5</v>
      </c>
      <c r="N8" s="28">
        <v>55</v>
      </c>
      <c r="O8" s="29">
        <f t="shared" si="3"/>
        <v>23610.45</v>
      </c>
      <c r="P8" s="30">
        <f t="shared" si="4"/>
        <v>259714.95</v>
      </c>
      <c r="Q8" s="54" t="s">
        <v>41</v>
      </c>
      <c r="R8" s="4">
        <v>45505</v>
      </c>
      <c r="S8" s="66">
        <v>47329</v>
      </c>
    </row>
    <row r="9" spans="1:19" ht="18.75" x14ac:dyDescent="0.3">
      <c r="A9" s="68"/>
      <c r="B9" s="68"/>
      <c r="C9" s="68"/>
      <c r="D9" s="69">
        <f>SUM(D4:D8)</f>
        <v>2800000</v>
      </c>
      <c r="E9" s="69">
        <f>SUM(E4:E8)</f>
        <v>327251.5</v>
      </c>
      <c r="F9" s="70">
        <f>SUM(F4:F8)</f>
        <v>3127251.5</v>
      </c>
      <c r="G9" s="68"/>
      <c r="H9" s="70">
        <f>SUM(H4:H8)</f>
        <v>60220.59</v>
      </c>
      <c r="I9" s="70">
        <f>SUM(I4:I8)</f>
        <v>6360.1117021276596</v>
      </c>
      <c r="J9" s="70">
        <f>SUM(J4:J8)</f>
        <v>53932.624113475176</v>
      </c>
      <c r="K9" s="70">
        <f>SUM(K4:K8)</f>
        <v>229439.07978723405</v>
      </c>
      <c r="L9" s="70">
        <f>SUM(L4:L8)</f>
        <v>104477.42021276595</v>
      </c>
      <c r="M9" s="68"/>
      <c r="N9" s="68"/>
      <c r="O9" s="70">
        <f>SUM(O4:O8)</f>
        <v>2191717.4500000002</v>
      </c>
      <c r="P9" s="70">
        <f>SUM(P4:P8)</f>
        <v>937364.2</v>
      </c>
      <c r="Q9" s="68"/>
      <c r="R9" s="68"/>
      <c r="S9" s="68"/>
    </row>
  </sheetData>
  <mergeCells count="2">
    <mergeCell ref="A1:H1"/>
    <mergeCell ref="A2:H2"/>
  </mergeCells>
  <pageMargins left="0.7" right="0.7" top="0.75" bottom="0.75" header="0.3" footer="0.3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MAR 24</vt:lpstr>
      <vt:lpstr>APRIL 24</vt:lpstr>
      <vt:lpstr>MAY, 2024</vt:lpstr>
      <vt:lpstr>JUNE, 2024</vt:lpstr>
      <vt:lpstr>AUGUST,2024</vt:lpstr>
      <vt:lpstr>SEPT, 2024</vt:lpstr>
      <vt:lpstr>OCTOBER,2024</vt:lpstr>
      <vt:lpstr>NOVEMBER,2024</vt:lpstr>
      <vt:lpstr>JULY,2024</vt:lpstr>
      <vt:lpstr>DECEMBER,2024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2023-11-10T12:13:46Z</cp:lastPrinted>
  <dcterms:created xsi:type="dcterms:W3CDTF">2023-11-03T06:06:22Z</dcterms:created>
  <dcterms:modified xsi:type="dcterms:W3CDTF">2023-11-10T13:43:26Z</dcterms:modified>
</cp:coreProperties>
</file>