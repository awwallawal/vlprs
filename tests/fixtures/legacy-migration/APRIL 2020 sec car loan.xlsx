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3685" windowHeight="9270"/>
  </bookViews>
  <sheets>
    <sheet name="Sheet1" sheetId="1" r:id="rId1"/>
    <sheet name="Sheet2" sheetId="2" r:id="rId2"/>
    <sheet name="Sheet3" sheetId="14" r:id="rId3"/>
    <sheet name="Sheet4" sheetId="15" r:id="rId4"/>
    <sheet name="Sheet5" sheetId="16" r:id="rId5"/>
    <sheet name="Sheet6" sheetId="17" r:id="rId6"/>
    <sheet name="Sheet7" sheetId="18" r:id="rId7"/>
  </sheets>
  <calcPr calcId="124519"/>
</workbook>
</file>

<file path=xl/calcChain.xml><?xml version="1.0" encoding="utf-8"?>
<calcChain xmlns="http://schemas.openxmlformats.org/spreadsheetml/2006/main">
  <c r="C65" i="2"/>
  <c r="D65"/>
  <c r="E65"/>
  <c r="F65"/>
  <c r="G65"/>
  <c r="H65"/>
  <c r="I65"/>
  <c r="J65"/>
  <c r="K65"/>
  <c r="L65"/>
  <c r="M65"/>
  <c r="N65"/>
  <c r="O65"/>
  <c r="P65"/>
  <c r="Q65"/>
  <c r="C139"/>
  <c r="D139"/>
  <c r="E139"/>
  <c r="F139"/>
  <c r="G139"/>
  <c r="H139"/>
  <c r="I139"/>
  <c r="J139"/>
  <c r="K139"/>
  <c r="L139"/>
  <c r="M139"/>
  <c r="N139"/>
  <c r="O139"/>
  <c r="P139"/>
  <c r="Q139"/>
  <c r="C64"/>
  <c r="D64"/>
  <c r="E64"/>
  <c r="F64"/>
  <c r="G64"/>
  <c r="H64"/>
  <c r="I64"/>
  <c r="J64"/>
  <c r="K64"/>
  <c r="L64"/>
  <c r="M64"/>
  <c r="N64"/>
  <c r="O64"/>
  <c r="P64"/>
  <c r="Q64"/>
  <c r="C119"/>
  <c r="D119"/>
  <c r="E119"/>
  <c r="F119"/>
  <c r="G119"/>
  <c r="H119"/>
  <c r="I119"/>
  <c r="J119"/>
  <c r="K119"/>
  <c r="L119"/>
  <c r="M119"/>
  <c r="N119"/>
  <c r="O119"/>
  <c r="P119"/>
  <c r="Q119"/>
  <c r="C7"/>
  <c r="D7"/>
  <c r="E7"/>
  <c r="F7"/>
  <c r="G7"/>
  <c r="H7"/>
  <c r="I7"/>
  <c r="J7"/>
  <c r="K7"/>
  <c r="L7"/>
  <c r="M7"/>
  <c r="N7"/>
  <c r="O7"/>
  <c r="P7"/>
  <c r="Q7"/>
  <c r="C121"/>
  <c r="D121"/>
  <c r="E121"/>
  <c r="F121"/>
  <c r="G121"/>
  <c r="H121"/>
  <c r="I121"/>
  <c r="J121"/>
  <c r="K121"/>
  <c r="L121"/>
  <c r="M121"/>
  <c r="N121"/>
  <c r="O121"/>
  <c r="P121"/>
  <c r="Q121"/>
  <c r="C91"/>
  <c r="D91"/>
  <c r="E91"/>
  <c r="F91"/>
  <c r="G91"/>
  <c r="H91"/>
  <c r="I91"/>
  <c r="J91"/>
  <c r="K91"/>
  <c r="L91"/>
  <c r="M91"/>
  <c r="N91"/>
  <c r="O91"/>
  <c r="P91"/>
  <c r="Q91"/>
  <c r="C73"/>
  <c r="D73"/>
  <c r="E73"/>
  <c r="F73"/>
  <c r="G73"/>
  <c r="H73"/>
  <c r="I73"/>
  <c r="J73"/>
  <c r="K73"/>
  <c r="L73"/>
  <c r="M73"/>
  <c r="N73"/>
  <c r="O73"/>
  <c r="P73"/>
  <c r="Q73"/>
  <c r="C54"/>
  <c r="D54"/>
  <c r="E54"/>
  <c r="F54"/>
  <c r="G54"/>
  <c r="H54"/>
  <c r="I54"/>
  <c r="J54"/>
  <c r="K54"/>
  <c r="L54"/>
  <c r="M54"/>
  <c r="N54"/>
  <c r="O54"/>
  <c r="P54"/>
  <c r="Q54"/>
  <c r="C137"/>
  <c r="D137"/>
  <c r="E137"/>
  <c r="F137"/>
  <c r="G137"/>
  <c r="H137"/>
  <c r="I137"/>
  <c r="J137"/>
  <c r="K137"/>
  <c r="L137"/>
  <c r="M137"/>
  <c r="N137"/>
  <c r="O137"/>
  <c r="P137"/>
  <c r="Q137"/>
  <c r="C27"/>
  <c r="D27"/>
  <c r="E27"/>
  <c r="F27"/>
  <c r="G27"/>
  <c r="H27"/>
  <c r="I27"/>
  <c r="J27"/>
  <c r="K27"/>
  <c r="L27"/>
  <c r="M27"/>
  <c r="N27"/>
  <c r="O27"/>
  <c r="P27"/>
  <c r="Q27"/>
  <c r="C102"/>
  <c r="D102"/>
  <c r="E102"/>
  <c r="F102"/>
  <c r="G102"/>
  <c r="H102"/>
  <c r="I102"/>
  <c r="J102"/>
  <c r="K102"/>
  <c r="L102"/>
  <c r="M102"/>
  <c r="N102"/>
  <c r="O102"/>
  <c r="P102"/>
  <c r="Q102"/>
  <c r="C68"/>
  <c r="D68"/>
  <c r="E68"/>
  <c r="F68"/>
  <c r="G68"/>
  <c r="H68"/>
  <c r="I68"/>
  <c r="J68"/>
  <c r="K68"/>
  <c r="L68"/>
  <c r="M68"/>
  <c r="N68"/>
  <c r="O68"/>
  <c r="P68"/>
  <c r="Q68"/>
  <c r="C46"/>
  <c r="D46"/>
  <c r="E46"/>
  <c r="F46"/>
  <c r="G46"/>
  <c r="H46"/>
  <c r="I46"/>
  <c r="J46"/>
  <c r="K46"/>
  <c r="L46"/>
  <c r="M46"/>
  <c r="N46"/>
  <c r="O46"/>
  <c r="P46"/>
  <c r="Q46"/>
  <c r="C141"/>
  <c r="D141"/>
  <c r="E141"/>
  <c r="F141"/>
  <c r="G141"/>
  <c r="H141"/>
  <c r="I141"/>
  <c r="J141"/>
  <c r="K141"/>
  <c r="L141"/>
  <c r="M141"/>
  <c r="N141"/>
  <c r="O141"/>
  <c r="P141"/>
  <c r="Q141"/>
  <c r="C94"/>
  <c r="D94"/>
  <c r="E94"/>
  <c r="F94"/>
  <c r="G94"/>
  <c r="H94"/>
  <c r="I94"/>
  <c r="J94"/>
  <c r="K94"/>
  <c r="L94"/>
  <c r="M94"/>
  <c r="N94"/>
  <c r="O94"/>
  <c r="P94"/>
  <c r="Q94"/>
  <c r="C113"/>
  <c r="D113"/>
  <c r="E113"/>
  <c r="F113"/>
  <c r="G113"/>
  <c r="H113"/>
  <c r="I113"/>
  <c r="J113"/>
  <c r="K113"/>
  <c r="L113"/>
  <c r="M113"/>
  <c r="N113"/>
  <c r="O113"/>
  <c r="P113"/>
  <c r="Q113"/>
  <c r="C100"/>
  <c r="D100"/>
  <c r="E100"/>
  <c r="F100"/>
  <c r="G100"/>
  <c r="H100"/>
  <c r="I100"/>
  <c r="J100"/>
  <c r="K100"/>
  <c r="L100"/>
  <c r="M100"/>
  <c r="N100"/>
  <c r="O100"/>
  <c r="P100"/>
  <c r="Q100"/>
  <c r="C41"/>
  <c r="D41"/>
  <c r="E41"/>
  <c r="F41"/>
  <c r="G41"/>
  <c r="H41"/>
  <c r="I41"/>
  <c r="J41"/>
  <c r="K41"/>
  <c r="L41"/>
  <c r="M41"/>
  <c r="N41"/>
  <c r="O41"/>
  <c r="P41"/>
  <c r="Q41"/>
  <c r="C118"/>
  <c r="D118"/>
  <c r="E118"/>
  <c r="F118"/>
  <c r="G118"/>
  <c r="H118"/>
  <c r="I118"/>
  <c r="J118"/>
  <c r="K118"/>
  <c r="L118"/>
  <c r="M118"/>
  <c r="N118"/>
  <c r="O118"/>
  <c r="P118"/>
  <c r="Q118"/>
  <c r="C97"/>
  <c r="D97"/>
  <c r="E97"/>
  <c r="F97"/>
  <c r="G97"/>
  <c r="H97"/>
  <c r="I97"/>
  <c r="J97"/>
  <c r="K97"/>
  <c r="L97"/>
  <c r="M97"/>
  <c r="N97"/>
  <c r="O97"/>
  <c r="P97"/>
  <c r="Q97"/>
  <c r="C61"/>
  <c r="D61"/>
  <c r="E61"/>
  <c r="F61"/>
  <c r="G61"/>
  <c r="H61"/>
  <c r="I61"/>
  <c r="J61"/>
  <c r="K61"/>
  <c r="L61"/>
  <c r="M61"/>
  <c r="N61"/>
  <c r="O61"/>
  <c r="P61"/>
  <c r="Q61"/>
  <c r="C88"/>
  <c r="D88"/>
  <c r="E88"/>
  <c r="F88"/>
  <c r="G88"/>
  <c r="H88"/>
  <c r="I88"/>
  <c r="J88"/>
  <c r="K88"/>
  <c r="L88"/>
  <c r="M88"/>
  <c r="N88"/>
  <c r="O88"/>
  <c r="P88"/>
  <c r="Q88"/>
  <c r="C9"/>
  <c r="D9"/>
  <c r="E9"/>
  <c r="F9"/>
  <c r="G9"/>
  <c r="H9"/>
  <c r="I9"/>
  <c r="J9"/>
  <c r="K9"/>
  <c r="L9"/>
  <c r="M9"/>
  <c r="N9"/>
  <c r="O9"/>
  <c r="P9"/>
  <c r="Q9"/>
  <c r="C133"/>
  <c r="D133"/>
  <c r="E133"/>
  <c r="F133"/>
  <c r="G133"/>
  <c r="H133"/>
  <c r="I133"/>
  <c r="J133"/>
  <c r="K133"/>
  <c r="L133"/>
  <c r="M133"/>
  <c r="N133"/>
  <c r="O133"/>
  <c r="P133"/>
  <c r="Q133"/>
  <c r="C26"/>
  <c r="D26"/>
  <c r="E26"/>
  <c r="F26"/>
  <c r="G26"/>
  <c r="H26"/>
  <c r="I26"/>
  <c r="J26"/>
  <c r="K26"/>
  <c r="L26"/>
  <c r="M26"/>
  <c r="N26"/>
  <c r="O26"/>
  <c r="P26"/>
  <c r="Q26"/>
  <c r="C43"/>
  <c r="D43"/>
  <c r="E43"/>
  <c r="F43"/>
  <c r="G43"/>
  <c r="H43"/>
  <c r="I43"/>
  <c r="J43"/>
  <c r="K43"/>
  <c r="L43"/>
  <c r="M43"/>
  <c r="N43"/>
  <c r="O43"/>
  <c r="P43"/>
  <c r="Q43"/>
  <c r="C67"/>
  <c r="D67"/>
  <c r="E67"/>
  <c r="F67"/>
  <c r="G67"/>
  <c r="H67"/>
  <c r="I67"/>
  <c r="J67"/>
  <c r="K67"/>
  <c r="L67"/>
  <c r="M67"/>
  <c r="N67"/>
  <c r="O67"/>
  <c r="P67"/>
  <c r="Q67"/>
  <c r="C101"/>
  <c r="D101"/>
  <c r="E101"/>
  <c r="F101"/>
  <c r="G101"/>
  <c r="H101"/>
  <c r="I101"/>
  <c r="J101"/>
  <c r="K101"/>
  <c r="L101"/>
  <c r="M101"/>
  <c r="N101"/>
  <c r="O101"/>
  <c r="P101"/>
  <c r="Q101"/>
  <c r="C99"/>
  <c r="D99"/>
  <c r="E99"/>
  <c r="F99"/>
  <c r="G99"/>
  <c r="H99"/>
  <c r="I99"/>
  <c r="J99"/>
  <c r="K99"/>
  <c r="L99"/>
  <c r="M99"/>
  <c r="N99"/>
  <c r="O99"/>
  <c r="P99"/>
  <c r="Q99"/>
  <c r="C74"/>
  <c r="D74"/>
  <c r="E74"/>
  <c r="F74"/>
  <c r="G74"/>
  <c r="H74"/>
  <c r="I74"/>
  <c r="J74"/>
  <c r="K74"/>
  <c r="L74"/>
  <c r="M74"/>
  <c r="N74"/>
  <c r="O74"/>
  <c r="P74"/>
  <c r="Q74"/>
  <c r="C63"/>
  <c r="D63"/>
  <c r="E63"/>
  <c r="F63"/>
  <c r="G63"/>
  <c r="H63"/>
  <c r="I63"/>
  <c r="J63"/>
  <c r="K63"/>
  <c r="L63"/>
  <c r="M63"/>
  <c r="N63"/>
  <c r="O63"/>
  <c r="P63"/>
  <c r="Q63"/>
  <c r="C36"/>
  <c r="D36"/>
  <c r="E36"/>
  <c r="F36"/>
  <c r="G36"/>
  <c r="H36"/>
  <c r="I36"/>
  <c r="J36"/>
  <c r="K36"/>
  <c r="L36"/>
  <c r="M36"/>
  <c r="N36"/>
  <c r="O36"/>
  <c r="P36"/>
  <c r="Q36"/>
  <c r="C125"/>
  <c r="D125"/>
  <c r="E125"/>
  <c r="F125"/>
  <c r="G125"/>
  <c r="H125"/>
  <c r="I125"/>
  <c r="J125"/>
  <c r="K125"/>
  <c r="L125"/>
  <c r="M125"/>
  <c r="N125"/>
  <c r="O125"/>
  <c r="P125"/>
  <c r="Q125"/>
  <c r="C45"/>
  <c r="D45"/>
  <c r="E45"/>
  <c r="F45"/>
  <c r="G45"/>
  <c r="H45"/>
  <c r="I45"/>
  <c r="J45"/>
  <c r="K45"/>
  <c r="L45"/>
  <c r="M45"/>
  <c r="N45"/>
  <c r="O45"/>
  <c r="P45"/>
  <c r="Q45"/>
  <c r="C15"/>
  <c r="D15"/>
  <c r="E15"/>
  <c r="F15"/>
  <c r="G15"/>
  <c r="H15"/>
  <c r="I15"/>
  <c r="J15"/>
  <c r="K15"/>
  <c r="L15"/>
  <c r="M15"/>
  <c r="N15"/>
  <c r="O15"/>
  <c r="P15"/>
  <c r="Q15"/>
  <c r="C53"/>
  <c r="D53"/>
  <c r="E53"/>
  <c r="F53"/>
  <c r="G53"/>
  <c r="H53"/>
  <c r="I53"/>
  <c r="J53"/>
  <c r="K53"/>
  <c r="L53"/>
  <c r="M53"/>
  <c r="N53"/>
  <c r="O53"/>
  <c r="P53"/>
  <c r="Q53"/>
  <c r="C126"/>
  <c r="D126"/>
  <c r="E126"/>
  <c r="F126"/>
  <c r="G126"/>
  <c r="H126"/>
  <c r="I126"/>
  <c r="J126"/>
  <c r="K126"/>
  <c r="L126"/>
  <c r="M126"/>
  <c r="N126"/>
  <c r="O126"/>
  <c r="P126"/>
  <c r="Q126"/>
  <c r="C96"/>
  <c r="D96"/>
  <c r="E96"/>
  <c r="F96"/>
  <c r="G96"/>
  <c r="H96"/>
  <c r="I96"/>
  <c r="J96"/>
  <c r="K96"/>
  <c r="L96"/>
  <c r="M96"/>
  <c r="N96"/>
  <c r="O96"/>
  <c r="P96"/>
  <c r="Q96"/>
  <c r="C69"/>
  <c r="D69"/>
  <c r="E69"/>
  <c r="F69"/>
  <c r="G69"/>
  <c r="H69"/>
  <c r="I69"/>
  <c r="J69"/>
  <c r="K69"/>
  <c r="L69"/>
  <c r="M69"/>
  <c r="N69"/>
  <c r="O69"/>
  <c r="P69"/>
  <c r="Q69"/>
  <c r="C114"/>
  <c r="D114"/>
  <c r="E114"/>
  <c r="F114"/>
  <c r="G114"/>
  <c r="H114"/>
  <c r="I114"/>
  <c r="J114"/>
  <c r="K114"/>
  <c r="L114"/>
  <c r="M114"/>
  <c r="N114"/>
  <c r="O114"/>
  <c r="P114"/>
  <c r="Q114"/>
  <c r="C4"/>
  <c r="D4"/>
  <c r="E4"/>
  <c r="F4"/>
  <c r="G4"/>
  <c r="H4"/>
  <c r="I4"/>
  <c r="J4"/>
  <c r="K4"/>
  <c r="L4"/>
  <c r="M4"/>
  <c r="N4"/>
  <c r="O4"/>
  <c r="P4"/>
  <c r="Q4"/>
  <c r="C124"/>
  <c r="D124"/>
  <c r="E124"/>
  <c r="F124"/>
  <c r="G124"/>
  <c r="H124"/>
  <c r="I124"/>
  <c r="J124"/>
  <c r="K124"/>
  <c r="L124"/>
  <c r="M124"/>
  <c r="N124"/>
  <c r="O124"/>
  <c r="P124"/>
  <c r="Q124"/>
  <c r="C5"/>
  <c r="D5"/>
  <c r="E5"/>
  <c r="F5"/>
  <c r="G5"/>
  <c r="H5"/>
  <c r="I5"/>
  <c r="J5"/>
  <c r="K5"/>
  <c r="L5"/>
  <c r="M5"/>
  <c r="N5"/>
  <c r="O5"/>
  <c r="P5"/>
  <c r="Q5"/>
  <c r="C17"/>
  <c r="D17"/>
  <c r="E17"/>
  <c r="F17"/>
  <c r="G17"/>
  <c r="H17"/>
  <c r="I17"/>
  <c r="J17"/>
  <c r="K17"/>
  <c r="L17"/>
  <c r="M17"/>
  <c r="N17"/>
  <c r="O17"/>
  <c r="P17"/>
  <c r="Q17"/>
  <c r="C120"/>
  <c r="D120"/>
  <c r="E120"/>
  <c r="F120"/>
  <c r="G120"/>
  <c r="H120"/>
  <c r="I120"/>
  <c r="J120"/>
  <c r="K120"/>
  <c r="L120"/>
  <c r="M120"/>
  <c r="N120"/>
  <c r="O120"/>
  <c r="P120"/>
  <c r="Q120"/>
  <c r="C110"/>
  <c r="D110"/>
  <c r="E110"/>
  <c r="F110"/>
  <c r="G110"/>
  <c r="H110"/>
  <c r="I110"/>
  <c r="J110"/>
  <c r="K110"/>
  <c r="L110"/>
  <c r="M110"/>
  <c r="N110"/>
  <c r="O110"/>
  <c r="P110"/>
  <c r="Q110"/>
  <c r="C29"/>
  <c r="D29"/>
  <c r="E29"/>
  <c r="F29"/>
  <c r="G29"/>
  <c r="H29"/>
  <c r="I29"/>
  <c r="J29"/>
  <c r="K29"/>
  <c r="L29"/>
  <c r="M29"/>
  <c r="N29"/>
  <c r="O29"/>
  <c r="P29"/>
  <c r="Q29"/>
  <c r="C109"/>
  <c r="D109"/>
  <c r="E109"/>
  <c r="F109"/>
  <c r="G109"/>
  <c r="H109"/>
  <c r="I109"/>
  <c r="J109"/>
  <c r="K109"/>
  <c r="L109"/>
  <c r="M109"/>
  <c r="N109"/>
  <c r="O109"/>
  <c r="P109"/>
  <c r="Q109"/>
  <c r="C77"/>
  <c r="D77"/>
  <c r="E77"/>
  <c r="F77"/>
  <c r="G77"/>
  <c r="H77"/>
  <c r="I77"/>
  <c r="J77"/>
  <c r="K77"/>
  <c r="L77"/>
  <c r="M77"/>
  <c r="N77"/>
  <c r="O77"/>
  <c r="P77"/>
  <c r="Q77"/>
  <c r="C44"/>
  <c r="D44"/>
  <c r="E44"/>
  <c r="F44"/>
  <c r="G44"/>
  <c r="H44"/>
  <c r="I44"/>
  <c r="J44"/>
  <c r="K44"/>
  <c r="L44"/>
  <c r="M44"/>
  <c r="N44"/>
  <c r="O44"/>
  <c r="P44"/>
  <c r="Q44"/>
  <c r="C48"/>
  <c r="D48"/>
  <c r="E48"/>
  <c r="F48"/>
  <c r="G48"/>
  <c r="H48"/>
  <c r="I48"/>
  <c r="J48"/>
  <c r="K48"/>
  <c r="L48"/>
  <c r="M48"/>
  <c r="N48"/>
  <c r="O48"/>
  <c r="P48"/>
  <c r="Q48"/>
  <c r="C128"/>
  <c r="D128"/>
  <c r="E128"/>
  <c r="F128"/>
  <c r="G128"/>
  <c r="H128"/>
  <c r="I128"/>
  <c r="J128"/>
  <c r="K128"/>
  <c r="L128"/>
  <c r="M128"/>
  <c r="N128"/>
  <c r="O128"/>
  <c r="P128"/>
  <c r="Q128"/>
  <c r="C60"/>
  <c r="D60"/>
  <c r="E60"/>
  <c r="F60"/>
  <c r="G60"/>
  <c r="H60"/>
  <c r="I60"/>
  <c r="J60"/>
  <c r="K60"/>
  <c r="L60"/>
  <c r="M60"/>
  <c r="N60"/>
  <c r="O60"/>
  <c r="P60"/>
  <c r="Q60"/>
  <c r="C30"/>
  <c r="D30"/>
  <c r="E30"/>
  <c r="F30"/>
  <c r="G30"/>
  <c r="H30"/>
  <c r="I30"/>
  <c r="J30"/>
  <c r="K30"/>
  <c r="L30"/>
  <c r="M30"/>
  <c r="N30"/>
  <c r="O30"/>
  <c r="P30"/>
  <c r="Q30"/>
  <c r="C72"/>
  <c r="D72"/>
  <c r="E72"/>
  <c r="F72"/>
  <c r="G72"/>
  <c r="H72"/>
  <c r="I72"/>
  <c r="J72"/>
  <c r="K72"/>
  <c r="L72"/>
  <c r="M72"/>
  <c r="N72"/>
  <c r="O72"/>
  <c r="P72"/>
  <c r="Q72"/>
  <c r="C108"/>
  <c r="D108"/>
  <c r="E108"/>
  <c r="F108"/>
  <c r="G108"/>
  <c r="H108"/>
  <c r="I108"/>
  <c r="J108"/>
  <c r="K108"/>
  <c r="L108"/>
  <c r="M108"/>
  <c r="N108"/>
  <c r="O108"/>
  <c r="P108"/>
  <c r="Q108"/>
  <c r="C16"/>
  <c r="D16"/>
  <c r="E16"/>
  <c r="F16"/>
  <c r="G16"/>
  <c r="H16"/>
  <c r="I16"/>
  <c r="J16"/>
  <c r="K16"/>
  <c r="L16"/>
  <c r="M16"/>
  <c r="N16"/>
  <c r="O16"/>
  <c r="P16"/>
  <c r="Q16"/>
  <c r="C127"/>
  <c r="D127"/>
  <c r="E127"/>
  <c r="F127"/>
  <c r="G127"/>
  <c r="H127"/>
  <c r="I127"/>
  <c r="J127"/>
  <c r="K127"/>
  <c r="L127"/>
  <c r="M127"/>
  <c r="N127"/>
  <c r="O127"/>
  <c r="P127"/>
  <c r="Q127"/>
  <c r="C129"/>
  <c r="D129"/>
  <c r="E129"/>
  <c r="F129"/>
  <c r="G129"/>
  <c r="H129"/>
  <c r="I129"/>
  <c r="J129"/>
  <c r="K129"/>
  <c r="L129"/>
  <c r="M129"/>
  <c r="N129"/>
  <c r="O129"/>
  <c r="P129"/>
  <c r="Q129"/>
  <c r="C51"/>
  <c r="D51"/>
  <c r="E51"/>
  <c r="F51"/>
  <c r="G51"/>
  <c r="H51"/>
  <c r="I51"/>
  <c r="J51"/>
  <c r="K51"/>
  <c r="L51"/>
  <c r="M51"/>
  <c r="N51"/>
  <c r="O51"/>
  <c r="P51"/>
  <c r="Q51"/>
  <c r="C47"/>
  <c r="D47"/>
  <c r="E47"/>
  <c r="F47"/>
  <c r="G47"/>
  <c r="H47"/>
  <c r="I47"/>
  <c r="J47"/>
  <c r="K47"/>
  <c r="L47"/>
  <c r="M47"/>
  <c r="N47"/>
  <c r="O47"/>
  <c r="P47"/>
  <c r="Q47"/>
  <c r="C98"/>
  <c r="D98"/>
  <c r="E98"/>
  <c r="F98"/>
  <c r="G98"/>
  <c r="H98"/>
  <c r="I98"/>
  <c r="J98"/>
  <c r="K98"/>
  <c r="L98"/>
  <c r="M98"/>
  <c r="N98"/>
  <c r="O98"/>
  <c r="P98"/>
  <c r="Q98"/>
  <c r="C33"/>
  <c r="D33"/>
  <c r="E33"/>
  <c r="F33"/>
  <c r="G33"/>
  <c r="H33"/>
  <c r="I33"/>
  <c r="J33"/>
  <c r="K33"/>
  <c r="L33"/>
  <c r="M33"/>
  <c r="N33"/>
  <c r="O33"/>
  <c r="P33"/>
  <c r="Q33"/>
  <c r="C84"/>
  <c r="D84"/>
  <c r="E84"/>
  <c r="F84"/>
  <c r="G84"/>
  <c r="H84"/>
  <c r="I84"/>
  <c r="J84"/>
  <c r="K84"/>
  <c r="L84"/>
  <c r="M84"/>
  <c r="N84"/>
  <c r="O84"/>
  <c r="P84"/>
  <c r="Q84"/>
  <c r="C111"/>
  <c r="D111"/>
  <c r="E111"/>
  <c r="F111"/>
  <c r="G111"/>
  <c r="H111"/>
  <c r="I111"/>
  <c r="J111"/>
  <c r="K111"/>
  <c r="L111"/>
  <c r="M111"/>
  <c r="N111"/>
  <c r="O111"/>
  <c r="P111"/>
  <c r="Q111"/>
  <c r="C95"/>
  <c r="D95"/>
  <c r="E95"/>
  <c r="F95"/>
  <c r="G95"/>
  <c r="H95"/>
  <c r="I95"/>
  <c r="J95"/>
  <c r="K95"/>
  <c r="L95"/>
  <c r="M95"/>
  <c r="N95"/>
  <c r="O95"/>
  <c r="P95"/>
  <c r="Q95"/>
  <c r="C136"/>
  <c r="D136"/>
  <c r="E136"/>
  <c r="F136"/>
  <c r="G136"/>
  <c r="H136"/>
  <c r="I136"/>
  <c r="J136"/>
  <c r="K136"/>
  <c r="L136"/>
  <c r="M136"/>
  <c r="N136"/>
  <c r="O136"/>
  <c r="P136"/>
  <c r="Q136"/>
  <c r="C104"/>
  <c r="D104"/>
  <c r="E104"/>
  <c r="F104"/>
  <c r="G104"/>
  <c r="H104"/>
  <c r="I104"/>
  <c r="J104"/>
  <c r="K104"/>
  <c r="L104"/>
  <c r="M104"/>
  <c r="N104"/>
  <c r="O104"/>
  <c r="P104"/>
  <c r="Q104"/>
  <c r="C107"/>
  <c r="D107"/>
  <c r="E107"/>
  <c r="F107"/>
  <c r="G107"/>
  <c r="H107"/>
  <c r="I107"/>
  <c r="J107"/>
  <c r="K107"/>
  <c r="L107"/>
  <c r="M107"/>
  <c r="N107"/>
  <c r="O107"/>
  <c r="P107"/>
  <c r="Q107"/>
  <c r="C28"/>
  <c r="D28"/>
  <c r="E28"/>
  <c r="F28"/>
  <c r="G28"/>
  <c r="H28"/>
  <c r="I28"/>
  <c r="J28"/>
  <c r="K28"/>
  <c r="L28"/>
  <c r="M28"/>
  <c r="N28"/>
  <c r="O28"/>
  <c r="P28"/>
  <c r="Q28"/>
  <c r="C112"/>
  <c r="D112"/>
  <c r="E112"/>
  <c r="F112"/>
  <c r="G112"/>
  <c r="H112"/>
  <c r="I112"/>
  <c r="J112"/>
  <c r="K112"/>
  <c r="L112"/>
  <c r="M112"/>
  <c r="N112"/>
  <c r="O112"/>
  <c r="P112"/>
  <c r="Q112"/>
  <c r="C105"/>
  <c r="D105"/>
  <c r="E105"/>
  <c r="F105"/>
  <c r="G105"/>
  <c r="H105"/>
  <c r="I105"/>
  <c r="J105"/>
  <c r="K105"/>
  <c r="L105"/>
  <c r="M105"/>
  <c r="N105"/>
  <c r="O105"/>
  <c r="P105"/>
  <c r="Q105"/>
  <c r="C75"/>
  <c r="D75"/>
  <c r="E75"/>
  <c r="F75"/>
  <c r="G75"/>
  <c r="H75"/>
  <c r="I75"/>
  <c r="J75"/>
  <c r="K75"/>
  <c r="L75"/>
  <c r="M75"/>
  <c r="N75"/>
  <c r="O75"/>
  <c r="P75"/>
  <c r="Q75"/>
  <c r="C35"/>
  <c r="D35"/>
  <c r="E35"/>
  <c r="F35"/>
  <c r="G35"/>
  <c r="H35"/>
  <c r="I35"/>
  <c r="J35"/>
  <c r="K35"/>
  <c r="L35"/>
  <c r="M35"/>
  <c r="N35"/>
  <c r="O35"/>
  <c r="P35"/>
  <c r="Q35"/>
  <c r="C81"/>
  <c r="D81"/>
  <c r="E81"/>
  <c r="F81"/>
  <c r="G81"/>
  <c r="H81"/>
  <c r="I81"/>
  <c r="J81"/>
  <c r="K81"/>
  <c r="L81"/>
  <c r="M81"/>
  <c r="N81"/>
  <c r="O81"/>
  <c r="P81"/>
  <c r="Q81"/>
  <c r="C25"/>
  <c r="D25"/>
  <c r="E25"/>
  <c r="F25"/>
  <c r="G25"/>
  <c r="H25"/>
  <c r="I25"/>
  <c r="J25"/>
  <c r="K25"/>
  <c r="L25"/>
  <c r="M25"/>
  <c r="N25"/>
  <c r="O25"/>
  <c r="P25"/>
  <c r="Q25"/>
  <c r="C21"/>
  <c r="D21"/>
  <c r="E21"/>
  <c r="F21"/>
  <c r="G21"/>
  <c r="H21"/>
  <c r="I21"/>
  <c r="J21"/>
  <c r="K21"/>
  <c r="L21"/>
  <c r="M21"/>
  <c r="N21"/>
  <c r="O21"/>
  <c r="P21"/>
  <c r="Q21"/>
  <c r="C134"/>
  <c r="D134"/>
  <c r="E134"/>
  <c r="F134"/>
  <c r="G134"/>
  <c r="H134"/>
  <c r="I134"/>
  <c r="J134"/>
  <c r="K134"/>
  <c r="L134"/>
  <c r="M134"/>
  <c r="N134"/>
  <c r="O134"/>
  <c r="P134"/>
  <c r="Q134"/>
  <c r="C132"/>
  <c r="D132"/>
  <c r="E132"/>
  <c r="F132"/>
  <c r="G132"/>
  <c r="H132"/>
  <c r="I132"/>
  <c r="J132"/>
  <c r="K132"/>
  <c r="L132"/>
  <c r="M132"/>
  <c r="N132"/>
  <c r="O132"/>
  <c r="P132"/>
  <c r="Q132"/>
  <c r="C116"/>
  <c r="D116"/>
  <c r="E116"/>
  <c r="F116"/>
  <c r="G116"/>
  <c r="H116"/>
  <c r="I116"/>
  <c r="J116"/>
  <c r="K116"/>
  <c r="L116"/>
  <c r="M116"/>
  <c r="N116"/>
  <c r="O116"/>
  <c r="P116"/>
  <c r="Q116"/>
  <c r="C115"/>
  <c r="D115"/>
  <c r="E115"/>
  <c r="F115"/>
  <c r="G115"/>
  <c r="H115"/>
  <c r="I115"/>
  <c r="J115"/>
  <c r="K115"/>
  <c r="L115"/>
  <c r="M115"/>
  <c r="N115"/>
  <c r="O115"/>
  <c r="P115"/>
  <c r="Q115"/>
  <c r="C55"/>
  <c r="D55"/>
  <c r="E55"/>
  <c r="F55"/>
  <c r="G55"/>
  <c r="H55"/>
  <c r="I55"/>
  <c r="J55"/>
  <c r="K55"/>
  <c r="L55"/>
  <c r="M55"/>
  <c r="N55"/>
  <c r="O55"/>
  <c r="P55"/>
  <c r="Q55"/>
  <c r="C106"/>
  <c r="D106"/>
  <c r="E106"/>
  <c r="F106"/>
  <c r="G106"/>
  <c r="H106"/>
  <c r="I106"/>
  <c r="J106"/>
  <c r="K106"/>
  <c r="L106"/>
  <c r="M106"/>
  <c r="N106"/>
  <c r="O106"/>
  <c r="P106"/>
  <c r="Q106"/>
  <c r="C82"/>
  <c r="D82"/>
  <c r="E82"/>
  <c r="F82"/>
  <c r="G82"/>
  <c r="H82"/>
  <c r="I82"/>
  <c r="J82"/>
  <c r="K82"/>
  <c r="L82"/>
  <c r="M82"/>
  <c r="N82"/>
  <c r="O82"/>
  <c r="P82"/>
  <c r="Q82"/>
  <c r="C13"/>
  <c r="D13"/>
  <c r="E13"/>
  <c r="F13"/>
  <c r="G13"/>
  <c r="H13"/>
  <c r="I13"/>
  <c r="J13"/>
  <c r="K13"/>
  <c r="L13"/>
  <c r="M13"/>
  <c r="N13"/>
  <c r="O13"/>
  <c r="P13"/>
  <c r="Q13"/>
  <c r="C103"/>
  <c r="D103"/>
  <c r="E103"/>
  <c r="F103"/>
  <c r="G103"/>
  <c r="H103"/>
  <c r="I103"/>
  <c r="J103"/>
  <c r="K103"/>
  <c r="L103"/>
  <c r="M103"/>
  <c r="N103"/>
  <c r="O103"/>
  <c r="P103"/>
  <c r="Q103"/>
  <c r="C93"/>
  <c r="D93"/>
  <c r="E93"/>
  <c r="F93"/>
  <c r="G93"/>
  <c r="H93"/>
  <c r="I93"/>
  <c r="J93"/>
  <c r="K93"/>
  <c r="L93"/>
  <c r="M93"/>
  <c r="N93"/>
  <c r="O93"/>
  <c r="P93"/>
  <c r="Q93"/>
  <c r="C57"/>
  <c r="D57"/>
  <c r="E57"/>
  <c r="F57"/>
  <c r="G57"/>
  <c r="H57"/>
  <c r="I57"/>
  <c r="J57"/>
  <c r="K57"/>
  <c r="L57"/>
  <c r="M57"/>
  <c r="N57"/>
  <c r="O57"/>
  <c r="P57"/>
  <c r="Q57"/>
  <c r="C6"/>
  <c r="D6"/>
  <c r="E6"/>
  <c r="F6"/>
  <c r="G6"/>
  <c r="H6"/>
  <c r="I6"/>
  <c r="J6"/>
  <c r="K6"/>
  <c r="L6"/>
  <c r="M6"/>
  <c r="N6"/>
  <c r="O6"/>
  <c r="P6"/>
  <c r="Q6"/>
  <c r="C78"/>
  <c r="D78"/>
  <c r="E78"/>
  <c r="F78"/>
  <c r="G78"/>
  <c r="H78"/>
  <c r="I78"/>
  <c r="J78"/>
  <c r="K78"/>
  <c r="L78"/>
  <c r="M78"/>
  <c r="N78"/>
  <c r="O78"/>
  <c r="P78"/>
  <c r="Q78"/>
  <c r="C18"/>
  <c r="D18"/>
  <c r="E18"/>
  <c r="F18"/>
  <c r="G18"/>
  <c r="H18"/>
  <c r="I18"/>
  <c r="J18"/>
  <c r="K18"/>
  <c r="L18"/>
  <c r="M18"/>
  <c r="N18"/>
  <c r="O18"/>
  <c r="P18"/>
  <c r="Q18"/>
  <c r="C130"/>
  <c r="D130"/>
  <c r="E130"/>
  <c r="F130"/>
  <c r="G130"/>
  <c r="H130"/>
  <c r="I130"/>
  <c r="J130"/>
  <c r="K130"/>
  <c r="L130"/>
  <c r="M130"/>
  <c r="N130"/>
  <c r="O130"/>
  <c r="P130"/>
  <c r="Q130"/>
  <c r="C56"/>
  <c r="D56"/>
  <c r="E56"/>
  <c r="F56"/>
  <c r="G56"/>
  <c r="H56"/>
  <c r="I56"/>
  <c r="J56"/>
  <c r="K56"/>
  <c r="L56"/>
  <c r="M56"/>
  <c r="N56"/>
  <c r="O56"/>
  <c r="P56"/>
  <c r="Q56"/>
  <c r="C87"/>
  <c r="D87"/>
  <c r="E87"/>
  <c r="F87"/>
  <c r="G87"/>
  <c r="H87"/>
  <c r="I87"/>
  <c r="J87"/>
  <c r="K87"/>
  <c r="L87"/>
  <c r="M87"/>
  <c r="N87"/>
  <c r="O87"/>
  <c r="P87"/>
  <c r="Q87"/>
  <c r="C83"/>
  <c r="D83"/>
  <c r="E83"/>
  <c r="F83"/>
  <c r="G83"/>
  <c r="H83"/>
  <c r="I83"/>
  <c r="J83"/>
  <c r="K83"/>
  <c r="L83"/>
  <c r="M83"/>
  <c r="N83"/>
  <c r="O83"/>
  <c r="P83"/>
  <c r="Q83"/>
  <c r="C39"/>
  <c r="D39"/>
  <c r="E39"/>
  <c r="F39"/>
  <c r="G39"/>
  <c r="H39"/>
  <c r="I39"/>
  <c r="J39"/>
  <c r="K39"/>
  <c r="L39"/>
  <c r="M39"/>
  <c r="N39"/>
  <c r="O39"/>
  <c r="P39"/>
  <c r="Q39"/>
  <c r="C19"/>
  <c r="D19"/>
  <c r="E19"/>
  <c r="F19"/>
  <c r="G19"/>
  <c r="H19"/>
  <c r="I19"/>
  <c r="J19"/>
  <c r="K19"/>
  <c r="L19"/>
  <c r="M19"/>
  <c r="N19"/>
  <c r="O19"/>
  <c r="P19"/>
  <c r="Q19"/>
  <c r="C3"/>
  <c r="D3"/>
  <c r="E3"/>
  <c r="F3"/>
  <c r="G3"/>
  <c r="H3"/>
  <c r="I3"/>
  <c r="J3"/>
  <c r="K3"/>
  <c r="L3"/>
  <c r="M3"/>
  <c r="N3"/>
  <c r="O3"/>
  <c r="P3"/>
  <c r="Q3"/>
  <c r="C12"/>
  <c r="D12"/>
  <c r="E12"/>
  <c r="F12"/>
  <c r="G12"/>
  <c r="H12"/>
  <c r="I12"/>
  <c r="J12"/>
  <c r="K12"/>
  <c r="L12"/>
  <c r="M12"/>
  <c r="N12"/>
  <c r="O12"/>
  <c r="P12"/>
  <c r="Q12"/>
  <c r="C86"/>
  <c r="D86"/>
  <c r="E86"/>
  <c r="F86"/>
  <c r="G86"/>
  <c r="H86"/>
  <c r="I86"/>
  <c r="J86"/>
  <c r="K86"/>
  <c r="L86"/>
  <c r="M86"/>
  <c r="N86"/>
  <c r="O86"/>
  <c r="P86"/>
  <c r="Q86"/>
  <c r="C71"/>
  <c r="D71"/>
  <c r="E71"/>
  <c r="F71"/>
  <c r="G71"/>
  <c r="H71"/>
  <c r="I71"/>
  <c r="J71"/>
  <c r="K71"/>
  <c r="L71"/>
  <c r="M71"/>
  <c r="N71"/>
  <c r="O71"/>
  <c r="P71"/>
  <c r="Q71"/>
  <c r="C38"/>
  <c r="D38"/>
  <c r="E38"/>
  <c r="F38"/>
  <c r="G38"/>
  <c r="H38"/>
  <c r="I38"/>
  <c r="J38"/>
  <c r="K38"/>
  <c r="L38"/>
  <c r="M38"/>
  <c r="N38"/>
  <c r="O38"/>
  <c r="P38"/>
  <c r="Q38"/>
  <c r="C31"/>
  <c r="D31"/>
  <c r="E31"/>
  <c r="F31"/>
  <c r="G31"/>
  <c r="H31"/>
  <c r="I31"/>
  <c r="J31"/>
  <c r="K31"/>
  <c r="L31"/>
  <c r="M31"/>
  <c r="N31"/>
  <c r="O31"/>
  <c r="P31"/>
  <c r="Q31"/>
  <c r="C23"/>
  <c r="D23"/>
  <c r="E23"/>
  <c r="F23"/>
  <c r="G23"/>
  <c r="H23"/>
  <c r="I23"/>
  <c r="J23"/>
  <c r="K23"/>
  <c r="L23"/>
  <c r="M23"/>
  <c r="N23"/>
  <c r="O23"/>
  <c r="P23"/>
  <c r="Q23"/>
  <c r="C138"/>
  <c r="D138"/>
  <c r="E138"/>
  <c r="F138"/>
  <c r="G138"/>
  <c r="H138"/>
  <c r="I138"/>
  <c r="J138"/>
  <c r="K138"/>
  <c r="L138"/>
  <c r="M138"/>
  <c r="N138"/>
  <c r="O138"/>
  <c r="P138"/>
  <c r="Q138"/>
  <c r="C32"/>
  <c r="D32"/>
  <c r="E32"/>
  <c r="F32"/>
  <c r="G32"/>
  <c r="H32"/>
  <c r="I32"/>
  <c r="J32"/>
  <c r="K32"/>
  <c r="L32"/>
  <c r="M32"/>
  <c r="N32"/>
  <c r="O32"/>
  <c r="P32"/>
  <c r="Q32"/>
  <c r="C70"/>
  <c r="D70"/>
  <c r="E70"/>
  <c r="F70"/>
  <c r="G70"/>
  <c r="H70"/>
  <c r="I70"/>
  <c r="J70"/>
  <c r="K70"/>
  <c r="L70"/>
  <c r="M70"/>
  <c r="N70"/>
  <c r="O70"/>
  <c r="P70"/>
  <c r="Q70"/>
  <c r="C140"/>
  <c r="D140"/>
  <c r="E140"/>
  <c r="F140"/>
  <c r="G140"/>
  <c r="H140"/>
  <c r="I140"/>
  <c r="J140"/>
  <c r="K140"/>
  <c r="L140"/>
  <c r="M140"/>
  <c r="N140"/>
  <c r="O140"/>
  <c r="P140"/>
  <c r="Q140"/>
  <c r="C42"/>
  <c r="D42"/>
  <c r="E42"/>
  <c r="F42"/>
  <c r="G42"/>
  <c r="H42"/>
  <c r="I42"/>
  <c r="J42"/>
  <c r="K42"/>
  <c r="L42"/>
  <c r="M42"/>
  <c r="N42"/>
  <c r="O42"/>
  <c r="P42"/>
  <c r="Q42"/>
  <c r="C59"/>
  <c r="D59"/>
  <c r="E59"/>
  <c r="F59"/>
  <c r="G59"/>
  <c r="H59"/>
  <c r="I59"/>
  <c r="J59"/>
  <c r="K59"/>
  <c r="L59"/>
  <c r="M59"/>
  <c r="N59"/>
  <c r="O59"/>
  <c r="P59"/>
  <c r="Q59"/>
  <c r="C24"/>
  <c r="D24"/>
  <c r="E24"/>
  <c r="F24"/>
  <c r="G24"/>
  <c r="H24"/>
  <c r="I24"/>
  <c r="J24"/>
  <c r="K24"/>
  <c r="L24"/>
  <c r="M24"/>
  <c r="N24"/>
  <c r="O24"/>
  <c r="P24"/>
  <c r="Q24"/>
  <c r="C34"/>
  <c r="D34"/>
  <c r="E34"/>
  <c r="F34"/>
  <c r="G34"/>
  <c r="H34"/>
  <c r="I34"/>
  <c r="J34"/>
  <c r="K34"/>
  <c r="L34"/>
  <c r="M34"/>
  <c r="N34"/>
  <c r="O34"/>
  <c r="P34"/>
  <c r="Q34"/>
  <c r="C10"/>
  <c r="D10"/>
  <c r="E10"/>
  <c r="F10"/>
  <c r="G10"/>
  <c r="H10"/>
  <c r="I10"/>
  <c r="J10"/>
  <c r="K10"/>
  <c r="L10"/>
  <c r="M10"/>
  <c r="N10"/>
  <c r="O10"/>
  <c r="P10"/>
  <c r="Q10"/>
  <c r="C11"/>
  <c r="D11"/>
  <c r="E11"/>
  <c r="F11"/>
  <c r="G11"/>
  <c r="H11"/>
  <c r="I11"/>
  <c r="J11"/>
  <c r="K11"/>
  <c r="L11"/>
  <c r="M11"/>
  <c r="N11"/>
  <c r="O11"/>
  <c r="P11"/>
  <c r="Q11"/>
  <c r="C40"/>
  <c r="D40"/>
  <c r="E40"/>
  <c r="F40"/>
  <c r="G40"/>
  <c r="H40"/>
  <c r="I40"/>
  <c r="J40"/>
  <c r="K40"/>
  <c r="L40"/>
  <c r="M40"/>
  <c r="N40"/>
  <c r="O40"/>
  <c r="P40"/>
  <c r="Q40"/>
  <c r="C20"/>
  <c r="D20"/>
  <c r="E20"/>
  <c r="F20"/>
  <c r="G20"/>
  <c r="H20"/>
  <c r="I20"/>
  <c r="J20"/>
  <c r="K20"/>
  <c r="L20"/>
  <c r="M20"/>
  <c r="N20"/>
  <c r="O20"/>
  <c r="P20"/>
  <c r="Q20"/>
  <c r="C123"/>
  <c r="D123"/>
  <c r="E123"/>
  <c r="F123"/>
  <c r="G123"/>
  <c r="H123"/>
  <c r="I123"/>
  <c r="J123"/>
  <c r="K123"/>
  <c r="L123"/>
  <c r="M123"/>
  <c r="N123"/>
  <c r="O123"/>
  <c r="P123"/>
  <c r="Q123"/>
  <c r="C135"/>
  <c r="D135"/>
  <c r="E135"/>
  <c r="F135"/>
  <c r="G135"/>
  <c r="H135"/>
  <c r="I135"/>
  <c r="J135"/>
  <c r="K135"/>
  <c r="L135"/>
  <c r="M135"/>
  <c r="N135"/>
  <c r="O135"/>
  <c r="P135"/>
  <c r="Q135"/>
  <c r="C22"/>
  <c r="D22"/>
  <c r="E22"/>
  <c r="F22"/>
  <c r="G22"/>
  <c r="H22"/>
  <c r="I22"/>
  <c r="J22"/>
  <c r="K22"/>
  <c r="L22"/>
  <c r="M22"/>
  <c r="N22"/>
  <c r="O22"/>
  <c r="P22"/>
  <c r="Q22"/>
  <c r="C117"/>
  <c r="D117"/>
  <c r="E117"/>
  <c r="F117"/>
  <c r="G117"/>
  <c r="H117"/>
  <c r="I117"/>
  <c r="J117"/>
  <c r="K117"/>
  <c r="L117"/>
  <c r="M117"/>
  <c r="N117"/>
  <c r="O117"/>
  <c r="P117"/>
  <c r="Q117"/>
  <c r="C79"/>
  <c r="D79"/>
  <c r="E79"/>
  <c r="F79"/>
  <c r="G79"/>
  <c r="H79"/>
  <c r="I79"/>
  <c r="J79"/>
  <c r="K79"/>
  <c r="L79"/>
  <c r="M79"/>
  <c r="N79"/>
  <c r="O79"/>
  <c r="P79"/>
  <c r="Q79"/>
  <c r="C90"/>
  <c r="D90"/>
  <c r="E90"/>
  <c r="F90"/>
  <c r="G90"/>
  <c r="H90"/>
  <c r="I90"/>
  <c r="J90"/>
  <c r="K90"/>
  <c r="L90"/>
  <c r="M90"/>
  <c r="N90"/>
  <c r="O90"/>
  <c r="P90"/>
  <c r="Q90"/>
  <c r="C8"/>
  <c r="D8"/>
  <c r="E8"/>
  <c r="F8"/>
  <c r="G8"/>
  <c r="H8"/>
  <c r="I8"/>
  <c r="J8"/>
  <c r="K8"/>
  <c r="L8"/>
  <c r="M8"/>
  <c r="N8"/>
  <c r="O8"/>
  <c r="P8"/>
  <c r="Q8"/>
  <c r="C14"/>
  <c r="D14"/>
  <c r="E14"/>
  <c r="F14"/>
  <c r="G14"/>
  <c r="H14"/>
  <c r="I14"/>
  <c r="J14"/>
  <c r="K14"/>
  <c r="L14"/>
  <c r="M14"/>
  <c r="N14"/>
  <c r="O14"/>
  <c r="P14"/>
  <c r="Q14"/>
  <c r="C62"/>
  <c r="D62"/>
  <c r="E62"/>
  <c r="F62"/>
  <c r="G62"/>
  <c r="H62"/>
  <c r="I62"/>
  <c r="J62"/>
  <c r="K62"/>
  <c r="L62"/>
  <c r="M62"/>
  <c r="N62"/>
  <c r="O62"/>
  <c r="P62"/>
  <c r="Q62"/>
  <c r="C85"/>
  <c r="D85"/>
  <c r="E85"/>
  <c r="F85"/>
  <c r="G85"/>
  <c r="H85"/>
  <c r="I85"/>
  <c r="J85"/>
  <c r="K85"/>
  <c r="L85"/>
  <c r="M85"/>
  <c r="N85"/>
  <c r="O85"/>
  <c r="P85"/>
  <c r="Q85"/>
  <c r="C49"/>
  <c r="D49"/>
  <c r="E49"/>
  <c r="F49"/>
  <c r="G49"/>
  <c r="H49"/>
  <c r="I49"/>
  <c r="J49"/>
  <c r="K49"/>
  <c r="L49"/>
  <c r="M49"/>
  <c r="N49"/>
  <c r="O49"/>
  <c r="P49"/>
  <c r="Q49"/>
  <c r="C92"/>
  <c r="D92"/>
  <c r="E92"/>
  <c r="F92"/>
  <c r="G92"/>
  <c r="H92"/>
  <c r="I92"/>
  <c r="J92"/>
  <c r="K92"/>
  <c r="L92"/>
  <c r="M92"/>
  <c r="N92"/>
  <c r="O92"/>
  <c r="P92"/>
  <c r="Q92"/>
  <c r="C80"/>
  <c r="D80"/>
  <c r="E80"/>
  <c r="F80"/>
  <c r="G80"/>
  <c r="H80"/>
  <c r="I80"/>
  <c r="J80"/>
  <c r="K80"/>
  <c r="L80"/>
  <c r="M80"/>
  <c r="N80"/>
  <c r="O80"/>
  <c r="P80"/>
  <c r="Q80"/>
  <c r="C76"/>
  <c r="D76"/>
  <c r="E76"/>
  <c r="F76"/>
  <c r="G76"/>
  <c r="H76"/>
  <c r="I76"/>
  <c r="J76"/>
  <c r="K76"/>
  <c r="L76"/>
  <c r="M76"/>
  <c r="N76"/>
  <c r="O76"/>
  <c r="P76"/>
  <c r="Q76"/>
  <c r="C52"/>
  <c r="D52"/>
  <c r="E52"/>
  <c r="F52"/>
  <c r="G52"/>
  <c r="H52"/>
  <c r="I52"/>
  <c r="J52"/>
  <c r="K52"/>
  <c r="L52"/>
  <c r="M52"/>
  <c r="N52"/>
  <c r="O52"/>
  <c r="P52"/>
  <c r="Q52"/>
  <c r="C50"/>
  <c r="D50"/>
  <c r="E50"/>
  <c r="F50"/>
  <c r="G50"/>
  <c r="H50"/>
  <c r="I50"/>
  <c r="J50"/>
  <c r="K50"/>
  <c r="L50"/>
  <c r="M50"/>
  <c r="N50"/>
  <c r="O50"/>
  <c r="P50"/>
  <c r="Q50"/>
  <c r="C131"/>
  <c r="D131"/>
  <c r="E131"/>
  <c r="F131"/>
  <c r="G131"/>
  <c r="H131"/>
  <c r="I131"/>
  <c r="J131"/>
  <c r="K131"/>
  <c r="L131"/>
  <c r="M131"/>
  <c r="N131"/>
  <c r="O131"/>
  <c r="P131"/>
  <c r="Q131"/>
  <c r="C122"/>
  <c r="D122"/>
  <c r="E122"/>
  <c r="F122"/>
  <c r="G122"/>
  <c r="H122"/>
  <c r="I122"/>
  <c r="J122"/>
  <c r="K122"/>
  <c r="L122"/>
  <c r="M122"/>
  <c r="N122"/>
  <c r="O122"/>
  <c r="P122"/>
  <c r="Q122"/>
  <c r="C66"/>
  <c r="D66"/>
  <c r="E66"/>
  <c r="F66"/>
  <c r="G66"/>
  <c r="H66"/>
  <c r="I66"/>
  <c r="J66"/>
  <c r="K66"/>
  <c r="L66"/>
  <c r="M66"/>
  <c r="N66"/>
  <c r="O66"/>
  <c r="P66"/>
  <c r="Q66"/>
  <c r="C89"/>
  <c r="D89"/>
  <c r="E89"/>
  <c r="F89"/>
  <c r="G89"/>
  <c r="H89"/>
  <c r="I89"/>
  <c r="J89"/>
  <c r="K89"/>
  <c r="L89"/>
  <c r="M89"/>
  <c r="N89"/>
  <c r="O89"/>
  <c r="P89"/>
  <c r="Q89"/>
  <c r="C58"/>
  <c r="D58"/>
  <c r="E58"/>
  <c r="F58"/>
  <c r="G58"/>
  <c r="H58"/>
  <c r="I58"/>
  <c r="J58"/>
  <c r="K58"/>
  <c r="L58"/>
  <c r="M58"/>
  <c r="N58"/>
  <c r="O58"/>
  <c r="P58"/>
  <c r="Q58"/>
  <c r="D37"/>
  <c r="E37"/>
  <c r="F37"/>
  <c r="G37"/>
  <c r="H37"/>
  <c r="I37"/>
  <c r="J37"/>
  <c r="K37"/>
  <c r="L37"/>
  <c r="M37"/>
  <c r="N37"/>
  <c r="O37"/>
  <c r="P37"/>
  <c r="Q37"/>
  <c r="C37"/>
  <c r="A35" l="1"/>
  <c r="B35"/>
  <c r="A36"/>
  <c r="B36"/>
  <c r="A37"/>
  <c r="B37"/>
  <c r="A38"/>
  <c r="B38"/>
  <c r="A39"/>
  <c r="B39"/>
  <c r="A40"/>
  <c r="B40"/>
  <c r="A41"/>
  <c r="B41"/>
  <c r="A42"/>
  <c r="B42"/>
  <c r="A43"/>
  <c r="B43"/>
  <c r="A44"/>
  <c r="B44"/>
  <c r="A45"/>
  <c r="B45"/>
  <c r="A46"/>
  <c r="B46"/>
  <c r="A47"/>
  <c r="B47"/>
  <c r="A48"/>
  <c r="B48"/>
  <c r="A49"/>
  <c r="B49"/>
  <c r="A50"/>
  <c r="B50"/>
  <c r="A51"/>
  <c r="B51"/>
  <c r="A52"/>
  <c r="B52"/>
  <c r="A53"/>
  <c r="B53"/>
  <c r="A54"/>
  <c r="B54"/>
  <c r="A55"/>
  <c r="B55"/>
  <c r="A56"/>
  <c r="B56"/>
  <c r="A57"/>
  <c r="B57"/>
  <c r="A58"/>
  <c r="B58"/>
  <c r="A59"/>
  <c r="B59"/>
  <c r="A60"/>
  <c r="B60"/>
  <c r="A61"/>
  <c r="B61"/>
  <c r="A62"/>
  <c r="B62"/>
  <c r="A63"/>
  <c r="B63"/>
  <c r="A64"/>
  <c r="B64"/>
  <c r="A65"/>
  <c r="B65"/>
  <c r="A66"/>
  <c r="B66"/>
  <c r="A67"/>
  <c r="B67"/>
  <c r="A68"/>
  <c r="B68"/>
  <c r="A69"/>
  <c r="B69"/>
  <c r="A70"/>
  <c r="B70"/>
  <c r="A71"/>
  <c r="B71"/>
  <c r="A72"/>
  <c r="B72"/>
  <c r="A73"/>
  <c r="B73"/>
  <c r="A74"/>
  <c r="B74"/>
  <c r="A75"/>
  <c r="B75"/>
  <c r="A76"/>
  <c r="B76"/>
  <c r="A77"/>
  <c r="B77"/>
  <c r="A78"/>
  <c r="B78"/>
  <c r="A79"/>
  <c r="B79"/>
  <c r="A80"/>
  <c r="B80"/>
  <c r="A81"/>
  <c r="B81"/>
  <c r="A82"/>
  <c r="B82"/>
  <c r="A83"/>
  <c r="B83"/>
  <c r="A84"/>
  <c r="B84"/>
  <c r="A85"/>
  <c r="B85"/>
  <c r="A86"/>
  <c r="B86"/>
  <c r="A87"/>
  <c r="B87"/>
  <c r="A88"/>
  <c r="B88"/>
  <c r="A89"/>
  <c r="B89"/>
  <c r="A90"/>
  <c r="B90"/>
  <c r="A91"/>
  <c r="B91"/>
  <c r="A92"/>
  <c r="B92"/>
  <c r="A93"/>
  <c r="B93"/>
  <c r="A94"/>
  <c r="B94"/>
  <c r="A95"/>
  <c r="B95"/>
  <c r="A96"/>
  <c r="B96"/>
  <c r="A97"/>
  <c r="B97"/>
  <c r="A98"/>
  <c r="B98"/>
  <c r="A99"/>
  <c r="B99"/>
  <c r="A100"/>
  <c r="B100"/>
  <c r="A101"/>
  <c r="B101"/>
  <c r="A102"/>
  <c r="B102"/>
  <c r="A103"/>
  <c r="B103"/>
  <c r="A104"/>
  <c r="B104"/>
  <c r="A105"/>
  <c r="B105"/>
  <c r="A106"/>
  <c r="B106"/>
  <c r="A107"/>
  <c r="B107"/>
  <c r="A108"/>
  <c r="B108"/>
  <c r="A109"/>
  <c r="B109"/>
  <c r="A110"/>
  <c r="B110"/>
  <c r="A111"/>
  <c r="B111"/>
  <c r="A112"/>
  <c r="B112"/>
  <c r="A113"/>
  <c r="B113"/>
  <c r="A114"/>
  <c r="B114"/>
  <c r="A115"/>
  <c r="B115"/>
  <c r="A116"/>
  <c r="B116"/>
  <c r="A117"/>
  <c r="B117"/>
  <c r="A118"/>
  <c r="B118"/>
  <c r="A119"/>
  <c r="B119"/>
  <c r="A120"/>
  <c r="B120"/>
  <c r="A121"/>
  <c r="B121"/>
  <c r="A122"/>
  <c r="B122"/>
  <c r="A123"/>
  <c r="B123"/>
  <c r="A124"/>
  <c r="B124"/>
  <c r="A125"/>
  <c r="B125"/>
  <c r="A126"/>
  <c r="B126"/>
  <c r="A127"/>
  <c r="B127"/>
  <c r="A128"/>
  <c r="B128"/>
  <c r="A129"/>
  <c r="B129"/>
  <c r="A130"/>
  <c r="B130"/>
  <c r="A131"/>
  <c r="B131"/>
  <c r="A132"/>
  <c r="B132"/>
  <c r="A133"/>
  <c r="B133"/>
  <c r="A134"/>
  <c r="B134"/>
  <c r="A135"/>
  <c r="B135"/>
  <c r="A136"/>
  <c r="B136"/>
  <c r="A137"/>
  <c r="B137"/>
  <c r="A138"/>
  <c r="B138"/>
  <c r="A139"/>
  <c r="B139"/>
  <c r="A140"/>
  <c r="B140"/>
  <c r="A18"/>
  <c r="B18"/>
  <c r="A19"/>
  <c r="B19"/>
  <c r="A20"/>
  <c r="B20"/>
  <c r="A21"/>
  <c r="B21"/>
  <c r="A22"/>
  <c r="B22"/>
  <c r="A23"/>
  <c r="B23"/>
  <c r="A24"/>
  <c r="B24"/>
  <c r="A25"/>
  <c r="B25"/>
  <c r="A26"/>
  <c r="B26"/>
  <c r="A27"/>
  <c r="B27"/>
  <c r="A28"/>
  <c r="B28"/>
  <c r="A29"/>
  <c r="B29"/>
  <c r="A30"/>
  <c r="B30"/>
  <c r="A31"/>
  <c r="B31"/>
  <c r="A32"/>
  <c r="B32"/>
  <c r="A33"/>
  <c r="B33"/>
  <c r="A34"/>
  <c r="B34"/>
  <c r="A4"/>
  <c r="B4"/>
  <c r="A5"/>
  <c r="B5"/>
  <c r="A6"/>
  <c r="B6"/>
  <c r="A7"/>
  <c r="B7"/>
  <c r="A8"/>
  <c r="B8"/>
  <c r="A9"/>
  <c r="B9"/>
  <c r="A10"/>
  <c r="B10"/>
  <c r="A11"/>
  <c r="B11"/>
  <c r="A12"/>
  <c r="B12"/>
  <c r="A13"/>
  <c r="B13"/>
  <c r="A14"/>
  <c r="B14"/>
  <c r="A15"/>
  <c r="B15"/>
  <c r="A16"/>
  <c r="B16"/>
  <c r="A17"/>
  <c r="B17"/>
  <c r="B3"/>
  <c r="A3"/>
  <c r="AE141" i="1"/>
  <c r="H141"/>
  <c r="E90"/>
  <c r="F90"/>
  <c r="I90"/>
  <c r="J90"/>
  <c r="M90"/>
  <c r="K90" s="1"/>
  <c r="N90"/>
  <c r="O90"/>
  <c r="P90"/>
  <c r="P89"/>
  <c r="O89"/>
  <c r="N89"/>
  <c r="M89"/>
  <c r="J89"/>
  <c r="F89"/>
  <c r="E89"/>
  <c r="I89" s="1"/>
  <c r="X45"/>
  <c r="P44"/>
  <c r="O44"/>
  <c r="N44"/>
  <c r="M44"/>
  <c r="J44"/>
  <c r="F44"/>
  <c r="E44"/>
  <c r="I44" s="1"/>
  <c r="N127"/>
  <c r="M127"/>
  <c r="P55"/>
  <c r="O55"/>
  <c r="N55"/>
  <c r="M55"/>
  <c r="J55"/>
  <c r="F55"/>
  <c r="E55"/>
  <c r="I55" s="1"/>
  <c r="X42"/>
  <c r="P41"/>
  <c r="P172"/>
  <c r="O172"/>
  <c r="N172"/>
  <c r="M172"/>
  <c r="J172"/>
  <c r="F172"/>
  <c r="E172"/>
  <c r="I172" s="1"/>
  <c r="E35"/>
  <c r="P166"/>
  <c r="O166"/>
  <c r="N166"/>
  <c r="M166"/>
  <c r="J166"/>
  <c r="F166"/>
  <c r="E166"/>
  <c r="I166" s="1"/>
  <c r="X43"/>
  <c r="X121"/>
  <c r="X59"/>
  <c r="P61"/>
  <c r="O61"/>
  <c r="N61"/>
  <c r="M61"/>
  <c r="J61"/>
  <c r="F61"/>
  <c r="E61"/>
  <c r="P60"/>
  <c r="O60"/>
  <c r="N60"/>
  <c r="M60"/>
  <c r="J60"/>
  <c r="F60"/>
  <c r="E60"/>
  <c r="P42"/>
  <c r="O42"/>
  <c r="N42"/>
  <c r="M42"/>
  <c r="J42"/>
  <c r="F42"/>
  <c r="E42"/>
  <c r="I42" s="1"/>
  <c r="P19"/>
  <c r="O19"/>
  <c r="N19"/>
  <c r="M19"/>
  <c r="J19"/>
  <c r="F19"/>
  <c r="E19"/>
  <c r="I19" s="1"/>
  <c r="P160"/>
  <c r="O160"/>
  <c r="N160"/>
  <c r="M160"/>
  <c r="J160"/>
  <c r="F160"/>
  <c r="E160"/>
  <c r="I160" s="1"/>
  <c r="H143" l="1"/>
  <c r="L90"/>
  <c r="K89"/>
  <c r="L89"/>
  <c r="K44"/>
  <c r="L44"/>
  <c r="K55"/>
  <c r="L55"/>
  <c r="K172"/>
  <c r="L172"/>
  <c r="I60"/>
  <c r="I61"/>
  <c r="K166"/>
  <c r="L166"/>
  <c r="K61"/>
  <c r="K42"/>
  <c r="L42"/>
  <c r="L19"/>
  <c r="K19"/>
  <c r="K160"/>
  <c r="L160"/>
  <c r="L60" l="1"/>
  <c r="K60"/>
  <c r="L61"/>
  <c r="J119"/>
  <c r="E119"/>
  <c r="F119"/>
  <c r="N119"/>
  <c r="M119"/>
  <c r="P119"/>
  <c r="O119"/>
  <c r="E96"/>
  <c r="F96"/>
  <c r="J96"/>
  <c r="M96"/>
  <c r="N96"/>
  <c r="O96"/>
  <c r="P96"/>
  <c r="I119" l="1"/>
  <c r="K119" s="1"/>
  <c r="I96"/>
  <c r="L119" l="1"/>
  <c r="L96"/>
  <c r="K96"/>
  <c r="P127"/>
  <c r="F165"/>
  <c r="E165"/>
  <c r="X181"/>
  <c r="X51"/>
  <c r="E52"/>
  <c r="F52"/>
  <c r="I52"/>
  <c r="J52"/>
  <c r="M52"/>
  <c r="N52"/>
  <c r="O52"/>
  <c r="P52"/>
  <c r="N11"/>
  <c r="M11"/>
  <c r="E11"/>
  <c r="J11"/>
  <c r="O11"/>
  <c r="O78"/>
  <c r="P78"/>
  <c r="N78"/>
  <c r="M78"/>
  <c r="P77"/>
  <c r="O77"/>
  <c r="N77"/>
  <c r="M77"/>
  <c r="J77"/>
  <c r="F77"/>
  <c r="E77"/>
  <c r="O24"/>
  <c r="N24"/>
  <c r="M24"/>
  <c r="M25"/>
  <c r="J24"/>
  <c r="F24"/>
  <c r="X135"/>
  <c r="P58"/>
  <c r="O58"/>
  <c r="N58"/>
  <c r="M58"/>
  <c r="J58"/>
  <c r="F58"/>
  <c r="E58"/>
  <c r="E24"/>
  <c r="P15"/>
  <c r="P16"/>
  <c r="P185"/>
  <c r="P17"/>
  <c r="P18"/>
  <c r="P20"/>
  <c r="P21"/>
  <c r="P159"/>
  <c r="P22"/>
  <c r="P23"/>
  <c r="P25"/>
  <c r="X26"/>
  <c r="N3"/>
  <c r="A1" i="2"/>
  <c r="B2"/>
  <c r="C2"/>
  <c r="D2"/>
  <c r="E2"/>
  <c r="F2"/>
  <c r="G2"/>
  <c r="H2"/>
  <c r="I2"/>
  <c r="J2"/>
  <c r="K2"/>
  <c r="L2"/>
  <c r="M2"/>
  <c r="N2"/>
  <c r="O2"/>
  <c r="P2"/>
  <c r="Q2"/>
  <c r="J23" i="1"/>
  <c r="M23"/>
  <c r="N23"/>
  <c r="O23"/>
  <c r="J25"/>
  <c r="O25"/>
  <c r="J147"/>
  <c r="M147"/>
  <c r="O147"/>
  <c r="F147"/>
  <c r="E147"/>
  <c r="I147" s="1"/>
  <c r="X140"/>
  <c r="X13"/>
  <c r="F23"/>
  <c r="F25"/>
  <c r="E25"/>
  <c r="X10"/>
  <c r="X7"/>
  <c r="P128"/>
  <c r="O128"/>
  <c r="O4"/>
  <c r="J127"/>
  <c r="J128"/>
  <c r="M121"/>
  <c r="N121"/>
  <c r="O121"/>
  <c r="P121"/>
  <c r="E23"/>
  <c r="X137"/>
  <c r="X133"/>
  <c r="X129"/>
  <c r="F128"/>
  <c r="E128"/>
  <c r="X98"/>
  <c r="X87"/>
  <c r="X80"/>
  <c r="X65"/>
  <c r="X33"/>
  <c r="F121"/>
  <c r="J121"/>
  <c r="E121"/>
  <c r="M10"/>
  <c r="N10"/>
  <c r="O10"/>
  <c r="P10"/>
  <c r="J10"/>
  <c r="E10"/>
  <c r="P33"/>
  <c r="P32"/>
  <c r="O33"/>
  <c r="N32"/>
  <c r="J33"/>
  <c r="F33"/>
  <c r="E33"/>
  <c r="O22"/>
  <c r="N22"/>
  <c r="M22"/>
  <c r="F22"/>
  <c r="J22"/>
  <c r="E22"/>
  <c r="P182"/>
  <c r="P183"/>
  <c r="P184"/>
  <c r="P14"/>
  <c r="P12"/>
  <c r="P87"/>
  <c r="F87"/>
  <c r="O87"/>
  <c r="N87"/>
  <c r="M87"/>
  <c r="J87"/>
  <c r="E87"/>
  <c r="P135"/>
  <c r="O135"/>
  <c r="N135"/>
  <c r="M135"/>
  <c r="F135"/>
  <c r="J135"/>
  <c r="E135"/>
  <c r="J18"/>
  <c r="J20"/>
  <c r="J21"/>
  <c r="J159"/>
  <c r="J27"/>
  <c r="J190"/>
  <c r="J191"/>
  <c r="J162"/>
  <c r="J192"/>
  <c r="J28"/>
  <c r="J29"/>
  <c r="J30"/>
  <c r="J193"/>
  <c r="J31"/>
  <c r="J32"/>
  <c r="J34"/>
  <c r="J35"/>
  <c r="J36"/>
  <c r="J37"/>
  <c r="J38"/>
  <c r="J39"/>
  <c r="J40"/>
  <c r="J41"/>
  <c r="J201"/>
  <c r="J170"/>
  <c r="J171"/>
  <c r="J43"/>
  <c r="J157"/>
  <c r="J173"/>
  <c r="J174"/>
  <c r="J45"/>
  <c r="J46"/>
  <c r="J47"/>
  <c r="J48"/>
  <c r="J49"/>
  <c r="J50"/>
  <c r="J51"/>
  <c r="J53"/>
  <c r="J54"/>
  <c r="J175"/>
  <c r="J56"/>
  <c r="J57"/>
  <c r="J59"/>
  <c r="J62"/>
  <c r="J63"/>
  <c r="J64"/>
  <c r="J65"/>
  <c r="J167"/>
  <c r="J168"/>
  <c r="J66"/>
  <c r="J67"/>
  <c r="J169"/>
  <c r="J68"/>
  <c r="J69"/>
  <c r="J70"/>
  <c r="J71"/>
  <c r="J72"/>
  <c r="J73"/>
  <c r="J74"/>
  <c r="J156"/>
  <c r="J75"/>
  <c r="J76"/>
  <c r="J78"/>
  <c r="J79"/>
  <c r="J80"/>
  <c r="J81"/>
  <c r="J82"/>
  <c r="J83"/>
  <c r="J179"/>
  <c r="J180"/>
  <c r="J84"/>
  <c r="J85"/>
  <c r="J86"/>
  <c r="J196"/>
  <c r="J88"/>
  <c r="J197"/>
  <c r="J91"/>
  <c r="J92"/>
  <c r="J93"/>
  <c r="J94"/>
  <c r="J95"/>
  <c r="J97"/>
  <c r="J98"/>
  <c r="J99"/>
  <c r="J100"/>
  <c r="J164"/>
  <c r="J101"/>
  <c r="J102"/>
  <c r="J103"/>
  <c r="J104"/>
  <c r="J105"/>
  <c r="J106"/>
  <c r="J107"/>
  <c r="J108"/>
  <c r="J109"/>
  <c r="J110"/>
  <c r="J161"/>
  <c r="J111"/>
  <c r="J112"/>
  <c r="J113"/>
  <c r="J114"/>
  <c r="J115"/>
  <c r="J116"/>
  <c r="J117"/>
  <c r="J118"/>
  <c r="J120"/>
  <c r="J122"/>
  <c r="J123"/>
  <c r="J124"/>
  <c r="J188"/>
  <c r="J125"/>
  <c r="J189"/>
  <c r="J126"/>
  <c r="J129"/>
  <c r="J130"/>
  <c r="J131"/>
  <c r="J132"/>
  <c r="J133"/>
  <c r="J151"/>
  <c r="J198"/>
  <c r="J199"/>
  <c r="J200"/>
  <c r="J134"/>
  <c r="J163"/>
  <c r="J136"/>
  <c r="J186"/>
  <c r="J187"/>
  <c r="J137"/>
  <c r="J138"/>
  <c r="J195"/>
  <c r="J139"/>
  <c r="J194"/>
  <c r="J140"/>
  <c r="J177"/>
  <c r="J4"/>
  <c r="J178"/>
  <c r="J5"/>
  <c r="J6"/>
  <c r="J7"/>
  <c r="J8"/>
  <c r="J9"/>
  <c r="J176"/>
  <c r="J12"/>
  <c r="J13"/>
  <c r="J181"/>
  <c r="J182"/>
  <c r="J183"/>
  <c r="J184"/>
  <c r="J14"/>
  <c r="J15"/>
  <c r="J16"/>
  <c r="J185"/>
  <c r="J17"/>
  <c r="J3"/>
  <c r="P133"/>
  <c r="O133"/>
  <c r="N133"/>
  <c r="M133"/>
  <c r="F133"/>
  <c r="E133"/>
  <c r="P120"/>
  <c r="O120"/>
  <c r="N120"/>
  <c r="M120"/>
  <c r="F120"/>
  <c r="E120"/>
  <c r="P98"/>
  <c r="O98"/>
  <c r="N98"/>
  <c r="M98"/>
  <c r="F98"/>
  <c r="E98"/>
  <c r="P80"/>
  <c r="O80"/>
  <c r="N80"/>
  <c r="M80"/>
  <c r="F80"/>
  <c r="E80"/>
  <c r="O32"/>
  <c r="M32"/>
  <c r="F32"/>
  <c r="E32"/>
  <c r="M13"/>
  <c r="N13"/>
  <c r="O13"/>
  <c r="P13"/>
  <c r="E13"/>
  <c r="P9"/>
  <c r="O9"/>
  <c r="N9"/>
  <c r="M9"/>
  <c r="E9"/>
  <c r="E12"/>
  <c r="O12"/>
  <c r="N12"/>
  <c r="M12"/>
  <c r="P177"/>
  <c r="P4"/>
  <c r="P178"/>
  <c r="P5"/>
  <c r="P6"/>
  <c r="P7"/>
  <c r="P8"/>
  <c r="P176"/>
  <c r="P181"/>
  <c r="P27"/>
  <c r="P190"/>
  <c r="P191"/>
  <c r="P162"/>
  <c r="P192"/>
  <c r="P28"/>
  <c r="P29"/>
  <c r="P30"/>
  <c r="P193"/>
  <c r="P31"/>
  <c r="P34"/>
  <c r="P35"/>
  <c r="P36"/>
  <c r="P37"/>
  <c r="P38"/>
  <c r="P39"/>
  <c r="P40"/>
  <c r="P201"/>
  <c r="P170"/>
  <c r="P171"/>
  <c r="P43"/>
  <c r="P157"/>
  <c r="P173"/>
  <c r="P174"/>
  <c r="P45"/>
  <c r="P46"/>
  <c r="P47"/>
  <c r="P48"/>
  <c r="P49"/>
  <c r="P50"/>
  <c r="P51"/>
  <c r="P53"/>
  <c r="P54"/>
  <c r="P175"/>
  <c r="P56"/>
  <c r="P57"/>
  <c r="P59"/>
  <c r="P62"/>
  <c r="P63"/>
  <c r="P64"/>
  <c r="P65"/>
  <c r="P167"/>
  <c r="P168"/>
  <c r="P66"/>
  <c r="P67"/>
  <c r="P169"/>
  <c r="P68"/>
  <c r="P69"/>
  <c r="P70"/>
  <c r="P71"/>
  <c r="P72"/>
  <c r="P73"/>
  <c r="P74"/>
  <c r="P156"/>
  <c r="P75"/>
  <c r="P76"/>
  <c r="P79"/>
  <c r="P81"/>
  <c r="P82"/>
  <c r="P83"/>
  <c r="P179"/>
  <c r="P180"/>
  <c r="P84"/>
  <c r="P85"/>
  <c r="P86"/>
  <c r="P196"/>
  <c r="P88"/>
  <c r="P197"/>
  <c r="P91"/>
  <c r="P92"/>
  <c r="P93"/>
  <c r="P94"/>
  <c r="P95"/>
  <c r="P97"/>
  <c r="P99"/>
  <c r="P100"/>
  <c r="P164"/>
  <c r="P101"/>
  <c r="P102"/>
  <c r="P103"/>
  <c r="P104"/>
  <c r="P105"/>
  <c r="P106"/>
  <c r="P107"/>
  <c r="P108"/>
  <c r="P109"/>
  <c r="P110"/>
  <c r="P161"/>
  <c r="P111"/>
  <c r="P112"/>
  <c r="P113"/>
  <c r="P114"/>
  <c r="P115"/>
  <c r="P116"/>
  <c r="P117"/>
  <c r="P118"/>
  <c r="P122"/>
  <c r="P123"/>
  <c r="P124"/>
  <c r="P188"/>
  <c r="P125"/>
  <c r="P189"/>
  <c r="P126"/>
  <c r="P129"/>
  <c r="P130"/>
  <c r="P131"/>
  <c r="P132"/>
  <c r="P151"/>
  <c r="P198"/>
  <c r="P199"/>
  <c r="P200"/>
  <c r="P134"/>
  <c r="P163"/>
  <c r="P136"/>
  <c r="P186"/>
  <c r="P187"/>
  <c r="P137"/>
  <c r="P138"/>
  <c r="P195"/>
  <c r="P139"/>
  <c r="P194"/>
  <c r="P140"/>
  <c r="P3"/>
  <c r="O3"/>
  <c r="M3"/>
  <c r="E3"/>
  <c r="I12"/>
  <c r="O86"/>
  <c r="N86"/>
  <c r="M86"/>
  <c r="F86"/>
  <c r="E86"/>
  <c r="O118"/>
  <c r="N118"/>
  <c r="M118"/>
  <c r="F118"/>
  <c r="E118"/>
  <c r="O97"/>
  <c r="N97"/>
  <c r="M97"/>
  <c r="F97"/>
  <c r="E97"/>
  <c r="O159"/>
  <c r="N159"/>
  <c r="M159"/>
  <c r="F159"/>
  <c r="E159"/>
  <c r="I97"/>
  <c r="O51"/>
  <c r="N51"/>
  <c r="M51"/>
  <c r="E51"/>
  <c r="F51"/>
  <c r="O194"/>
  <c r="N194"/>
  <c r="M194"/>
  <c r="F194"/>
  <c r="E194"/>
  <c r="O134"/>
  <c r="N134"/>
  <c r="M134"/>
  <c r="F134"/>
  <c r="E134"/>
  <c r="E95"/>
  <c r="F95"/>
  <c r="O95"/>
  <c r="N95"/>
  <c r="M95"/>
  <c r="I134"/>
  <c r="E116"/>
  <c r="F116"/>
  <c r="M116"/>
  <c r="N116"/>
  <c r="O116"/>
  <c r="E117"/>
  <c r="F117"/>
  <c r="M117"/>
  <c r="N117"/>
  <c r="O117"/>
  <c r="O115"/>
  <c r="N115"/>
  <c r="M115"/>
  <c r="F115"/>
  <c r="E115"/>
  <c r="O21"/>
  <c r="N21"/>
  <c r="M21"/>
  <c r="F21"/>
  <c r="E21"/>
  <c r="O7"/>
  <c r="N7"/>
  <c r="M7"/>
  <c r="E7"/>
  <c r="O94"/>
  <c r="N94"/>
  <c r="M94"/>
  <c r="F94"/>
  <c r="E94"/>
  <c r="O69"/>
  <c r="N69"/>
  <c r="M69"/>
  <c r="F69"/>
  <c r="E69"/>
  <c r="M35"/>
  <c r="N35"/>
  <c r="O35"/>
  <c r="F35"/>
  <c r="M20"/>
  <c r="N20"/>
  <c r="O20"/>
  <c r="F20"/>
  <c r="E20"/>
  <c r="G159" i="18"/>
  <c r="D160"/>
  <c r="D162"/>
  <c r="O114" i="1"/>
  <c r="N114"/>
  <c r="M114"/>
  <c r="F114"/>
  <c r="E114"/>
  <c r="O81"/>
  <c r="N81"/>
  <c r="M81"/>
  <c r="F81"/>
  <c r="E81"/>
  <c r="F23" i="17"/>
  <c r="F21"/>
  <c r="D20"/>
  <c r="C20"/>
  <c r="D19"/>
  <c r="C19"/>
  <c r="D18"/>
  <c r="C18"/>
  <c r="D17"/>
  <c r="C17"/>
  <c r="D16"/>
  <c r="C16"/>
  <c r="D15"/>
  <c r="C15"/>
  <c r="D14"/>
  <c r="C14"/>
  <c r="D13"/>
  <c r="C13"/>
  <c r="D12"/>
  <c r="C12"/>
  <c r="D11"/>
  <c r="C11"/>
  <c r="D10"/>
  <c r="C10"/>
  <c r="D9"/>
  <c r="C9"/>
  <c r="D8"/>
  <c r="C8"/>
  <c r="D7"/>
  <c r="C7"/>
  <c r="D6"/>
  <c r="C6"/>
  <c r="D5"/>
  <c r="C5"/>
  <c r="D4"/>
  <c r="C4"/>
  <c r="D3"/>
  <c r="C3"/>
  <c r="D2"/>
  <c r="C2"/>
  <c r="D1"/>
  <c r="C1"/>
  <c r="O137" i="1"/>
  <c r="N137"/>
  <c r="M137"/>
  <c r="F137"/>
  <c r="E137"/>
  <c r="O101"/>
  <c r="I137"/>
  <c r="O85"/>
  <c r="N85"/>
  <c r="M85"/>
  <c r="F85"/>
  <c r="E85"/>
  <c r="K137"/>
  <c r="I85"/>
  <c r="O138"/>
  <c r="N138"/>
  <c r="M138"/>
  <c r="F138"/>
  <c r="E138"/>
  <c r="K85"/>
  <c r="I138"/>
  <c r="E125"/>
  <c r="F125"/>
  <c r="M125"/>
  <c r="N125"/>
  <c r="O125"/>
  <c r="M93"/>
  <c r="N93"/>
  <c r="O93"/>
  <c r="O84"/>
  <c r="M84"/>
  <c r="N84"/>
  <c r="E84"/>
  <c r="F84"/>
  <c r="K138"/>
  <c r="I125"/>
  <c r="O50"/>
  <c r="N50"/>
  <c r="M50"/>
  <c r="F50"/>
  <c r="E50"/>
  <c r="F37"/>
  <c r="O37"/>
  <c r="N37"/>
  <c r="M37"/>
  <c r="E37"/>
  <c r="E8"/>
  <c r="M8"/>
  <c r="N8"/>
  <c r="O8"/>
  <c r="I37"/>
  <c r="M6"/>
  <c r="N6"/>
  <c r="O6"/>
  <c r="E6"/>
  <c r="M31"/>
  <c r="N31"/>
  <c r="O31"/>
  <c r="F31"/>
  <c r="E31"/>
  <c r="M129"/>
  <c r="N129"/>
  <c r="O113"/>
  <c r="N113"/>
  <c r="M113"/>
  <c r="F113"/>
  <c r="E113"/>
  <c r="E112"/>
  <c r="F112"/>
  <c r="O112"/>
  <c r="M112"/>
  <c r="N112"/>
  <c r="O111"/>
  <c r="N111"/>
  <c r="M111"/>
  <c r="F111"/>
  <c r="E111"/>
  <c r="I112"/>
  <c r="I111"/>
  <c r="E79"/>
  <c r="F79"/>
  <c r="O79"/>
  <c r="M79"/>
  <c r="N79"/>
  <c r="F78"/>
  <c r="E78"/>
  <c r="O29"/>
  <c r="N29"/>
  <c r="M29"/>
  <c r="F29"/>
  <c r="E29"/>
  <c r="O18"/>
  <c r="E18"/>
  <c r="F18"/>
  <c r="O17"/>
  <c r="F17"/>
  <c r="E17"/>
  <c r="O185"/>
  <c r="F185"/>
  <c r="E185"/>
  <c r="O16"/>
  <c r="M15"/>
  <c r="N15"/>
  <c r="M16"/>
  <c r="N16"/>
  <c r="M185"/>
  <c r="N185"/>
  <c r="M17"/>
  <c r="N17"/>
  <c r="M18"/>
  <c r="N18"/>
  <c r="F16"/>
  <c r="E16"/>
  <c r="F184" i="14"/>
  <c r="F185"/>
  <c r="F189"/>
  <c r="F190"/>
  <c r="B462"/>
  <c r="B445"/>
  <c r="B427"/>
  <c r="B355"/>
  <c r="B326"/>
  <c r="B216"/>
  <c r="B142"/>
  <c r="L138" i="15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34"/>
  <c r="L135"/>
  <c r="L136"/>
  <c r="L137"/>
  <c r="L133"/>
  <c r="L130"/>
  <c r="L131"/>
  <c r="L132"/>
  <c r="L125"/>
  <c r="L126"/>
  <c r="L127"/>
  <c r="L128"/>
  <c r="L12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99"/>
  <c r="L94"/>
  <c r="L95"/>
  <c r="L96"/>
  <c r="L97"/>
  <c r="L98"/>
  <c r="L92"/>
  <c r="L93"/>
  <c r="L91"/>
  <c r="L87"/>
  <c r="L88"/>
  <c r="L89"/>
  <c r="L90"/>
  <c r="L81"/>
  <c r="L82"/>
  <c r="L83"/>
  <c r="L84"/>
  <c r="L85"/>
  <c r="L86"/>
  <c r="L78"/>
  <c r="L79"/>
  <c r="L80"/>
  <c r="L77"/>
  <c r="L62"/>
  <c r="L63"/>
  <c r="L64"/>
  <c r="L65"/>
  <c r="L66"/>
  <c r="L67"/>
  <c r="L68"/>
  <c r="L69"/>
  <c r="L70"/>
  <c r="L71"/>
  <c r="L72"/>
  <c r="L73"/>
  <c r="L74"/>
  <c r="L75"/>
  <c r="L76"/>
  <c r="L61"/>
  <c r="L59"/>
  <c r="L60"/>
  <c r="L58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2"/>
  <c r="K189"/>
  <c r="K190"/>
  <c r="H189"/>
  <c r="O161" i="1"/>
  <c r="E161"/>
  <c r="F161"/>
  <c r="N161"/>
  <c r="M161"/>
  <c r="I161"/>
  <c r="E129"/>
  <c r="F129"/>
  <c r="O76"/>
  <c r="N76"/>
  <c r="M76"/>
  <c r="F76"/>
  <c r="E76"/>
  <c r="O36"/>
  <c r="N36"/>
  <c r="M36"/>
  <c r="F36"/>
  <c r="E36"/>
  <c r="O99"/>
  <c r="N99"/>
  <c r="M99"/>
  <c r="F99"/>
  <c r="E99"/>
  <c r="O63"/>
  <c r="N63"/>
  <c r="M63"/>
  <c r="F63"/>
  <c r="E63"/>
  <c r="O65"/>
  <c r="N65"/>
  <c r="M65"/>
  <c r="F65"/>
  <c r="E65"/>
  <c r="O53"/>
  <c r="N53"/>
  <c r="M53"/>
  <c r="F53"/>
  <c r="E53"/>
  <c r="I65"/>
  <c r="I53"/>
  <c r="F127"/>
  <c r="E127"/>
  <c r="O123"/>
  <c r="N123"/>
  <c r="M123"/>
  <c r="F123"/>
  <c r="E123"/>
  <c r="M45"/>
  <c r="N45"/>
  <c r="O45"/>
  <c r="F45"/>
  <c r="E45"/>
  <c r="A2" i="2"/>
  <c r="O139" i="1"/>
  <c r="M139"/>
  <c r="N139"/>
  <c r="F139"/>
  <c r="E139"/>
  <c r="E131"/>
  <c r="F110"/>
  <c r="E110"/>
  <c r="O110"/>
  <c r="M158"/>
  <c r="M110"/>
  <c r="N110"/>
  <c r="F158"/>
  <c r="E158"/>
  <c r="M83"/>
  <c r="N83"/>
  <c r="O83"/>
  <c r="F83"/>
  <c r="E83"/>
  <c r="L158"/>
  <c r="I139"/>
  <c r="I110"/>
  <c r="M75"/>
  <c r="N75"/>
  <c r="O75"/>
  <c r="F75"/>
  <c r="E75"/>
  <c r="M156"/>
  <c r="N156"/>
  <c r="O156"/>
  <c r="E156"/>
  <c r="F156"/>
  <c r="E74"/>
  <c r="M64"/>
  <c r="N64"/>
  <c r="O64"/>
  <c r="F64"/>
  <c r="E64"/>
  <c r="O56"/>
  <c r="N56"/>
  <c r="M56"/>
  <c r="F56"/>
  <c r="E56"/>
  <c r="O49"/>
  <c r="N49"/>
  <c r="M49"/>
  <c r="F49"/>
  <c r="E49"/>
  <c r="E14"/>
  <c r="O178"/>
  <c r="E178"/>
  <c r="N178"/>
  <c r="M178"/>
  <c r="E30"/>
  <c r="M126"/>
  <c r="N126"/>
  <c r="O126"/>
  <c r="F126"/>
  <c r="E126"/>
  <c r="E109"/>
  <c r="F108"/>
  <c r="M108"/>
  <c r="N108"/>
  <c r="O108"/>
  <c r="F109"/>
  <c r="M109"/>
  <c r="N109"/>
  <c r="O109"/>
  <c r="E108"/>
  <c r="M54"/>
  <c r="N54"/>
  <c r="O54"/>
  <c r="F54"/>
  <c r="E54"/>
  <c r="O175"/>
  <c r="O57"/>
  <c r="O59"/>
  <c r="O62"/>
  <c r="O167"/>
  <c r="O168"/>
  <c r="O66"/>
  <c r="O67"/>
  <c r="O169"/>
  <c r="O68"/>
  <c r="O70"/>
  <c r="O71"/>
  <c r="O72"/>
  <c r="O73"/>
  <c r="O74"/>
  <c r="O82"/>
  <c r="O179"/>
  <c r="O180"/>
  <c r="O196"/>
  <c r="O88"/>
  <c r="O197"/>
  <c r="O91"/>
  <c r="O92"/>
  <c r="O100"/>
  <c r="O164"/>
  <c r="O102"/>
  <c r="O103"/>
  <c r="O104"/>
  <c r="O105"/>
  <c r="O106"/>
  <c r="O107"/>
  <c r="O122"/>
  <c r="O124"/>
  <c r="O188"/>
  <c r="O189"/>
  <c r="O130"/>
  <c r="O131"/>
  <c r="O132"/>
  <c r="O151"/>
  <c r="O198"/>
  <c r="O199"/>
  <c r="O200"/>
  <c r="O163"/>
  <c r="O136"/>
  <c r="O186"/>
  <c r="O187"/>
  <c r="O195"/>
  <c r="O140"/>
  <c r="M175"/>
  <c r="N175"/>
  <c r="M57"/>
  <c r="N57"/>
  <c r="M59"/>
  <c r="N59"/>
  <c r="M62"/>
  <c r="N62"/>
  <c r="M167"/>
  <c r="N167"/>
  <c r="M168"/>
  <c r="N168"/>
  <c r="M66"/>
  <c r="N66"/>
  <c r="M67"/>
  <c r="N67"/>
  <c r="M169"/>
  <c r="N169"/>
  <c r="M68"/>
  <c r="N68"/>
  <c r="M70"/>
  <c r="N70"/>
  <c r="M71"/>
  <c r="N71"/>
  <c r="M72"/>
  <c r="N72"/>
  <c r="M73"/>
  <c r="N73"/>
  <c r="M74"/>
  <c r="N74"/>
  <c r="M82"/>
  <c r="N82"/>
  <c r="M179"/>
  <c r="N179"/>
  <c r="M180"/>
  <c r="N180"/>
  <c r="M196"/>
  <c r="N196"/>
  <c r="M88"/>
  <c r="N88"/>
  <c r="M197"/>
  <c r="N197"/>
  <c r="M91"/>
  <c r="N91"/>
  <c r="M92"/>
  <c r="N92"/>
  <c r="M100"/>
  <c r="N100"/>
  <c r="M164"/>
  <c r="N164"/>
  <c r="M101"/>
  <c r="N101"/>
  <c r="M102"/>
  <c r="N102"/>
  <c r="M103"/>
  <c r="N103"/>
  <c r="M104"/>
  <c r="N104"/>
  <c r="M105"/>
  <c r="N105"/>
  <c r="M106"/>
  <c r="N106"/>
  <c r="M107"/>
  <c r="N107"/>
  <c r="M122"/>
  <c r="N122"/>
  <c r="M124"/>
  <c r="N124"/>
  <c r="M188"/>
  <c r="N188"/>
  <c r="M189"/>
  <c r="N189"/>
  <c r="M130"/>
  <c r="N130"/>
  <c r="M131"/>
  <c r="N131"/>
  <c r="M132"/>
  <c r="N132"/>
  <c r="M151"/>
  <c r="N151"/>
  <c r="M198"/>
  <c r="N198"/>
  <c r="M199"/>
  <c r="N199"/>
  <c r="M200"/>
  <c r="N200"/>
  <c r="M163"/>
  <c r="N163"/>
  <c r="M136"/>
  <c r="N136"/>
  <c r="M186"/>
  <c r="N186"/>
  <c r="M187"/>
  <c r="N187"/>
  <c r="M195"/>
  <c r="N195"/>
  <c r="M140"/>
  <c r="N140"/>
  <c r="F47"/>
  <c r="F175"/>
  <c r="F57"/>
  <c r="F59"/>
  <c r="F62"/>
  <c r="F167"/>
  <c r="F168"/>
  <c r="F66"/>
  <c r="F67"/>
  <c r="F169"/>
  <c r="F68"/>
  <c r="F70"/>
  <c r="F71"/>
  <c r="F72"/>
  <c r="F73"/>
  <c r="F74"/>
  <c r="F82"/>
  <c r="F179"/>
  <c r="F180"/>
  <c r="F196"/>
  <c r="F88"/>
  <c r="F197"/>
  <c r="F91"/>
  <c r="F92"/>
  <c r="F93"/>
  <c r="F100"/>
  <c r="F164"/>
  <c r="F101"/>
  <c r="F102"/>
  <c r="F103"/>
  <c r="F104"/>
  <c r="F105"/>
  <c r="F106"/>
  <c r="F107"/>
  <c r="F122"/>
  <c r="F124"/>
  <c r="F188"/>
  <c r="F189"/>
  <c r="F130"/>
  <c r="F131"/>
  <c r="F132"/>
  <c r="F151"/>
  <c r="F198"/>
  <c r="F199"/>
  <c r="F200"/>
  <c r="F163"/>
  <c r="F136"/>
  <c r="F186"/>
  <c r="F187"/>
  <c r="F195"/>
  <c r="F140"/>
  <c r="M47"/>
  <c r="N47"/>
  <c r="O47"/>
  <c r="M43"/>
  <c r="N43"/>
  <c r="O43"/>
  <c r="F43"/>
  <c r="E43"/>
  <c r="M38"/>
  <c r="N38"/>
  <c r="O38"/>
  <c r="F38"/>
  <c r="E38"/>
  <c r="O15"/>
  <c r="O183"/>
  <c r="I54"/>
  <c r="E106"/>
  <c r="E104"/>
  <c r="E105"/>
  <c r="E107"/>
  <c r="E103"/>
  <c r="E102"/>
  <c r="D184" i="15"/>
  <c r="D227"/>
  <c r="D228"/>
  <c r="E136" i="1"/>
  <c r="E132"/>
  <c r="E100"/>
  <c r="E92"/>
  <c r="E93"/>
  <c r="E88"/>
  <c r="E91"/>
  <c r="E40"/>
  <c r="F40"/>
  <c r="F15"/>
  <c r="E15"/>
  <c r="I40"/>
  <c r="O34"/>
  <c r="O39"/>
  <c r="O41"/>
  <c r="O201"/>
  <c r="O170"/>
  <c r="O171"/>
  <c r="O157"/>
  <c r="O173"/>
  <c r="O174"/>
  <c r="O46"/>
  <c r="O48"/>
  <c r="O30"/>
  <c r="O193"/>
  <c r="O177"/>
  <c r="O5"/>
  <c r="O176"/>
  <c r="O181"/>
  <c r="O182"/>
  <c r="O184"/>
  <c r="O14"/>
  <c r="O27"/>
  <c r="O190"/>
  <c r="O191"/>
  <c r="O162"/>
  <c r="O192"/>
  <c r="O28"/>
  <c r="L40"/>
  <c r="F30"/>
  <c r="N177"/>
  <c r="N4"/>
  <c r="N5"/>
  <c r="N176"/>
  <c r="N181"/>
  <c r="N182"/>
  <c r="N183"/>
  <c r="N184"/>
  <c r="N14"/>
  <c r="N27"/>
  <c r="N190"/>
  <c r="N191"/>
  <c r="N162"/>
  <c r="N192"/>
  <c r="N28"/>
  <c r="N193"/>
  <c r="N34"/>
  <c r="N39"/>
  <c r="N41"/>
  <c r="N201"/>
  <c r="N170"/>
  <c r="N171"/>
  <c r="N157"/>
  <c r="N173"/>
  <c r="N174"/>
  <c r="N46"/>
  <c r="N48"/>
  <c r="M177"/>
  <c r="M4"/>
  <c r="M5"/>
  <c r="M176"/>
  <c r="M181"/>
  <c r="M182"/>
  <c r="M183"/>
  <c r="M184"/>
  <c r="M14"/>
  <c r="M27"/>
  <c r="M190"/>
  <c r="M191"/>
  <c r="M162"/>
  <c r="M192"/>
  <c r="M28"/>
  <c r="M193"/>
  <c r="M34"/>
  <c r="M39"/>
  <c r="M41"/>
  <c r="M201"/>
  <c r="M170"/>
  <c r="M171"/>
  <c r="M157"/>
  <c r="M173"/>
  <c r="M174"/>
  <c r="M46"/>
  <c r="M48"/>
  <c r="E140"/>
  <c r="E195"/>
  <c r="E187"/>
  <c r="E186"/>
  <c r="E163"/>
  <c r="I163" s="1"/>
  <c r="E200"/>
  <c r="E199"/>
  <c r="E198"/>
  <c r="E151"/>
  <c r="I151" s="1"/>
  <c r="E130"/>
  <c r="E189"/>
  <c r="E188"/>
  <c r="E124"/>
  <c r="E122"/>
  <c r="E101"/>
  <c r="E164"/>
  <c r="E197"/>
  <c r="E196"/>
  <c r="E180"/>
  <c r="E179"/>
  <c r="E82"/>
  <c r="E73"/>
  <c r="E72"/>
  <c r="E71"/>
  <c r="E70"/>
  <c r="E68"/>
  <c r="E169"/>
  <c r="E67"/>
  <c r="E66"/>
  <c r="E168"/>
  <c r="E167"/>
  <c r="E62"/>
  <c r="E59"/>
  <c r="E57"/>
  <c r="E175"/>
  <c r="E47"/>
  <c r="F48"/>
  <c r="E48"/>
  <c r="F46"/>
  <c r="E46"/>
  <c r="F174"/>
  <c r="E174"/>
  <c r="F173"/>
  <c r="E173"/>
  <c r="F157"/>
  <c r="E157"/>
  <c r="I157" s="1"/>
  <c r="F171"/>
  <c r="E171"/>
  <c r="F170"/>
  <c r="E170"/>
  <c r="F201"/>
  <c r="E201"/>
  <c r="F41"/>
  <c r="E41"/>
  <c r="F39"/>
  <c r="E39"/>
  <c r="F34"/>
  <c r="E34"/>
  <c r="F193"/>
  <c r="E193"/>
  <c r="F28"/>
  <c r="E28"/>
  <c r="F192"/>
  <c r="E192"/>
  <c r="F162"/>
  <c r="E162"/>
  <c r="F191"/>
  <c r="E191"/>
  <c r="F190"/>
  <c r="E190"/>
  <c r="F27"/>
  <c r="E27"/>
  <c r="F14"/>
  <c r="E184"/>
  <c r="E183"/>
  <c r="E182"/>
  <c r="E181"/>
  <c r="E176"/>
  <c r="E5"/>
  <c r="E4"/>
  <c r="E177"/>
  <c r="I175"/>
  <c r="C257" i="16"/>
  <c r="E260"/>
  <c r="I93" i="1"/>
  <c r="I106"/>
  <c r="I10"/>
  <c r="I6"/>
  <c r="I78"/>
  <c r="I132"/>
  <c r="I105"/>
  <c r="I109"/>
  <c r="I49"/>
  <c r="I103"/>
  <c r="I38"/>
  <c r="F178"/>
  <c r="L110"/>
  <c r="K53"/>
  <c r="I113"/>
  <c r="F8"/>
  <c r="K125"/>
  <c r="I84"/>
  <c r="I21"/>
  <c r="I194"/>
  <c r="F3"/>
  <c r="I32"/>
  <c r="I87"/>
  <c r="L190" i="15"/>
  <c r="K194"/>
  <c r="L189"/>
  <c r="L12" i="1"/>
  <c r="I117"/>
  <c r="L137"/>
  <c r="K112"/>
  <c r="I83"/>
  <c r="I30"/>
  <c r="I100"/>
  <c r="I25"/>
  <c r="I140"/>
  <c r="I107"/>
  <c r="I64"/>
  <c r="K110"/>
  <c r="I185"/>
  <c r="I18"/>
  <c r="I17"/>
  <c r="K111"/>
  <c r="K37"/>
  <c r="I115"/>
  <c r="I86"/>
  <c r="I24"/>
  <c r="I58"/>
  <c r="I168" l="1"/>
  <c r="I45"/>
  <c r="L134"/>
  <c r="I127"/>
  <c r="L83"/>
  <c r="I82"/>
  <c r="I59"/>
  <c r="I124"/>
  <c r="K124" s="1"/>
  <c r="L175"/>
  <c r="I181"/>
  <c r="I66"/>
  <c r="I197"/>
  <c r="L78"/>
  <c r="I187"/>
  <c r="I29"/>
  <c r="K38"/>
  <c r="K106"/>
  <c r="I9"/>
  <c r="I95"/>
  <c r="I50"/>
  <c r="O129"/>
  <c r="I126"/>
  <c r="K132"/>
  <c r="I99"/>
  <c r="I8"/>
  <c r="F9"/>
  <c r="I22"/>
  <c r="I98"/>
  <c r="I3"/>
  <c r="K12"/>
  <c r="I7"/>
  <c r="I69"/>
  <c r="I31"/>
  <c r="I76"/>
  <c r="L45"/>
  <c r="I56"/>
  <c r="I108"/>
  <c r="I28"/>
  <c r="I195"/>
  <c r="I67"/>
  <c r="I177"/>
  <c r="K28"/>
  <c r="K54"/>
  <c r="I130"/>
  <c r="I198"/>
  <c r="I173"/>
  <c r="F12"/>
  <c r="I182"/>
  <c r="F183"/>
  <c r="I180"/>
  <c r="I14"/>
  <c r="K175"/>
  <c r="L132"/>
  <c r="I189"/>
  <c r="I169"/>
  <c r="I75"/>
  <c r="L139"/>
  <c r="X147"/>
  <c r="I121"/>
  <c r="F11"/>
  <c r="K52"/>
  <c r="K100"/>
  <c r="K113"/>
  <c r="L32"/>
  <c r="K58"/>
  <c r="K18"/>
  <c r="L25"/>
  <c r="K103"/>
  <c r="L161"/>
  <c r="I16"/>
  <c r="K140"/>
  <c r="L18"/>
  <c r="L168"/>
  <c r="L6"/>
  <c r="I176"/>
  <c r="F176"/>
  <c r="I193"/>
  <c r="I36"/>
  <c r="L117"/>
  <c r="L30"/>
  <c r="K163"/>
  <c r="K6"/>
  <c r="L109"/>
  <c r="K157"/>
  <c r="K109"/>
  <c r="L106"/>
  <c r="I190"/>
  <c r="I41"/>
  <c r="I48"/>
  <c r="I73"/>
  <c r="F184"/>
  <c r="F177"/>
  <c r="I179"/>
  <c r="I47"/>
  <c r="I201"/>
  <c r="I191"/>
  <c r="I104"/>
  <c r="I129"/>
  <c r="L29"/>
  <c r="L140"/>
  <c r="K117"/>
  <c r="K83"/>
  <c r="K30"/>
  <c r="L194"/>
  <c r="L38"/>
  <c r="K84"/>
  <c r="I183"/>
  <c r="F181"/>
  <c r="I199"/>
  <c r="I101"/>
  <c r="I72"/>
  <c r="I167"/>
  <c r="I43"/>
  <c r="K161"/>
  <c r="F7"/>
  <c r="I120"/>
  <c r="L24"/>
  <c r="L100"/>
  <c r="K197"/>
  <c r="K107"/>
  <c r="K25"/>
  <c r="I159"/>
  <c r="L159" s="1"/>
  <c r="K134"/>
  <c r="L54"/>
  <c r="F5"/>
  <c r="I5"/>
  <c r="L125"/>
  <c r="K10"/>
  <c r="L113"/>
  <c r="L103"/>
  <c r="K168"/>
  <c r="K21"/>
  <c r="K194"/>
  <c r="L157"/>
  <c r="L105"/>
  <c r="L10"/>
  <c r="L97"/>
  <c r="L85"/>
  <c r="I123"/>
  <c r="K139"/>
  <c r="I178"/>
  <c r="I156"/>
  <c r="L49"/>
  <c r="K105"/>
  <c r="I184"/>
  <c r="I162"/>
  <c r="I34"/>
  <c r="I170"/>
  <c r="I174"/>
  <c r="I57"/>
  <c r="I68"/>
  <c r="I122"/>
  <c r="I200"/>
  <c r="F182"/>
  <c r="I88"/>
  <c r="F10"/>
  <c r="I186"/>
  <c r="I188"/>
  <c r="I71"/>
  <c r="I62"/>
  <c r="I46"/>
  <c r="I171"/>
  <c r="I39"/>
  <c r="I192"/>
  <c r="I27"/>
  <c r="K40"/>
  <c r="I92"/>
  <c r="I102"/>
  <c r="I74"/>
  <c r="I131"/>
  <c r="L65"/>
  <c r="I63"/>
  <c r="L112"/>
  <c r="I114"/>
  <c r="I94"/>
  <c r="I116"/>
  <c r="I51"/>
  <c r="I118"/>
  <c r="L52"/>
  <c r="L115"/>
  <c r="K87"/>
  <c r="F4"/>
  <c r="L151"/>
  <c r="K151"/>
  <c r="I15"/>
  <c r="I13"/>
  <c r="L86"/>
  <c r="K24"/>
  <c r="L185"/>
  <c r="L95"/>
  <c r="L87"/>
  <c r="L7"/>
  <c r="K32"/>
  <c r="I4"/>
  <c r="I136"/>
  <c r="F13"/>
  <c r="I133"/>
  <c r="I135"/>
  <c r="I11"/>
  <c r="K147"/>
  <c r="L147"/>
  <c r="I128"/>
  <c r="I23"/>
  <c r="K17"/>
  <c r="L163"/>
  <c r="L197"/>
  <c r="L107"/>
  <c r="K185"/>
  <c r="K9"/>
  <c r="L58"/>
  <c r="L99"/>
  <c r="L17"/>
  <c r="K86"/>
  <c r="L21"/>
  <c r="L98"/>
  <c r="I81"/>
  <c r="K181"/>
  <c r="L53"/>
  <c r="I79"/>
  <c r="L111"/>
  <c r="F6"/>
  <c r="L138"/>
  <c r="I20"/>
  <c r="I35"/>
  <c r="K115"/>
  <c r="L84"/>
  <c r="I70"/>
  <c r="I80"/>
  <c r="I33"/>
  <c r="I77"/>
  <c r="K64"/>
  <c r="K59"/>
  <c r="L64"/>
  <c r="L50"/>
  <c r="K93"/>
  <c r="K78"/>
  <c r="I91"/>
  <c r="L93"/>
  <c r="I196"/>
  <c r="I164"/>
  <c r="K49"/>
  <c r="K65"/>
  <c r="L37"/>
  <c r="K97"/>
  <c r="P141"/>
  <c r="K45" l="1"/>
  <c r="K174"/>
  <c r="L59"/>
  <c r="K82"/>
  <c r="L66"/>
  <c r="K198"/>
  <c r="L127"/>
  <c r="K127"/>
  <c r="L41"/>
  <c r="L198"/>
  <c r="L82"/>
  <c r="K66"/>
  <c r="L124"/>
  <c r="K67"/>
  <c r="K56"/>
  <c r="K187"/>
  <c r="L173"/>
  <c r="L67"/>
  <c r="L56"/>
  <c r="K98"/>
  <c r="K50"/>
  <c r="L9"/>
  <c r="L181"/>
  <c r="L69"/>
  <c r="K76"/>
  <c r="L187"/>
  <c r="K201"/>
  <c r="L179"/>
  <c r="K121"/>
  <c r="K29"/>
  <c r="L8"/>
  <c r="L28"/>
  <c r="L76"/>
  <c r="L126"/>
  <c r="K69"/>
  <c r="K99"/>
  <c r="K126"/>
  <c r="K43"/>
  <c r="L88"/>
  <c r="K74"/>
  <c r="K92"/>
  <c r="K72"/>
  <c r="L75"/>
  <c r="L129"/>
  <c r="L3"/>
  <c r="L31"/>
  <c r="K8"/>
  <c r="L177"/>
  <c r="K182"/>
  <c r="K183"/>
  <c r="K22"/>
  <c r="K195"/>
  <c r="L189"/>
  <c r="L101"/>
  <c r="L22"/>
  <c r="L48"/>
  <c r="K48"/>
  <c r="L167"/>
  <c r="L195"/>
  <c r="K108"/>
  <c r="K95"/>
  <c r="O141"/>
  <c r="K173"/>
  <c r="K7"/>
  <c r="L182"/>
  <c r="K176"/>
  <c r="L108"/>
  <c r="K3"/>
  <c r="L180"/>
  <c r="K177"/>
  <c r="K31"/>
  <c r="K51"/>
  <c r="K102"/>
  <c r="L73"/>
  <c r="K73"/>
  <c r="K171"/>
  <c r="L171"/>
  <c r="K159"/>
  <c r="L121"/>
  <c r="K16"/>
  <c r="L169"/>
  <c r="K130"/>
  <c r="K14"/>
  <c r="K20"/>
  <c r="L70"/>
  <c r="K186"/>
  <c r="L104"/>
  <c r="K193"/>
  <c r="K190"/>
  <c r="L130"/>
  <c r="L102"/>
  <c r="K71"/>
  <c r="L162"/>
  <c r="L131"/>
  <c r="K46"/>
  <c r="K129"/>
  <c r="L191"/>
  <c r="L183"/>
  <c r="K41"/>
  <c r="L36"/>
  <c r="L72"/>
  <c r="K180"/>
  <c r="K80"/>
  <c r="K94"/>
  <c r="K81"/>
  <c r="L57"/>
  <c r="K62"/>
  <c r="L170"/>
  <c r="K170"/>
  <c r="L62"/>
  <c r="L192"/>
  <c r="K192"/>
  <c r="L193"/>
  <c r="L201"/>
  <c r="K179"/>
  <c r="K101"/>
  <c r="L14"/>
  <c r="K169"/>
  <c r="K75"/>
  <c r="K189"/>
  <c r="K63"/>
  <c r="K131"/>
  <c r="K188"/>
  <c r="K120"/>
  <c r="L176"/>
  <c r="L16"/>
  <c r="K36"/>
  <c r="K191"/>
  <c r="K47"/>
  <c r="L47"/>
  <c r="K104"/>
  <c r="L190"/>
  <c r="L43"/>
  <c r="K199"/>
  <c r="L199"/>
  <c r="K162"/>
  <c r="L120"/>
  <c r="K167"/>
  <c r="L51"/>
  <c r="L94"/>
  <c r="L74"/>
  <c r="L92"/>
  <c r="L27"/>
  <c r="K27"/>
  <c r="K39"/>
  <c r="L39"/>
  <c r="L46"/>
  <c r="L71"/>
  <c r="L186"/>
  <c r="K88"/>
  <c r="L200"/>
  <c r="K200"/>
  <c r="K68"/>
  <c r="L68"/>
  <c r="L174"/>
  <c r="L34"/>
  <c r="K34"/>
  <c r="L184"/>
  <c r="K184"/>
  <c r="L178"/>
  <c r="K123"/>
  <c r="L123"/>
  <c r="L5"/>
  <c r="K5"/>
  <c r="L118"/>
  <c r="K118"/>
  <c r="L116"/>
  <c r="K116"/>
  <c r="L114"/>
  <c r="K114"/>
  <c r="L63"/>
  <c r="L188"/>
  <c r="L122"/>
  <c r="K122"/>
  <c r="K57"/>
  <c r="K156"/>
  <c r="L156"/>
  <c r="K178"/>
  <c r="L80"/>
  <c r="L15"/>
  <c r="K15"/>
  <c r="K13"/>
  <c r="L13"/>
  <c r="L135"/>
  <c r="K135"/>
  <c r="K4"/>
  <c r="L4"/>
  <c r="K133"/>
  <c r="L133"/>
  <c r="K136"/>
  <c r="L136"/>
  <c r="L11"/>
  <c r="K11"/>
  <c r="K128"/>
  <c r="L128"/>
  <c r="L81"/>
  <c r="L23"/>
  <c r="K23"/>
  <c r="K77"/>
  <c r="L77"/>
  <c r="K70"/>
  <c r="L20"/>
  <c r="K79"/>
  <c r="L79"/>
  <c r="L33"/>
  <c r="K33"/>
  <c r="L35"/>
  <c r="K35"/>
  <c r="K164"/>
  <c r="L164"/>
  <c r="K196"/>
  <c r="L196"/>
  <c r="L91"/>
  <c r="K91"/>
</calcChain>
</file>

<file path=xl/sharedStrings.xml><?xml version="1.0" encoding="utf-8"?>
<sst xmlns="http://schemas.openxmlformats.org/spreadsheetml/2006/main" count="2687" uniqueCount="803">
  <si>
    <t>S/N</t>
  </si>
  <si>
    <t>staff' Name</t>
  </si>
  <si>
    <t>Car Loan</t>
  </si>
  <si>
    <t>ADENIRAN ADEWALE O</t>
  </si>
  <si>
    <t>OLANIYAN OLUYEMI</t>
  </si>
  <si>
    <t>AKANBI A. G.</t>
  </si>
  <si>
    <t>MORADEYO I. I.</t>
  </si>
  <si>
    <t>OLAGUNJU F. O.</t>
  </si>
  <si>
    <t>ABODERIN OLUSEYE</t>
  </si>
  <si>
    <t>KAZALI KUDIRAT B.</t>
  </si>
  <si>
    <t>ADEGOKE SAMSON A.</t>
  </si>
  <si>
    <t>ADISA VICTORIA O.O.</t>
  </si>
  <si>
    <t>KAREEM SHAKIRUDEEN O.</t>
  </si>
  <si>
    <t>LAWAL ISMAIL</t>
  </si>
  <si>
    <t>OYEWOLE BIOLA LATI</t>
  </si>
  <si>
    <t>SOLOLA IBIJOKE O.</t>
  </si>
  <si>
    <t>ADEKUNLE IBRAHIM A.</t>
  </si>
  <si>
    <t>IDOWU IDOWU E.</t>
  </si>
  <si>
    <t>KUKU OLUWATOBI</t>
  </si>
  <si>
    <t>ADELEKE E. MUFULI</t>
  </si>
  <si>
    <t>ILORI I. A.</t>
  </si>
  <si>
    <t>ADEOSUN OLUSOLA O.</t>
  </si>
  <si>
    <t>SOLE G. A.</t>
  </si>
  <si>
    <t>AJAGUNA M. T.</t>
  </si>
  <si>
    <t>ADESOLA TEMITOPE A.</t>
  </si>
  <si>
    <t>ABIONA B.</t>
  </si>
  <si>
    <t>ADENUGA O. O.</t>
  </si>
  <si>
    <t>AYOOLA M. M.</t>
  </si>
  <si>
    <t>OLAWOYIN R. O.</t>
  </si>
  <si>
    <t>OMOTOSHO AYOTUNDE</t>
  </si>
  <si>
    <t>AILERU A.</t>
  </si>
  <si>
    <t>AKANDE OLUWATOYIN A.</t>
  </si>
  <si>
    <t>ODEJIDE HELEN K.</t>
  </si>
  <si>
    <t>ADEOSUN KEHINDE</t>
  </si>
  <si>
    <t>AREMU OLAYEMI MARY</t>
  </si>
  <si>
    <t>OLANIYI TITILAYO</t>
  </si>
  <si>
    <t>ADEJUMO TAIWO O.</t>
  </si>
  <si>
    <t>ONIBIYO ABIMBOLA. A.</t>
  </si>
  <si>
    <t>ADIO M. O.</t>
  </si>
  <si>
    <t>OLATUNJI-DANIEL A. A.</t>
  </si>
  <si>
    <t>OGUNRIN O. A.</t>
  </si>
  <si>
    <t>EBELOKU-MUSTAPHA R. A.</t>
  </si>
  <si>
    <t>BAMIRO M. A.</t>
  </si>
  <si>
    <t>ODEMAKINDE B. S.</t>
  </si>
  <si>
    <t>MARTINS K. O.</t>
  </si>
  <si>
    <t>OPEBIYI O. O.</t>
  </si>
  <si>
    <t>KOMOLAFE D. I.</t>
  </si>
  <si>
    <t>YUSUFF F. D.</t>
  </si>
  <si>
    <t>KEHINDE K. P.</t>
  </si>
  <si>
    <t>SHOYEBI O. O.</t>
  </si>
  <si>
    <t>AKINWUMI A. V.</t>
  </si>
  <si>
    <t>OYEJIDE O.O.</t>
  </si>
  <si>
    <t>RASAQ MUIDEEN A.</t>
  </si>
  <si>
    <t>KAREEM AMINAT O.</t>
  </si>
  <si>
    <t>OLAGOKE SAHEED K.</t>
  </si>
  <si>
    <t>KOLAWOLE RUTH A.</t>
  </si>
  <si>
    <t>OYEWOLE OLABUNMI I.</t>
  </si>
  <si>
    <t>BELLO SADIQ B.</t>
  </si>
  <si>
    <t>AJIBIKE RASHEED O.</t>
  </si>
  <si>
    <t>OLADIPO JEMILAT M.</t>
  </si>
  <si>
    <t>ADEPOJU ALIU A.</t>
  </si>
  <si>
    <t>ADEBISI JELILI O.</t>
  </si>
  <si>
    <t>AMOO S.T</t>
  </si>
  <si>
    <t>ODERINDE FELICIA O.</t>
  </si>
  <si>
    <t>RAJI JANET D.</t>
  </si>
  <si>
    <t>OGUNYEMI BABATUNDE</t>
  </si>
  <si>
    <t>BAKARE A. T.</t>
  </si>
  <si>
    <t>HAMMED S. O.</t>
  </si>
  <si>
    <t>ODUNTAN O. E.</t>
  </si>
  <si>
    <t>ISIAKA S.</t>
  </si>
  <si>
    <t>BAMIDELE A. A.</t>
  </si>
  <si>
    <t>OYINLOLA R. T.</t>
  </si>
  <si>
    <t>YUSUFF K. A.</t>
  </si>
  <si>
    <t>OYENIRAN S.</t>
  </si>
  <si>
    <t>SUNMONU W. B.</t>
  </si>
  <si>
    <t>AYINDE O.</t>
  </si>
  <si>
    <t>ADEYEMO G.</t>
  </si>
  <si>
    <t>ADELEYE M. E.</t>
  </si>
  <si>
    <t>GEORGE E. O.</t>
  </si>
  <si>
    <t>ISMAIL A. M.</t>
  </si>
  <si>
    <t>OLAWALE-WAHAB I.</t>
  </si>
  <si>
    <t>MARTINS G.</t>
  </si>
  <si>
    <t>ADEDIRAN J.O</t>
  </si>
  <si>
    <t>OJO O. A.</t>
  </si>
  <si>
    <t>ADEBIYI-AJALA T.O</t>
  </si>
  <si>
    <t>ADEOYE C. A.</t>
  </si>
  <si>
    <t>ESORUN T.</t>
  </si>
  <si>
    <t>OKULAJA A. F., B.</t>
  </si>
  <si>
    <t>OLADUNMOMI O. T.</t>
  </si>
  <si>
    <t>ADIGUN A. M.</t>
  </si>
  <si>
    <t>KOLADE E. B.</t>
  </si>
  <si>
    <t>ADISA T. A.</t>
  </si>
  <si>
    <t>ALADE M. I.</t>
  </si>
  <si>
    <t>AREMU K. A.</t>
  </si>
  <si>
    <t>BILIAMINU V. B.</t>
  </si>
  <si>
    <t>ADEROUNMU E. M.</t>
  </si>
  <si>
    <t>AKINWALE K.</t>
  </si>
  <si>
    <t>FOLORUNSHO G.</t>
  </si>
  <si>
    <t>ABEGUNDE E. M.</t>
  </si>
  <si>
    <t>OLANREWAJU O. M.</t>
  </si>
  <si>
    <t>SALAKO ALIRAT ROMOKE</t>
  </si>
  <si>
    <t>SALAMI I. M.</t>
  </si>
  <si>
    <t>OMOJUWA E. O.</t>
  </si>
  <si>
    <t>ENIOLA E. O.</t>
  </si>
  <si>
    <t>OJEBOWALE A.</t>
  </si>
  <si>
    <t>RASAQ ABIDEMI S.</t>
  </si>
  <si>
    <t>AKINDELE- SALAWU C. F</t>
  </si>
  <si>
    <t>MUIBI JELILI A.</t>
  </si>
  <si>
    <t>ODEYEMI DIWURA T.</t>
  </si>
  <si>
    <t>AYANDOTUN B. A</t>
  </si>
  <si>
    <t>ALADE MODINAT A.</t>
  </si>
  <si>
    <t>QOSIM SAUDAT A.</t>
  </si>
  <si>
    <t>ADEROUNMU LAIDE Y.</t>
  </si>
  <si>
    <t>ALADE O. S.</t>
  </si>
  <si>
    <t>OBASOOTO OLUDELE R.</t>
  </si>
  <si>
    <t>OLANIYAN IDOWU F.</t>
  </si>
  <si>
    <t>RAJI ALIU</t>
  </si>
  <si>
    <t>OMOTOSHO RASHEED</t>
  </si>
  <si>
    <t>OLADEJO O. L.</t>
  </si>
  <si>
    <t>GANIYU TAWAKALITU O.</t>
  </si>
  <si>
    <t>SEJINRIN KEMI C.</t>
  </si>
  <si>
    <t>OJO ABIODUN</t>
  </si>
  <si>
    <t>TAIWO MARY FOLASADE.</t>
  </si>
  <si>
    <t>ADEKUNLE SAKIRAT B.</t>
  </si>
  <si>
    <t>SHOLAJA WAHEED A.</t>
  </si>
  <si>
    <t>IBITOKUN AYODELE O.</t>
  </si>
  <si>
    <t>OMONIYI OLUSOLA O.</t>
  </si>
  <si>
    <t>OYEDOTUN ISIAKA</t>
  </si>
  <si>
    <t>JAIYEOBA OLURANTI A.</t>
  </si>
  <si>
    <t>AMUSA TAOFEEK A.</t>
  </si>
  <si>
    <t>OLADEJI SAUBANA</t>
  </si>
  <si>
    <t>OYESIJI JAMES MR.</t>
  </si>
  <si>
    <t>ADEPOJU S. ADEOLA</t>
  </si>
  <si>
    <t>OJO BUNMI</t>
  </si>
  <si>
    <t>SALIMAN ABIDEEN</t>
  </si>
  <si>
    <t>JEMIYO MAYOWA J.</t>
  </si>
  <si>
    <t>OWOLABI OLANREWAJU A.</t>
  </si>
  <si>
    <t>SANGODAPO OLUKUNLE</t>
  </si>
  <si>
    <t>SANUSI OMOLARA</t>
  </si>
  <si>
    <t>SOBALOJU MUSILI A.</t>
  </si>
  <si>
    <t>OJO FUNMILAYO</t>
  </si>
  <si>
    <t>AWOLOLA S.O</t>
  </si>
  <si>
    <t>HARUNA IBRAHIM</t>
  </si>
  <si>
    <t>RAJI TAIWO T.</t>
  </si>
  <si>
    <t>ADESINA-MAKINDE V.O.</t>
  </si>
  <si>
    <t>ODERINDE S.A</t>
  </si>
  <si>
    <t>EDUN ESTHER O.</t>
  </si>
  <si>
    <t>OLARIBIGBE BOLANLE O.</t>
  </si>
  <si>
    <t>AYOADE ODUNAYO</t>
  </si>
  <si>
    <t>AMOO MICHAEL</t>
  </si>
  <si>
    <t>LALERU JANET A.</t>
  </si>
  <si>
    <t>LANIRAN OLUMIDE D.</t>
  </si>
  <si>
    <t>ADIGUN KEHINDE</t>
  </si>
  <si>
    <t>OGUNDEPO YISAU A.</t>
  </si>
  <si>
    <t>OSAZUWA ROBERT</t>
  </si>
  <si>
    <t>OGUNDARE RASHEED</t>
  </si>
  <si>
    <t>ALIMI I.A</t>
  </si>
  <si>
    <t>OYEDIRAN TIRIMISIYU</t>
  </si>
  <si>
    <t>BADIRU P.A</t>
  </si>
  <si>
    <t>LAWAL IDAYAT OLABISI</t>
  </si>
  <si>
    <t>ABIOLA MUJIDAT D.</t>
  </si>
  <si>
    <t>FADELE  O.O.</t>
  </si>
  <si>
    <t>ALADE J.</t>
  </si>
  <si>
    <t>TOTAL</t>
  </si>
  <si>
    <t>BELLO SAIDAT</t>
  </si>
  <si>
    <t>ASAOLU OYEWOLE</t>
  </si>
  <si>
    <t>EWUOLA LAWRENCE</t>
  </si>
  <si>
    <t>ADELEKE T. A.</t>
  </si>
  <si>
    <t>AJAYI B. J.</t>
  </si>
  <si>
    <t>OLAPADE O. S.</t>
  </si>
  <si>
    <t>AFOLABI MARY A.</t>
  </si>
  <si>
    <t>OLAYINKA A.</t>
  </si>
  <si>
    <t>BALOGUN ABIBAT A.</t>
  </si>
  <si>
    <t>ABIOYE N.HASSAN</t>
  </si>
  <si>
    <t>AJAYI ADEOLA O.</t>
  </si>
  <si>
    <t>OLAYIWOLA R. A.</t>
  </si>
  <si>
    <t>SANNI OLUWOLE O.</t>
  </si>
  <si>
    <t>ADEGOKE GAFAR</t>
  </si>
  <si>
    <t>HARUNA RILIWANU</t>
  </si>
  <si>
    <t>OGUNKANMI OLANIKE. O</t>
  </si>
  <si>
    <t>Mr A. A. Ipaye</t>
  </si>
  <si>
    <t>AYILARA OMOLOLA A.</t>
  </si>
  <si>
    <t>AGBAJE MARY O., S.</t>
  </si>
  <si>
    <t>ARANSI MUKAILA</t>
  </si>
  <si>
    <t>LAMIDI-HUSSEIN K. O</t>
  </si>
  <si>
    <t>ADENUGA JUMOKE A.</t>
  </si>
  <si>
    <t>LAWAL ADENIKE M.</t>
  </si>
  <si>
    <t>ALABI FUNMILAYO S.</t>
  </si>
  <si>
    <t>AKINDUNNI OLUWAJUMOKE A.</t>
  </si>
  <si>
    <t>BABALOLA AINA O.</t>
  </si>
  <si>
    <t>IWUNOR OLUBISI O.</t>
  </si>
  <si>
    <t>OLAGUNJU ESTHER A.</t>
  </si>
  <si>
    <t>AMOLE D. S.</t>
  </si>
  <si>
    <t>UTHMAN I. O.</t>
  </si>
  <si>
    <t>BABALOLA-GIWA M. I.</t>
  </si>
  <si>
    <t>RAJI H. M.</t>
  </si>
  <si>
    <t>OLASUNKANMI A.</t>
  </si>
  <si>
    <t>KOLAPO TAWA A.</t>
  </si>
  <si>
    <t>OLUSANYA FLORENCE O.</t>
  </si>
  <si>
    <t>SALAMI W. A.</t>
  </si>
  <si>
    <t>SAMUEL PATIENCE C.</t>
  </si>
  <si>
    <t>ADESAMI MODUPELOLA M.</t>
  </si>
  <si>
    <t>OLAITAN LANRE IYIOLA</t>
  </si>
  <si>
    <t>OLAWORE MICHEAL F.</t>
  </si>
  <si>
    <t>MOSOMI OLUWAFUNKE</t>
  </si>
  <si>
    <t>AKINYELE A. A.,O.</t>
  </si>
  <si>
    <t>FALANA V. O.</t>
  </si>
  <si>
    <t>OLANIYAN O.</t>
  </si>
  <si>
    <t>ADEBAYO O. T.</t>
  </si>
  <si>
    <t>OLANIYAN   MISTURA B.</t>
  </si>
  <si>
    <t>FOLORUNSO. O. MODUPE</t>
  </si>
  <si>
    <t>ALADE VICTORIA A.</t>
  </si>
  <si>
    <t>SALAMI TOYIN O.</t>
  </si>
  <si>
    <t>ADEBISI ALIRAT T.</t>
  </si>
  <si>
    <t>OGUNLEKE OLUTAYO A.</t>
  </si>
  <si>
    <t>ELEGBEDE CHRISTIANAH</t>
  </si>
  <si>
    <t>AKINPELU ABIODUN</t>
  </si>
  <si>
    <t>ADEGBAYI I. A.</t>
  </si>
  <si>
    <t>OLAGUNJU K. A.</t>
  </si>
  <si>
    <t>TIJANI S. D.</t>
  </si>
  <si>
    <t>ONI OLUWABUNMI E.</t>
  </si>
  <si>
    <t>ABASS A. I.</t>
  </si>
  <si>
    <t>BAMIGBOLA A. L.</t>
  </si>
  <si>
    <t>OYELADE O. T.</t>
  </si>
  <si>
    <t>LADEOKIN M. A.</t>
  </si>
  <si>
    <t>ABIOLA GANIYAT A.</t>
  </si>
  <si>
    <t>OYEJIDE F. O.</t>
  </si>
  <si>
    <t>ADEPOJU A.</t>
  </si>
  <si>
    <t>BABATUNDE T. I.</t>
  </si>
  <si>
    <t>OLADEPO T. S.</t>
  </si>
  <si>
    <t>OPEYEMI-AKORO O. R.</t>
  </si>
  <si>
    <t>SHODE JELILI O.</t>
  </si>
  <si>
    <t>ADESIDA BOSEDE O.</t>
  </si>
  <si>
    <t>EWUOLA GRACE A.</t>
  </si>
  <si>
    <t>OLAJIRE FASILAT</t>
  </si>
  <si>
    <t>Mrs OBASOOTO ABIGAEL O.</t>
  </si>
  <si>
    <t>OKETOKI A.F</t>
  </si>
  <si>
    <t>MORRIS LOLA O.</t>
  </si>
  <si>
    <t>AYOOLA SAUDAT O.</t>
  </si>
  <si>
    <t>YEKEEN MOJEED</t>
  </si>
  <si>
    <t>ONWUCHEKA I.</t>
  </si>
  <si>
    <t>OJO SAMSON</t>
  </si>
  <si>
    <t>ADERINKOMI ADETAYO J.</t>
  </si>
  <si>
    <t>OGUNSOLA EMMANUEL O.</t>
  </si>
  <si>
    <t>AJADI CORNELIUS A.</t>
  </si>
  <si>
    <t>ABORISADE MOLIK</t>
  </si>
  <si>
    <t>LAMIDI RAMONI</t>
  </si>
  <si>
    <t>KAREEM KAMORU</t>
  </si>
  <si>
    <t>BUSARI NURENI</t>
  </si>
  <si>
    <t>GAFARI MAKINDE</t>
  </si>
  <si>
    <t>LAMIDI TAJUDEEN</t>
  </si>
  <si>
    <t>AMINU T.</t>
  </si>
  <si>
    <t>OWONIKOKO OLADIPO ADEMOLA</t>
  </si>
  <si>
    <t>OYERINDE A. M.</t>
  </si>
  <si>
    <t>ABIDOGUN ADENIKE V.</t>
  </si>
  <si>
    <t>OKOFOR IFEOLUWA O.</t>
  </si>
  <si>
    <t>OWOADE Y.O</t>
  </si>
  <si>
    <t>ADEYEMO BISOLA</t>
  </si>
  <si>
    <t>KAZEEM OLUJOKE</t>
  </si>
  <si>
    <t>AYANNIRAN O.</t>
  </si>
  <si>
    <t>ODUFUWA-ABAYOMI O. A.</t>
  </si>
  <si>
    <t>MUSTAPHA DAUDA</t>
  </si>
  <si>
    <t>MR. ABAYOMI OGUNDELE</t>
  </si>
  <si>
    <t>LAST INSTALMENT MONTH AND YEAR</t>
  </si>
  <si>
    <t>MRS. B. S. ODEMAKINDE</t>
  </si>
  <si>
    <t>MRS. OLANIYOMU O. ALICE</t>
  </si>
  <si>
    <t>MR. A. T. BAKARE</t>
  </si>
  <si>
    <t>-</t>
  </si>
  <si>
    <t>MR. ROTIMI AWEDA</t>
  </si>
  <si>
    <t>MRS. R. A. ADEJUWON</t>
  </si>
  <si>
    <t>MRS. V. M AROGUNDADE</t>
  </si>
  <si>
    <t>AUGUST, 2013</t>
  </si>
  <si>
    <t>JUNE, 2013</t>
  </si>
  <si>
    <t>SEPTEMBER, 2013</t>
  </si>
  <si>
    <t>MARCH, 2012</t>
  </si>
  <si>
    <t>APRIL, 2012</t>
  </si>
  <si>
    <t>JUNE, 2014</t>
  </si>
  <si>
    <t>APRIL, 2013</t>
  </si>
  <si>
    <t>MRS. ENIOLA A ABIGAEL</t>
  </si>
  <si>
    <t>MRS. AKINTOLA S. ABIODUN</t>
  </si>
  <si>
    <t>MR. ADEMAKINWA KEHINDE B</t>
  </si>
  <si>
    <t>MR. ADEKUNLE MURUFU</t>
  </si>
  <si>
    <t>MR. AREMU T. OLAYINKA</t>
  </si>
  <si>
    <t>MAY, 2014</t>
  </si>
  <si>
    <t>OCTOBER, 2014</t>
  </si>
  <si>
    <t>MRS. OMOTUNDE F. AKINGBADE</t>
  </si>
  <si>
    <t>MRS. AHMED FAUSAT A.</t>
  </si>
  <si>
    <t xml:space="preserve">MR. ADESOKAN MORADEYO A. </t>
  </si>
  <si>
    <t>APRIL, 2015</t>
  </si>
  <si>
    <t>REMARK</t>
  </si>
  <si>
    <t>MRS. KOLAWOLE RUTH A.</t>
  </si>
  <si>
    <t>SEPTEMBER, 2014</t>
  </si>
  <si>
    <t>MR. OYERINDE LATEEF</t>
  </si>
  <si>
    <t>MR. ALIMI ABIODUN</t>
  </si>
  <si>
    <t>MR. BAKARE ADEGBOLA T.</t>
  </si>
  <si>
    <t>MRS. ADEKILE M.I.</t>
  </si>
  <si>
    <t>DECEMBER, 2014</t>
  </si>
  <si>
    <t>MAY, 2015</t>
  </si>
  <si>
    <t>MR. T. A. LAWAL</t>
  </si>
  <si>
    <t>OLAGUNJU IBUKUN J.</t>
  </si>
  <si>
    <t>ADEYEMI B. F.</t>
  </si>
  <si>
    <t>REF. I.D</t>
  </si>
  <si>
    <t>STAFF NAME</t>
  </si>
  <si>
    <t>NO. OF. INSTL.</t>
  </si>
  <si>
    <t>NO. OF INSTAL. PAID</t>
  </si>
  <si>
    <t>NO. OF INSTAL. OUTS.</t>
  </si>
  <si>
    <t>High Court of Justice, Ring Road, Ibadan.</t>
  </si>
  <si>
    <t>CR'S OFFICE</t>
  </si>
  <si>
    <t>BADRUDEEN F. A.</t>
  </si>
  <si>
    <t>DUROSARO-TIJANI K. Y.</t>
  </si>
  <si>
    <t>IDOWU E. A.</t>
  </si>
  <si>
    <t>ADEBISI S. H.</t>
  </si>
  <si>
    <t>ADESINA A. J.</t>
  </si>
  <si>
    <t>ADISA OTITOLOJU O.</t>
  </si>
  <si>
    <t>AMZAT O. A.</t>
  </si>
  <si>
    <t>OLADIRAN TAIWO</t>
  </si>
  <si>
    <t>SALAMI MUIDEEN</t>
  </si>
  <si>
    <t>OMOTOSHO O. K.</t>
  </si>
  <si>
    <t>ADEROUNMU M. O.</t>
  </si>
  <si>
    <t>ABDULSALAM NAFISAH. O.</t>
  </si>
  <si>
    <t>ADETUYIBI PATRICIA O.</t>
  </si>
  <si>
    <t>MUDASHIRU MAARUF</t>
  </si>
  <si>
    <t>AJADI O. O.</t>
  </si>
  <si>
    <t>OYEDIRAN S.</t>
  </si>
  <si>
    <t>ADETUJOYE O. A.</t>
  </si>
  <si>
    <t>AKANNI M. O.</t>
  </si>
  <si>
    <t>OGUNBONA N. A.,J.</t>
  </si>
  <si>
    <t>RICHARD A.</t>
  </si>
  <si>
    <t>ADEBISI A. A</t>
  </si>
  <si>
    <t>LAWAL TIRIMISIYU A.</t>
  </si>
  <si>
    <t>ALAO O. O.</t>
  </si>
  <si>
    <t>MAINTENANCE A</t>
  </si>
  <si>
    <t>PROBATE</t>
  </si>
  <si>
    <t>MAINTENANCE D</t>
  </si>
  <si>
    <t>HIGH COURT OF JUSTICE.</t>
  </si>
  <si>
    <t>ANALYSIS FOR THE MONTH OF AUGUST, 2016.</t>
  </si>
  <si>
    <t>NO</t>
  </si>
  <si>
    <t>SECTIONS</t>
  </si>
  <si>
    <t>G40</t>
  </si>
  <si>
    <t>LITIGATION A</t>
  </si>
  <si>
    <t>LITIGATION B</t>
  </si>
  <si>
    <t>LITIGATION C</t>
  </si>
  <si>
    <t>LITIGATION D</t>
  </si>
  <si>
    <t>LITIGATION E</t>
  </si>
  <si>
    <t>LITIGATION F</t>
  </si>
  <si>
    <t>LITIGATION G</t>
  </si>
  <si>
    <t>MAINTENANCE B</t>
  </si>
  <si>
    <t>MAINTENANCE C</t>
  </si>
  <si>
    <t>ACCOUNTS</t>
  </si>
  <si>
    <t>APPEAL SECTION</t>
  </si>
  <si>
    <t>ESTAB &amp; ADMIN</t>
  </si>
  <si>
    <t>LIBRARY</t>
  </si>
  <si>
    <t>AUDIT</t>
  </si>
  <si>
    <t>BUDGET &amp; PLANNING</t>
  </si>
  <si>
    <t>LAW REPORTING</t>
  </si>
  <si>
    <t>PROTOCOL</t>
  </si>
  <si>
    <t>BANK NAME</t>
  </si>
  <si>
    <t>CASH</t>
  </si>
  <si>
    <t>NAME:, _____________________________________</t>
  </si>
  <si>
    <t>ACCESS BANK PLC.</t>
  </si>
  <si>
    <t>AWE MICROFINACE BANK PLC.</t>
  </si>
  <si>
    <t>CREST MICROFINANCE BANK LTD. OKE-BOLA</t>
  </si>
  <si>
    <t>ENTERPRISE BANK PLC</t>
  </si>
  <si>
    <t>F.C.M.B. PLC</t>
  </si>
  <si>
    <t>FIDELITY BANK PLC.</t>
  </si>
  <si>
    <t>FIRST BANK PLC.</t>
  </si>
  <si>
    <t>FIRSTINDEX MICROFINANCE BANK.</t>
  </si>
  <si>
    <t>GUARANTY TRUST BANK PLC.</t>
  </si>
  <si>
    <t>IFEDAPO MICROFINANCE BANK LTD, SAKI.</t>
  </si>
  <si>
    <t>IGBOORA MICROFINANCE BANK LTD, IGBOORA.</t>
  </si>
  <si>
    <t>MAINSTREET BANK PLC.</t>
  </si>
  <si>
    <t>OLOGBON MICROFINANCE BANK LTD, OGBOMOSO.</t>
  </si>
  <si>
    <t>SKYE BANK PLC.</t>
  </si>
  <si>
    <t>STANBIC IBTC BANK PLC.</t>
  </si>
  <si>
    <t>UBA PLC</t>
  </si>
  <si>
    <t>UNION BANK PLC</t>
  </si>
  <si>
    <t>WEMA BANK PLC</t>
  </si>
  <si>
    <t>ZENITH BANK PLC</t>
  </si>
  <si>
    <t>OMOBOYEDE A. M.</t>
  </si>
  <si>
    <t>OLUTUNDE S.</t>
  </si>
  <si>
    <t>MR. I. J. OLAGUNJU</t>
  </si>
  <si>
    <t>MR. O. O. ALAO</t>
  </si>
  <si>
    <t>MRS. B. F. ADEYEMI</t>
  </si>
  <si>
    <t>ADETEJU MISBAUDEEN A.</t>
  </si>
  <si>
    <t>AWEDA R. S.</t>
  </si>
  <si>
    <t>BAJELA A. O.</t>
  </si>
  <si>
    <t>OWOADE OBEMBE. S.</t>
  </si>
  <si>
    <t>OLAIYAPO I. B.</t>
  </si>
  <si>
    <t>ADAMS TAIWO</t>
  </si>
  <si>
    <t>ADEDEJI YISAU</t>
  </si>
  <si>
    <r>
      <t xml:space="preserve">PRINCIPAL </t>
    </r>
    <r>
      <rPr>
        <b/>
        <strike/>
        <sz val="9"/>
        <color indexed="8"/>
        <rFont val="Courier New"/>
        <family val="3"/>
      </rPr>
      <t>N</t>
    </r>
  </si>
  <si>
    <r>
      <t xml:space="preserve">INTEREST </t>
    </r>
    <r>
      <rPr>
        <b/>
        <strike/>
        <sz val="9"/>
        <color indexed="8"/>
        <rFont val="Courier New"/>
        <family val="3"/>
      </rPr>
      <t>N</t>
    </r>
  </si>
  <si>
    <r>
      <t xml:space="preserve">TOTAL LOAN </t>
    </r>
    <r>
      <rPr>
        <b/>
        <strike/>
        <sz val="9"/>
        <color indexed="8"/>
        <rFont val="Courier New"/>
        <family val="3"/>
      </rPr>
      <t>N</t>
    </r>
  </si>
  <si>
    <r>
      <t xml:space="preserve">TOTAL LOAN PAID </t>
    </r>
    <r>
      <rPr>
        <b/>
        <strike/>
        <sz val="9"/>
        <color indexed="8"/>
        <rFont val="Courier New"/>
        <family val="3"/>
      </rPr>
      <t>N</t>
    </r>
  </si>
  <si>
    <r>
      <t xml:space="preserve">MONTHLY DED </t>
    </r>
    <r>
      <rPr>
        <b/>
        <strike/>
        <sz val="8"/>
        <color indexed="8"/>
        <rFont val="Courier New"/>
        <family val="3"/>
      </rPr>
      <t>N</t>
    </r>
  </si>
  <si>
    <t>MR. AWEDA R. S</t>
  </si>
  <si>
    <t>TOTAL LOAN PAID N</t>
  </si>
  <si>
    <t>OUTS. BAL. N</t>
  </si>
  <si>
    <t>MRS. T. A. MOJEED</t>
  </si>
  <si>
    <t>MRS. I. OYINLOLA</t>
  </si>
  <si>
    <t>MR. O. OSUNLANA</t>
  </si>
  <si>
    <t>SALIMAN ABIDEEN (ABIODUN E. O.)</t>
  </si>
  <si>
    <t>MOJEED T. A</t>
  </si>
  <si>
    <t>OSUNLANA OLUSEYI</t>
  </si>
  <si>
    <t>OYINLOLA IDAYAT</t>
  </si>
  <si>
    <t>ABIODUN E.O.</t>
  </si>
  <si>
    <t>OLADOJA ABOSEDE</t>
  </si>
  <si>
    <t>FAWOLE TAIWO</t>
  </si>
  <si>
    <t>O. M. AKINLABI</t>
  </si>
  <si>
    <t>E. T. OYENIRAN</t>
  </si>
  <si>
    <t>A. FALADE</t>
  </si>
  <si>
    <t>SEGUN ONI</t>
  </si>
  <si>
    <t>O. O. SUNMONU</t>
  </si>
  <si>
    <t>E. O. HASSAN</t>
  </si>
  <si>
    <t>O. A. ASOLO</t>
  </si>
  <si>
    <t>O. ABIOLA</t>
  </si>
  <si>
    <t>S. OLAIFA</t>
  </si>
  <si>
    <t>O. ADEWOYIN</t>
  </si>
  <si>
    <t>S. G. OGUNSANYA</t>
  </si>
  <si>
    <t>R. K. AREMU</t>
  </si>
  <si>
    <t>OLADOJA ABOSEDE .O.</t>
  </si>
  <si>
    <t>FAWOLE T. O.</t>
  </si>
  <si>
    <t>AKINLABI O. M.</t>
  </si>
  <si>
    <t>OYENIRAN E. T.</t>
  </si>
  <si>
    <t>FALADE ADEKUNLE G.</t>
  </si>
  <si>
    <t>ONI SEGUN</t>
  </si>
  <si>
    <t>SUNMON OLAMILETRILLION O.</t>
  </si>
  <si>
    <t>ASOLO O. ADEBOLA</t>
  </si>
  <si>
    <t>ABIOLA OYETUNDE</t>
  </si>
  <si>
    <t>OLAIFA SUNMOLA</t>
  </si>
  <si>
    <t>ADEWOYIN ODUNOLA</t>
  </si>
  <si>
    <t>OGUNSANYA S. G.</t>
  </si>
  <si>
    <t>AREMU RACHAEL K.</t>
  </si>
  <si>
    <t>*</t>
  </si>
  <si>
    <t>ELIZABETH HASSAN</t>
  </si>
  <si>
    <t>MR. SAHEED G. ABIOYE</t>
  </si>
  <si>
    <t>MRS. O. Y. ALUKO</t>
  </si>
  <si>
    <t>MRS. D. O. ABODUNDE</t>
  </si>
  <si>
    <t>MRS. R. A. OWOADE</t>
  </si>
  <si>
    <t>MRS. J. A. OWOADE</t>
  </si>
  <si>
    <t>MR. A. O. ADEFI</t>
  </si>
  <si>
    <t>ADEBOYA O. O.</t>
  </si>
  <si>
    <t>MRS. A. YUSUFF</t>
  </si>
  <si>
    <t>SAFIU-OLALERE S, K</t>
  </si>
  <si>
    <t>MRS. Y. S. OGUNSIJI</t>
  </si>
  <si>
    <t>MRS. F. AYENI</t>
  </si>
  <si>
    <t>OHU ABOSEDE</t>
  </si>
  <si>
    <t>ABIFARIN TOYIN</t>
  </si>
  <si>
    <t>MRS. A. T. TIJANI</t>
  </si>
  <si>
    <t>MR. S. G. OSINEYE</t>
  </si>
  <si>
    <t>MR. A. L.AWE</t>
  </si>
  <si>
    <t>MRS. H. K. SANGOBIYI</t>
  </si>
  <si>
    <t>MR. J. O. ALAO</t>
  </si>
  <si>
    <t>MRS. M. O. AYOADE</t>
  </si>
  <si>
    <t>MRS. M. O. YUSUFF</t>
  </si>
  <si>
    <t>MR. S. A. ADEJINMI</t>
  </si>
  <si>
    <t>MRS. ODETUNDE A. O.</t>
  </si>
  <si>
    <t>MR. A. ESAN</t>
  </si>
  <si>
    <t>MR. AFOLABI ABRAHAM</t>
  </si>
  <si>
    <t>MR. KADIRI MOHAMMED</t>
  </si>
  <si>
    <t>MR. OLATUNJI ADEREMI</t>
  </si>
  <si>
    <t>ODETUNDE A. O.</t>
  </si>
  <si>
    <t>YUSUFF ADIJAT</t>
  </si>
  <si>
    <t>ESAN ADENRELE</t>
  </si>
  <si>
    <t>Mrs A. T. Tijani</t>
  </si>
  <si>
    <t>LAWAL F. A.</t>
  </si>
  <si>
    <t>MRS. M.K. SAFIU OLALERE</t>
  </si>
  <si>
    <t>OSINEYE S. G.</t>
  </si>
  <si>
    <t>AWE A. L.</t>
  </si>
  <si>
    <t>FAGBAYIMU A. G.</t>
  </si>
  <si>
    <t>SALAU L. A.</t>
  </si>
  <si>
    <t>AJALA O.</t>
  </si>
  <si>
    <t>SANGOBIYI H. K.</t>
  </si>
  <si>
    <t>ALAO J. O.</t>
  </si>
  <si>
    <t>AYOADE M. O.</t>
  </si>
  <si>
    <t>HASSAN ELIZABETH O.</t>
  </si>
  <si>
    <t>OLABAMIJI ADETUTU A.</t>
  </si>
  <si>
    <t>OSUNLANA O.</t>
  </si>
  <si>
    <t>YUSUFF MUJIDAT O.</t>
  </si>
  <si>
    <t>ABIOYE SAHEED G.</t>
  </si>
  <si>
    <t>OWOADE J. A</t>
  </si>
  <si>
    <t>OWOADE R. O.</t>
  </si>
  <si>
    <t>ALUKO OLUWAKEMI Y.</t>
  </si>
  <si>
    <t>ADEFI ADENIYI</t>
  </si>
  <si>
    <t>AYENI FUNMILAYO</t>
  </si>
  <si>
    <t>OLADOKUN JIMOH</t>
  </si>
  <si>
    <t>ABODUNDE DOJA</t>
  </si>
  <si>
    <t>OGUNJIMI YETUNDE S.</t>
  </si>
  <si>
    <t>AFOLABI ABRAHAM</t>
  </si>
  <si>
    <t>KADIRI MOHAMMED</t>
  </si>
  <si>
    <t>OLATUNJI ADEREMI M.</t>
  </si>
  <si>
    <t>ADEJINMI SUNDAY A.</t>
  </si>
  <si>
    <t>OLABAMIJI ADETUTU</t>
  </si>
  <si>
    <t>MRS. B.S. ODEMAKINDE</t>
  </si>
  <si>
    <t>MR. F. O. OMOTOSHO</t>
  </si>
  <si>
    <t>MR. OLADOKUN JIMOH</t>
  </si>
  <si>
    <t>MR. ONWUCHEKA I</t>
  </si>
  <si>
    <t>MR. SAMSON OJO</t>
  </si>
  <si>
    <t>MRS. O. D. ADESOLA</t>
  </si>
  <si>
    <t>OMOTOSHO F. O.</t>
  </si>
  <si>
    <t>ADESOLA OLUWATOBI D.</t>
  </si>
  <si>
    <t>MRS. O. J. ODUGBO</t>
  </si>
  <si>
    <t>Grand Total</t>
  </si>
  <si>
    <t>OLUGBILE OPEOLU J.</t>
  </si>
  <si>
    <t>BELLO OLAORE A.</t>
  </si>
  <si>
    <t>RAJI MISITURA</t>
  </si>
  <si>
    <t>OLANASE IYABODE A.</t>
  </si>
  <si>
    <t>ADEKOLA MULIKAT</t>
  </si>
  <si>
    <t>OMOTOSHO TAIWO</t>
  </si>
  <si>
    <t>OMOFOYEWA AZEEZ A.</t>
  </si>
  <si>
    <t>OYEKALE OLUGBADE</t>
  </si>
  <si>
    <t>ADELEYE GRACE OLANIKE.</t>
  </si>
  <si>
    <t>ALAMU O Mr.</t>
  </si>
  <si>
    <t>OGUNSILE BIMPE</t>
  </si>
  <si>
    <t>JIMOH MORUFAT A.</t>
  </si>
  <si>
    <t>BABALOLA B.</t>
  </si>
  <si>
    <t>OLALEKAN L.O.</t>
  </si>
  <si>
    <t>KUKU ESTHER F.</t>
  </si>
  <si>
    <t>OYEBODE  T.I.</t>
  </si>
  <si>
    <t>AJEWUMI M.A.</t>
  </si>
  <si>
    <t>Mrs S. Adediran karimu</t>
  </si>
  <si>
    <t>ABASS TAIWO A.</t>
  </si>
  <si>
    <t>ADELEKE FOLASADE D.</t>
  </si>
  <si>
    <t>OLAOLUWA MAGRET O.</t>
  </si>
  <si>
    <t>DURODOLA YETUNDE TOLA</t>
  </si>
  <si>
    <t>ADEMOYE FOLASADE M.</t>
  </si>
  <si>
    <t>ADEOTI .V.</t>
  </si>
  <si>
    <t>ANIPUPO OLUSEGUN</t>
  </si>
  <si>
    <t>SHITTU AZEEZ A.</t>
  </si>
  <si>
    <t>BELLO AZEEZ A.</t>
  </si>
  <si>
    <t>OLASUPO OLUFEMI S.</t>
  </si>
  <si>
    <t>AFOLABI JAMES O.</t>
  </si>
  <si>
    <t>ADESINA BISI</t>
  </si>
  <si>
    <t>AKINLABI VICTORIA O. Mrs S.</t>
  </si>
  <si>
    <t>OLABAMIJI TAOFEEK.</t>
  </si>
  <si>
    <t>ADELEKE KAZEEM</t>
  </si>
  <si>
    <t>AKANDE ABIODUN</t>
  </si>
  <si>
    <t>KAREEM KUBURAT</t>
  </si>
  <si>
    <t>OGUNSIJI YEMISI</t>
  </si>
  <si>
    <t>ABIOYE OYEBAMIJI Mr</t>
  </si>
  <si>
    <t>ADEKANBI BASIRU</t>
  </si>
  <si>
    <t>AJAYI BENJAMIN A.</t>
  </si>
  <si>
    <t>DURODOLA OMOWUMI</t>
  </si>
  <si>
    <t>ADERINTO OLADUNNI A.</t>
  </si>
  <si>
    <t>OLAYIWOLA BASIRAT</t>
  </si>
  <si>
    <t>OLOJEDE TIMOTHY O.</t>
  </si>
  <si>
    <t>RASAKI ISMAILA A</t>
  </si>
  <si>
    <t>PHILLIPS YETUNDE</t>
  </si>
  <si>
    <t>ADEYEMO RAFIAT O.</t>
  </si>
  <si>
    <t>OGUNDIJI IDOWU</t>
  </si>
  <si>
    <t>RAJI LAMIDI</t>
  </si>
  <si>
    <t>SHITTU AKIBU</t>
  </si>
  <si>
    <t>BELLO RAFIU</t>
  </si>
  <si>
    <t>OYEWUSI IDOWU</t>
  </si>
  <si>
    <t>AKINBOBOYE O. J.O</t>
  </si>
  <si>
    <t>MURAINA YAYA O.</t>
  </si>
  <si>
    <t>OSEGHALE BOLAJI O.</t>
  </si>
  <si>
    <t>ADEBESIN IBUKUN</t>
  </si>
  <si>
    <t>OLADIPUPO OLUWASEGUN</t>
  </si>
  <si>
    <t>ADESINA ABOSEDE</t>
  </si>
  <si>
    <t>EGBEYEMI SUNDAY</t>
  </si>
  <si>
    <t>MR. ADEDOKUN AJIBADE</t>
  </si>
  <si>
    <t>EGBEBI MICHEAL</t>
  </si>
  <si>
    <t>FAKOREDE PELUOLA</t>
  </si>
  <si>
    <t>ADESOLA TAIWO</t>
  </si>
  <si>
    <t>OLADOSU S</t>
  </si>
  <si>
    <t>ADENLE SUNDAY</t>
  </si>
  <si>
    <t>ONMADEWU E. O</t>
  </si>
  <si>
    <t>OPASINA KOLAWOLE</t>
  </si>
  <si>
    <t>SAMSON JAMES</t>
  </si>
  <si>
    <t>ADENIRAN L</t>
  </si>
  <si>
    <t>AKANBI MUTIU</t>
  </si>
  <si>
    <t>OJO GBENGA</t>
  </si>
  <si>
    <t>OLAIFA WASIU</t>
  </si>
  <si>
    <t>OLUJOBI ABASS</t>
  </si>
  <si>
    <t>OLUPOOYE DAVID</t>
  </si>
  <si>
    <t>SANGODINNA RAIFU</t>
  </si>
  <si>
    <t>SHITTU GANIYU</t>
  </si>
  <si>
    <t>SHITTU MUSTAPHA</t>
  </si>
  <si>
    <t>SODEINDE MOSES</t>
  </si>
  <si>
    <t>AKANDE O</t>
  </si>
  <si>
    <t>LAWAL OMOTUNDE T.</t>
  </si>
  <si>
    <t>ADENBI S.</t>
  </si>
  <si>
    <t>FEYIJIMI W.</t>
  </si>
  <si>
    <t>MORAKINYO R.</t>
  </si>
  <si>
    <t>ADEJUMO KAMORU</t>
  </si>
  <si>
    <t>ADELEYE SUNDAY</t>
  </si>
  <si>
    <t>ODETOLA MATHEW</t>
  </si>
  <si>
    <t>OJEDOKUN J.A</t>
  </si>
  <si>
    <t>OJO FUNSO</t>
  </si>
  <si>
    <t>OKE GABRIEL O.</t>
  </si>
  <si>
    <t>OYEWUSI OLUSEGUN</t>
  </si>
  <si>
    <t>OYEWUSI OLUWATOSIN</t>
  </si>
  <si>
    <t>TIJANI S.</t>
  </si>
  <si>
    <t>ADEGBITE JAMIU</t>
  </si>
  <si>
    <t>ADENIRAN SOLOMON</t>
  </si>
  <si>
    <t>ADESIYAN KEHINDE AKANMU</t>
  </si>
  <si>
    <t>AREMU BOLAJI</t>
  </si>
  <si>
    <t>AYANDIRAN OLUWOLE</t>
  </si>
  <si>
    <t>MICHEAL OKELEKAN</t>
  </si>
  <si>
    <t>NASIRU WAKILI</t>
  </si>
  <si>
    <t>SALAMI OGUNTOLU</t>
  </si>
  <si>
    <t>LASISI JELILI</t>
  </si>
  <si>
    <t>ELIGEH JOSHUA</t>
  </si>
  <si>
    <t>LALERU OLUMUYIWA</t>
  </si>
  <si>
    <t>ABDULGANIY YUNUS</t>
  </si>
  <si>
    <t>ADEAGA MUYIWA</t>
  </si>
  <si>
    <t>ADEPOJU P. O.</t>
  </si>
  <si>
    <t>OLALERE J. O.</t>
  </si>
  <si>
    <t>ADETUNJI MONSURAT A.</t>
  </si>
  <si>
    <t>MR JACOB OMADI</t>
  </si>
  <si>
    <t>MR. OLAYIDE ALIU</t>
  </si>
  <si>
    <t>MR. IDOWU ADESOJI. S</t>
  </si>
  <si>
    <t>MR. ASIMI SALAUDEEN</t>
  </si>
  <si>
    <t>Mr  Azeez Okelola</t>
  </si>
  <si>
    <t>MR. OTUNUGA S</t>
  </si>
  <si>
    <t>MR. OYEWUMI DAUDA</t>
  </si>
  <si>
    <t>MR. OLUGBILE BANKOLE K</t>
  </si>
  <si>
    <t>YUSUF MUKAILA</t>
  </si>
  <si>
    <t>MR. BUSARI MURITALA</t>
  </si>
  <si>
    <t>MR. ADEROGBA SAMSON</t>
  </si>
  <si>
    <t>MR. OWOADE SEGUN</t>
  </si>
  <si>
    <t>MR. LAWAL TAIWO H.</t>
  </si>
  <si>
    <t>ADEYEMO O. A.</t>
  </si>
  <si>
    <t>OLAGUNJU OLALEKAN</t>
  </si>
  <si>
    <t>OLADIPUPO SULEMAN O.</t>
  </si>
  <si>
    <t>OLATUNBOSUN KOLAWOLE</t>
  </si>
  <si>
    <t>ADEKOLA, OLALEKAN</t>
  </si>
  <si>
    <t>ALABI KABIRU B.</t>
  </si>
  <si>
    <t>IYIOLA O. I.</t>
  </si>
  <si>
    <t>ADEROGBA MORUFF K.</t>
  </si>
  <si>
    <t>OLUWA TUNDE</t>
  </si>
  <si>
    <t>OYENIYI MUSIBAU F.</t>
  </si>
  <si>
    <t>ODEDOYIN MICHAEL</t>
  </si>
  <si>
    <t>OYEKANMI SEGUN</t>
  </si>
  <si>
    <t>SALAMI YUSUFF</t>
  </si>
  <si>
    <t>ABASS MOSADOLUWA</t>
  </si>
  <si>
    <t>ADEGOKE TAJUDEEN</t>
  </si>
  <si>
    <t>JIMOH ABDUL-HAMMED</t>
  </si>
  <si>
    <t>OLABODE JAMES</t>
  </si>
  <si>
    <t>TELLA KAYODE</t>
  </si>
  <si>
    <t>Mr T. Kolawole</t>
  </si>
  <si>
    <t>SALAU TAJUDEEN</t>
  </si>
  <si>
    <t>SHAMSUDEEN N.B</t>
  </si>
  <si>
    <t>ODUWOLE JOHN K.</t>
  </si>
  <si>
    <t>ADETONA FATAI</t>
  </si>
  <si>
    <t>OMIDIJI S.T.</t>
  </si>
  <si>
    <t>AKINSOLA K.A.</t>
  </si>
  <si>
    <t>HAMMED A.O.</t>
  </si>
  <si>
    <t>Mr  Ajayi Mattew</t>
  </si>
  <si>
    <t>ADEAGBO ISIAKA</t>
  </si>
  <si>
    <t>RAUFU LATEEF ADEWALE</t>
  </si>
  <si>
    <t>ADEYEMO T.O.</t>
  </si>
  <si>
    <t>AKOREDE M.O.</t>
  </si>
  <si>
    <t>AKANDE K.L.</t>
  </si>
  <si>
    <t>ISHOLA MUTIU</t>
  </si>
  <si>
    <t>Mr G. Morufu</t>
  </si>
  <si>
    <t>MR. JOSHUA O.A</t>
  </si>
  <si>
    <t>MR. B. T. EKUNDAYO</t>
  </si>
  <si>
    <t>MR. OLANREQAJU SODIQ IDOWU</t>
  </si>
  <si>
    <t>MR. KOLAWOLE MOSES</t>
  </si>
  <si>
    <t>MR. BADMUS WASIU TAYO</t>
  </si>
  <si>
    <t>MR OGUNSANYA GBENGA</t>
  </si>
  <si>
    <t>MR. OLASUPO OLUFEMI</t>
  </si>
  <si>
    <t>MR. GIWA FUNSO AUSTIN</t>
  </si>
  <si>
    <t>MR. OPALEYE ABDULAHI TUNDE</t>
  </si>
  <si>
    <t>MR. ADEYEYE ADEKUNLE</t>
  </si>
  <si>
    <t>MR. OYENIRAN SAMUEL O.</t>
  </si>
  <si>
    <t>MR SALAHUDEEN IBRAHIM</t>
  </si>
  <si>
    <t>OLANREWAJU FORTUNE EZEKIEL</t>
  </si>
  <si>
    <t>MR. N.S. OGUNDARE</t>
  </si>
  <si>
    <t>MR. AZEEZ DELE</t>
  </si>
  <si>
    <t>MR. ADEWINMISI BAYO</t>
  </si>
  <si>
    <t>MR. I.O. ISAAC</t>
  </si>
  <si>
    <t>MR. AKINLADE OLUDELE J.</t>
  </si>
  <si>
    <t>ME. AHMED TAJUDEEN K.</t>
  </si>
  <si>
    <t>MR. OJEDOKUN AKINKUNMI O.</t>
  </si>
  <si>
    <t>MR. OLAKANMI SIMEON</t>
  </si>
  <si>
    <t>MR. TALIAT WALIU A.</t>
  </si>
  <si>
    <t>MR. AFOLABI SEMEON O.</t>
  </si>
  <si>
    <t>KIKIOWO KEHINDE F.</t>
  </si>
  <si>
    <t>FOLAYAN OYEWUMI TAIWO</t>
  </si>
  <si>
    <t>MALIK FOLUKE ATINUKE</t>
  </si>
  <si>
    <t>AYANLADE T. O.</t>
  </si>
  <si>
    <t>ALONGE M. A.</t>
  </si>
  <si>
    <t>DUROTOYE D.J</t>
  </si>
  <si>
    <t>MR. OTITOLOJU O. ADISA</t>
  </si>
  <si>
    <t>MR. MARUF MUDASIRU</t>
  </si>
  <si>
    <t>MRS. ADENUGA M.M.</t>
  </si>
  <si>
    <t>MR. NASIRU A</t>
  </si>
  <si>
    <t>MRS. A. O. EMIOLA</t>
  </si>
  <si>
    <t>MRS. TAIWO O. ADEJUMO</t>
  </si>
  <si>
    <t>MRS. F. B. OLAMILETRILLION</t>
  </si>
  <si>
    <t>MRS. A. A. ADEOYE</t>
  </si>
  <si>
    <t>MRS. ADELKE FOLASADE D</t>
  </si>
  <si>
    <t>ADERINTO OLADUUNI</t>
  </si>
  <si>
    <t>MR. KEHINDE ADEOSUN</t>
  </si>
  <si>
    <t>MR. OLUSEYE ABODERIN</t>
  </si>
  <si>
    <t xml:space="preserve">MR. MARTINS K. O. </t>
  </si>
  <si>
    <t>MR. S. T. AMOO</t>
  </si>
  <si>
    <t>MRS. O. B. AYOOLA</t>
  </si>
  <si>
    <t>MRS. OYEKALE</t>
  </si>
  <si>
    <t>MRS. M. A. ALONGE</t>
  </si>
  <si>
    <t>MRS. E. O. OMOJUWA</t>
  </si>
  <si>
    <t>MISS. ADEMOYE MARIAM F.</t>
  </si>
  <si>
    <t>MISS. K. F. KIKIOWO</t>
  </si>
  <si>
    <t>MRS. E. M. ABEGUNDE</t>
  </si>
  <si>
    <t>MISS. ADEMOYE F. M.</t>
  </si>
  <si>
    <t>ADEUGA M. M.</t>
  </si>
  <si>
    <t>EMIOLA M. O.</t>
  </si>
  <si>
    <t>NASIRU A. A.</t>
  </si>
  <si>
    <t>MR. O.OLANIYAN</t>
  </si>
  <si>
    <t>OLAMILETRILLION F. B.</t>
  </si>
  <si>
    <t>ADEOYE A. A.</t>
  </si>
  <si>
    <t>AYOOLA O. B.</t>
  </si>
  <si>
    <t>MRS. PATRICIA ADETUYIBI</t>
  </si>
  <si>
    <t>MRS. M. A. BAMIRO</t>
  </si>
  <si>
    <t>MRS. V. O. ADEYEMI</t>
  </si>
  <si>
    <t>MISS. T. OMOTOSHO</t>
  </si>
  <si>
    <t>MRS. A. B. FOLAHAN</t>
  </si>
  <si>
    <t>MRS. O. A. AKANDE</t>
  </si>
  <si>
    <t>MR. ADELEKE KAZEEM</t>
  </si>
  <si>
    <t>MRS. ODUYELU</t>
  </si>
  <si>
    <t>MRS. JAYEOBA O. Y</t>
  </si>
  <si>
    <t>MR. SHAMSUDEEN N. B.</t>
  </si>
  <si>
    <t>MR. D.T. DUROTOYE</t>
  </si>
  <si>
    <t>MR. A. D. AYOADE</t>
  </si>
  <si>
    <t>MISS. T. A. ADESOLA</t>
  </si>
  <si>
    <t>MR. ADETOYE ADEDOKUN</t>
  </si>
  <si>
    <t>MRS. F. O. OLAGUNJU</t>
  </si>
  <si>
    <t>MR. S. AWE</t>
  </si>
  <si>
    <t>MR. A. A. OLADOJA</t>
  </si>
  <si>
    <t>MR. J. O. AWOTUNDE</t>
  </si>
  <si>
    <t>MRS. OLUGBADE OYEKALE</t>
  </si>
  <si>
    <t>MRS. B. O. SOMIDE</t>
  </si>
  <si>
    <t>MR. J. B. AYANKOSO</t>
  </si>
  <si>
    <t>MRS. O. A. IDOWU</t>
  </si>
  <si>
    <t>MRS. OLUWASOGO FATUNBI</t>
  </si>
  <si>
    <t>MR. F. TAIWO</t>
  </si>
  <si>
    <t>MR. OLUSOLA O. OMONIYI</t>
  </si>
  <si>
    <t>MRS. B. O. OLARIBIGBE</t>
  </si>
  <si>
    <t>MONTHLY INTEREST</t>
  </si>
  <si>
    <t>MONTHLY PRINCIPAL</t>
  </si>
  <si>
    <t>TOTAL INTEREST PAID</t>
  </si>
  <si>
    <t>TOTAL OUTSTANDING INTEREST</t>
  </si>
  <si>
    <t>MR. KAYODE TELLA</t>
  </si>
  <si>
    <t>LIQUDATED</t>
  </si>
  <si>
    <t>MRS. R. T. LAWAL</t>
  </si>
  <si>
    <t>RETIRED</t>
  </si>
  <si>
    <r>
      <t xml:space="preserve">MONTHLY DED </t>
    </r>
    <r>
      <rPr>
        <b/>
        <strike/>
        <sz val="8"/>
        <color indexed="36"/>
        <rFont val="Courier New"/>
        <family val="3"/>
      </rPr>
      <t>N</t>
    </r>
  </si>
  <si>
    <r>
      <t xml:space="preserve">OUTS. BAL. </t>
    </r>
    <r>
      <rPr>
        <b/>
        <strike/>
        <sz val="9"/>
        <color indexed="36"/>
        <rFont val="Courier New"/>
        <family val="3"/>
      </rPr>
      <t>N</t>
    </r>
  </si>
  <si>
    <t>MRS ADEROUNMU</t>
  </si>
  <si>
    <t>MRS O.T. ADESINA</t>
  </si>
  <si>
    <t>AKINYELE A. A.O.</t>
  </si>
  <si>
    <t>MRS O.F. STANLEY JOHN</t>
  </si>
  <si>
    <t>MR. OYEDOTUN ISIAKA</t>
  </si>
  <si>
    <t>MR T.O. OLOJEDE</t>
  </si>
  <si>
    <t>MR SHOMOYE T.H.</t>
  </si>
  <si>
    <t>MISS A.O. ALIMI</t>
  </si>
  <si>
    <t>MRS. ADEUGA M.M.</t>
  </si>
  <si>
    <t>FAMOKUN M.O.</t>
  </si>
  <si>
    <t>ACCOUNT</t>
  </si>
  <si>
    <t>APPEAL</t>
  </si>
  <si>
    <t>B&amp;P</t>
  </si>
  <si>
    <t>CR</t>
  </si>
  <si>
    <t>ESTAB</t>
  </si>
  <si>
    <t>LAW REPORT</t>
  </si>
  <si>
    <t>LIT A</t>
  </si>
  <si>
    <t>LIT B</t>
  </si>
  <si>
    <t>LIT C</t>
  </si>
  <si>
    <t>LIT D</t>
  </si>
  <si>
    <t>LIT E</t>
  </si>
  <si>
    <t>LIT F</t>
  </si>
  <si>
    <t>LIT G</t>
  </si>
  <si>
    <t>MAINT C</t>
  </si>
  <si>
    <t>MAINT A</t>
  </si>
  <si>
    <t>MAINT B</t>
  </si>
  <si>
    <t>MRS O.O ADENUGA</t>
  </si>
  <si>
    <t>MR M.O OLAJIDE</t>
  </si>
  <si>
    <t>MRS ADEYEYE-KUKU O.O</t>
  </si>
  <si>
    <t>MR A.A. SODEINDE</t>
  </si>
  <si>
    <t>MR. OPASINA KOLAWOLE</t>
  </si>
  <si>
    <t>LIBRRARY</t>
  </si>
  <si>
    <t>CR'S</t>
  </si>
  <si>
    <t>MAIN B</t>
  </si>
  <si>
    <t>MRS A. OBASOOTO</t>
  </si>
  <si>
    <t>ACCT</t>
  </si>
  <si>
    <t>MAIN A</t>
  </si>
  <si>
    <t>MAIN C</t>
  </si>
  <si>
    <t>MR. L.K. YUSUFF</t>
  </si>
  <si>
    <t>MISS A.D. ADEOYE</t>
  </si>
  <si>
    <t>MR O.E ODUNTAN</t>
  </si>
  <si>
    <t>MRS K.O OKIN</t>
  </si>
  <si>
    <t>MRS D.I KOMOLAFE</t>
  </si>
  <si>
    <t>MR A.A.ADUNMADEHIN</t>
  </si>
  <si>
    <t>MRS R.A. KOLAWOLE</t>
  </si>
  <si>
    <t>MRS B.O. ADESIDA</t>
  </si>
  <si>
    <t>OBASOOTO O. R</t>
  </si>
  <si>
    <t>ADEBOLA C.E</t>
  </si>
  <si>
    <t>LR</t>
  </si>
  <si>
    <t>LAW/REPORT</t>
  </si>
  <si>
    <t>LIB</t>
  </si>
  <si>
    <t>MDA'S MOTOR-VEHICLE DEDUCTION RETURNS AS AT APRIL, 2020.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</si>
</sst>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70">
    <font>
      <sz val="11"/>
      <color theme="1"/>
      <name val="Calibri"/>
      <family val="2"/>
      <scheme val="minor"/>
    </font>
    <font>
      <b/>
      <strike/>
      <sz val="9"/>
      <color indexed="8"/>
      <name val="Courier New"/>
      <family val="3"/>
    </font>
    <font>
      <b/>
      <strike/>
      <sz val="8"/>
      <color indexed="8"/>
      <name val="Courier New"/>
      <family val="3"/>
    </font>
    <font>
      <b/>
      <strike/>
      <sz val="8"/>
      <color indexed="36"/>
      <name val="Courier New"/>
      <family val="3"/>
    </font>
    <font>
      <b/>
      <strike/>
      <sz val="9"/>
      <color indexed="36"/>
      <name val="Courier New"/>
      <family val="3"/>
    </font>
    <font>
      <b/>
      <sz val="10"/>
      <name val="Courier New"/>
      <family val="3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ourier New"/>
      <family val="3"/>
    </font>
    <font>
      <b/>
      <sz val="9"/>
      <color theme="1"/>
      <name val="Calibri"/>
      <family val="2"/>
      <scheme val="minor"/>
    </font>
    <font>
      <b/>
      <sz val="9"/>
      <color theme="1"/>
      <name val="Courier New"/>
      <family val="3"/>
    </font>
    <font>
      <sz val="9"/>
      <color theme="1"/>
      <name val="Courier New"/>
      <family val="3"/>
    </font>
    <font>
      <b/>
      <sz val="10"/>
      <color theme="1"/>
      <name val="Courier New"/>
      <family val="3"/>
    </font>
    <font>
      <sz val="10"/>
      <color theme="1"/>
      <name val="Courier New"/>
      <family val="3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9"/>
      <color theme="1"/>
      <name val="Courier New"/>
      <family val="3"/>
    </font>
    <font>
      <sz val="9"/>
      <color theme="1"/>
      <name val="Calibri"/>
      <family val="2"/>
      <scheme val="minor"/>
    </font>
    <font>
      <b/>
      <sz val="8"/>
      <color rgb="FFFF0000"/>
      <name val="Courier New"/>
      <family val="3"/>
    </font>
    <font>
      <b/>
      <sz val="8"/>
      <color rgb="FF7030A0"/>
      <name val="Courier New"/>
      <family val="3"/>
    </font>
    <font>
      <b/>
      <sz val="9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9"/>
      <color rgb="FF7030A0"/>
      <name val="Courier New"/>
      <family val="3"/>
    </font>
    <font>
      <b/>
      <sz val="11"/>
      <color rgb="FF7030A0"/>
      <name val="Calibri"/>
      <family val="2"/>
      <scheme val="minor"/>
    </font>
    <font>
      <b/>
      <sz val="9"/>
      <color rgb="FF002060"/>
      <name val="Calibri"/>
      <family val="2"/>
      <scheme val="minor"/>
    </font>
    <font>
      <b/>
      <sz val="9"/>
      <color rgb="FF002060"/>
      <name val="Courier New"/>
      <family val="3"/>
    </font>
    <font>
      <b/>
      <sz val="8"/>
      <color rgb="FF002060"/>
      <name val="Courier New"/>
      <family val="3"/>
    </font>
    <font>
      <b/>
      <sz val="11"/>
      <color rgb="FF002060"/>
      <name val="Calibri"/>
      <family val="2"/>
      <scheme val="minor"/>
    </font>
    <font>
      <b/>
      <sz val="10"/>
      <color rgb="FF002060"/>
      <name val="Courier New"/>
      <family val="3"/>
    </font>
    <font>
      <b/>
      <sz val="10"/>
      <color rgb="FF7030A0"/>
      <name val="Courier New"/>
      <family val="3"/>
    </font>
    <font>
      <sz val="9"/>
      <color rgb="FF002060"/>
      <name val="Courier New"/>
      <family val="3"/>
    </font>
    <font>
      <sz val="11"/>
      <color rgb="FF00206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10"/>
      <color rgb="FF0070C0"/>
      <name val="Courier New"/>
      <family val="3"/>
    </font>
    <font>
      <b/>
      <sz val="9"/>
      <color rgb="FF0070C0"/>
      <name val="Courier New"/>
      <family val="3"/>
    </font>
    <font>
      <sz val="9"/>
      <color rgb="FF0070C0"/>
      <name val="Courier New"/>
      <family val="3"/>
    </font>
    <font>
      <b/>
      <sz val="8"/>
      <color rgb="FF0070C0"/>
      <name val="Courier New"/>
      <family val="3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rgb="FF7030A0"/>
      <name val="Courier New"/>
      <family val="3"/>
    </font>
    <font>
      <sz val="10"/>
      <color rgb="FF7030A0"/>
      <name val="Courier New"/>
      <family val="3"/>
    </font>
    <font>
      <sz val="10"/>
      <color rgb="FF0070C0"/>
      <name val="Courier New"/>
      <family val="3"/>
    </font>
    <font>
      <b/>
      <sz val="10"/>
      <color rgb="FFC00000"/>
      <name val="Courier New"/>
      <family val="3"/>
    </font>
    <font>
      <b/>
      <sz val="9"/>
      <color rgb="FFC00000"/>
      <name val="Courier New"/>
      <family val="3"/>
    </font>
    <font>
      <b/>
      <sz val="8"/>
      <color rgb="FFC00000"/>
      <name val="Courier New"/>
      <family val="3"/>
    </font>
    <font>
      <sz val="9"/>
      <color rgb="FFC00000"/>
      <name val="Courier New"/>
      <family val="3"/>
    </font>
    <font>
      <sz val="11"/>
      <color rgb="FFC000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4"/>
      <name val="Calibri"/>
      <family val="2"/>
      <scheme val="minor"/>
    </font>
    <font>
      <b/>
      <sz val="10"/>
      <color theme="4"/>
      <name val="Courier New"/>
      <family val="3"/>
    </font>
    <font>
      <b/>
      <sz val="9"/>
      <color theme="4"/>
      <name val="Courier New"/>
      <family val="3"/>
    </font>
    <font>
      <sz val="9"/>
      <color theme="4"/>
      <name val="Courier New"/>
      <family val="3"/>
    </font>
    <font>
      <b/>
      <sz val="8"/>
      <color theme="4"/>
      <name val="Courier New"/>
      <family val="3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C00000"/>
      <name val="Courier New"/>
      <family val="3"/>
    </font>
    <font>
      <b/>
      <sz val="9"/>
      <name val="Calibri"/>
      <family val="2"/>
      <scheme val="minor"/>
    </font>
    <font>
      <b/>
      <sz val="9"/>
      <name val="Courier New"/>
      <family val="3"/>
    </font>
    <font>
      <sz val="9"/>
      <name val="Courier New"/>
      <family val="3"/>
    </font>
    <font>
      <b/>
      <sz val="8"/>
      <name val="Courier New"/>
      <family val="3"/>
    </font>
    <font>
      <sz val="11"/>
      <name val="Calibri"/>
      <family val="2"/>
      <scheme val="minor"/>
    </font>
    <font>
      <b/>
      <sz val="9"/>
      <color theme="7"/>
      <name val="Courier New"/>
      <family val="3"/>
    </font>
    <font>
      <b/>
      <sz val="10"/>
      <color theme="7"/>
      <name val="Courier New"/>
      <family val="3"/>
    </font>
    <font>
      <sz val="9"/>
      <color theme="7"/>
      <name val="Courier New"/>
      <family val="3"/>
    </font>
    <font>
      <b/>
      <sz val="8"/>
      <color theme="7"/>
      <name val="Courier New"/>
      <family val="3"/>
    </font>
    <font>
      <sz val="11"/>
      <color theme="7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65">
    <xf numFmtId="0" fontId="0" fillId="0" borderId="0" xfId="0"/>
    <xf numFmtId="0" fontId="8" fillId="0" borderId="1" xfId="0" applyFont="1" applyBorder="1" applyAlignment="1">
      <alignment wrapText="1"/>
    </xf>
    <xf numFmtId="43" fontId="8" fillId="0" borderId="1" xfId="1" applyFont="1" applyBorder="1" applyAlignment="1">
      <alignment horizontal="right" wrapText="1"/>
    </xf>
    <xf numFmtId="4" fontId="8" fillId="0" borderId="1" xfId="0" applyNumberFormat="1" applyFont="1" applyBorder="1" applyAlignment="1">
      <alignment horizontal="right" wrapText="1"/>
    </xf>
    <xf numFmtId="0" fontId="7" fillId="0" borderId="0" xfId="0" applyFont="1"/>
    <xf numFmtId="43" fontId="6" fillId="0" borderId="0" xfId="1" applyFont="1"/>
    <xf numFmtId="43" fontId="8" fillId="0" borderId="8" xfId="1" applyFont="1" applyBorder="1" applyAlignment="1">
      <alignment horizontal="right" wrapText="1"/>
    </xf>
    <xf numFmtId="4" fontId="0" fillId="0" borderId="0" xfId="0" applyNumberFormat="1"/>
    <xf numFmtId="43" fontId="8" fillId="0" borderId="8" xfId="1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43" fontId="8" fillId="0" borderId="1" xfId="1" applyFont="1" applyBorder="1" applyAlignment="1">
      <alignment wrapText="1"/>
    </xf>
    <xf numFmtId="0" fontId="7" fillId="0" borderId="1" xfId="0" applyFont="1" applyBorder="1" applyAlignment="1">
      <alignment wrapText="1"/>
    </xf>
    <xf numFmtId="43" fontId="7" fillId="0" borderId="1" xfId="1" applyNumberFormat="1" applyFont="1" applyBorder="1" applyAlignment="1">
      <alignment wrapText="1"/>
    </xf>
    <xf numFmtId="17" fontId="7" fillId="0" borderId="0" xfId="0" applyNumberFormat="1" applyFont="1"/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43" fontId="10" fillId="0" borderId="1" xfId="1" applyFont="1" applyBorder="1" applyAlignment="1">
      <alignment wrapText="1"/>
    </xf>
    <xf numFmtId="43" fontId="10" fillId="0" borderId="1" xfId="0" applyNumberFormat="1" applyFont="1" applyBorder="1" applyAlignment="1">
      <alignment wrapText="1"/>
    </xf>
    <xf numFmtId="0" fontId="0" fillId="0" borderId="0" xfId="0" applyAlignment="1">
      <alignment horizontal="left"/>
    </xf>
    <xf numFmtId="43" fontId="7" fillId="0" borderId="0" xfId="1" applyFont="1" applyAlignment="1">
      <alignment horizontal="left"/>
    </xf>
    <xf numFmtId="0" fontId="10" fillId="0" borderId="1" xfId="0" applyFont="1" applyBorder="1" applyAlignment="1">
      <alignment horizontal="center" wrapText="1"/>
    </xf>
    <xf numFmtId="0" fontId="11" fillId="0" borderId="1" xfId="0" applyFont="1" applyBorder="1"/>
    <xf numFmtId="0" fontId="11" fillId="0" borderId="1" xfId="0" applyFont="1" applyFill="1" applyBorder="1"/>
    <xf numFmtId="0" fontId="0" fillId="0" borderId="0" xfId="0" applyAlignment="1"/>
    <xf numFmtId="164" fontId="10" fillId="0" borderId="1" xfId="1" applyNumberFormat="1" applyFont="1" applyBorder="1" applyAlignment="1">
      <alignment wrapText="1"/>
    </xf>
    <xf numFmtId="43" fontId="10" fillId="0" borderId="1" xfId="1" applyNumberFormat="1" applyFont="1" applyBorder="1" applyAlignment="1">
      <alignment wrapText="1"/>
    </xf>
    <xf numFmtId="164" fontId="11" fillId="0" borderId="1" xfId="1" applyNumberFormat="1" applyFont="1" applyBorder="1" applyAlignment="1"/>
    <xf numFmtId="43" fontId="11" fillId="0" borderId="1" xfId="1" applyFont="1" applyBorder="1" applyAlignment="1"/>
    <xf numFmtId="0" fontId="10" fillId="0" borderId="1" xfId="0" applyFont="1" applyBorder="1" applyAlignment="1"/>
    <xf numFmtId="0" fontId="11" fillId="0" borderId="1" xfId="0" applyFont="1" applyBorder="1" applyAlignment="1"/>
    <xf numFmtId="4" fontId="8" fillId="0" borderId="1" xfId="0" applyNumberFormat="1" applyFont="1" applyBorder="1" applyAlignment="1">
      <alignment wrapText="1"/>
    </xf>
    <xf numFmtId="43" fontId="10" fillId="0" borderId="1" xfId="1" applyFont="1" applyBorder="1" applyAlignment="1">
      <alignment horizontal="center" wrapText="1"/>
    </xf>
    <xf numFmtId="0" fontId="8" fillId="0" borderId="8" xfId="0" applyFont="1" applyBorder="1" applyAlignment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43" fontId="6" fillId="0" borderId="0" xfId="1" applyFont="1" applyAlignment="1">
      <alignment wrapText="1"/>
    </xf>
    <xf numFmtId="43" fontId="6" fillId="0" borderId="0" xfId="1" applyFont="1" applyAlignment="1">
      <alignment horizontal="left"/>
    </xf>
    <xf numFmtId="43" fontId="0" fillId="0" borderId="0" xfId="0" applyNumberFormat="1" applyAlignment="1">
      <alignment horizontal="left"/>
    </xf>
    <xf numFmtId="0" fontId="12" fillId="0" borderId="8" xfId="0" applyFont="1" applyBorder="1" applyAlignment="1"/>
    <xf numFmtId="4" fontId="0" fillId="0" borderId="0" xfId="0" applyNumberFormat="1" applyAlignment="1">
      <alignment horizontal="left"/>
    </xf>
    <xf numFmtId="43" fontId="12" fillId="0" borderId="8" xfId="1" applyFont="1" applyBorder="1" applyAlignment="1">
      <alignment horizontal="right" wrapText="1"/>
    </xf>
    <xf numFmtId="0" fontId="8" fillId="0" borderId="9" xfId="0" applyFont="1" applyFill="1" applyBorder="1" applyAlignment="1"/>
    <xf numFmtId="43" fontId="9" fillId="0" borderId="1" xfId="1" applyFont="1" applyBorder="1"/>
    <xf numFmtId="43" fontId="6" fillId="0" borderId="0" xfId="1" applyFont="1" applyAlignment="1"/>
    <xf numFmtId="0" fontId="9" fillId="0" borderId="1" xfId="0" applyFont="1" applyBorder="1" applyAlignment="1">
      <alignment horizontal="center"/>
    </xf>
    <xf numFmtId="0" fontId="12" fillId="0" borderId="8" xfId="0" applyFont="1" applyBorder="1" applyAlignment="1">
      <alignment horizontal="right" wrapText="1"/>
    </xf>
    <xf numFmtId="0" fontId="8" fillId="0" borderId="8" xfId="0" applyFont="1" applyBorder="1" applyAlignment="1">
      <alignment horizontal="right" wrapText="1"/>
    </xf>
    <xf numFmtId="0" fontId="8" fillId="0" borderId="8" xfId="0" applyFont="1" applyBorder="1" applyAlignment="1">
      <alignment wrapText="1"/>
    </xf>
    <xf numFmtId="43" fontId="0" fillId="0" borderId="0" xfId="0" applyNumberFormat="1"/>
    <xf numFmtId="0" fontId="8" fillId="0" borderId="1" xfId="0" applyFont="1" applyBorder="1" applyAlignment="1"/>
    <xf numFmtId="0" fontId="12" fillId="0" borderId="8" xfId="0" applyFont="1" applyBorder="1" applyAlignment="1">
      <alignment wrapText="1"/>
    </xf>
    <xf numFmtId="43" fontId="8" fillId="0" borderId="8" xfId="1" applyFont="1" applyBorder="1" applyAlignment="1">
      <alignment horizontal="right"/>
    </xf>
    <xf numFmtId="0" fontId="8" fillId="0" borderId="0" xfId="0" applyFont="1" applyAlignment="1">
      <alignment horizontal="center"/>
    </xf>
    <xf numFmtId="43" fontId="12" fillId="0" borderId="8" xfId="1" applyFont="1" applyBorder="1" applyAlignment="1">
      <alignment horizontal="right"/>
    </xf>
    <xf numFmtId="0" fontId="9" fillId="0" borderId="1" xfId="0" applyFont="1" applyBorder="1" applyAlignment="1"/>
    <xf numFmtId="43" fontId="9" fillId="0" borderId="1" xfId="1" applyFont="1" applyBorder="1" applyAlignment="1"/>
    <xf numFmtId="43" fontId="8" fillId="0" borderId="1" xfId="1" applyFont="1" applyBorder="1" applyAlignment="1"/>
    <xf numFmtId="0" fontId="12" fillId="0" borderId="1" xfId="0" applyFont="1" applyBorder="1" applyAlignment="1"/>
    <xf numFmtId="0" fontId="14" fillId="0" borderId="0" xfId="0" applyFont="1" applyAlignment="1"/>
    <xf numFmtId="43" fontId="14" fillId="0" borderId="0" xfId="1" applyFont="1" applyAlignment="1"/>
    <xf numFmtId="0" fontId="15" fillId="0" borderId="0" xfId="0" applyFont="1" applyAlignment="1"/>
    <xf numFmtId="43" fontId="15" fillId="0" borderId="0" xfId="1" applyFont="1" applyAlignment="1"/>
    <xf numFmtId="0" fontId="13" fillId="0" borderId="1" xfId="0" applyFont="1" applyBorder="1" applyAlignment="1"/>
    <xf numFmtId="43" fontId="10" fillId="0" borderId="1" xfId="1" applyFont="1" applyBorder="1" applyAlignment="1">
      <alignment horizontal="right"/>
    </xf>
    <xf numFmtId="4" fontId="8" fillId="0" borderId="1" xfId="0" applyNumberFormat="1" applyFont="1" applyBorder="1" applyAlignment="1"/>
    <xf numFmtId="0" fontId="8" fillId="0" borderId="0" xfId="0" applyFont="1" applyBorder="1" applyAlignment="1"/>
    <xf numFmtId="43" fontId="8" fillId="0" borderId="0" xfId="1" applyFont="1" applyBorder="1" applyAlignment="1">
      <alignment horizontal="right"/>
    </xf>
    <xf numFmtId="0" fontId="7" fillId="0" borderId="0" xfId="0" applyFont="1" applyAlignment="1"/>
    <xf numFmtId="43" fontId="7" fillId="0" borderId="0" xfId="1" applyFont="1" applyAlignment="1"/>
    <xf numFmtId="43" fontId="8" fillId="0" borderId="1" xfId="1" applyFont="1" applyBorder="1" applyAlignment="1">
      <alignment horizontal="right"/>
    </xf>
    <xf numFmtId="43" fontId="8" fillId="0" borderId="8" xfId="1" applyFont="1" applyBorder="1" applyAlignment="1"/>
    <xf numFmtId="0" fontId="12" fillId="0" borderId="2" xfId="0" applyFont="1" applyBorder="1" applyAlignment="1">
      <alignment wrapText="1"/>
    </xf>
    <xf numFmtId="43" fontId="8" fillId="0" borderId="10" xfId="1" applyFont="1" applyBorder="1" applyAlignment="1">
      <alignment horizontal="right" wrapText="1"/>
    </xf>
    <xf numFmtId="0" fontId="12" fillId="0" borderId="3" xfId="0" applyFont="1" applyBorder="1" applyAlignment="1">
      <alignment wrapText="1"/>
    </xf>
    <xf numFmtId="43" fontId="8" fillId="0" borderId="11" xfId="1" applyFont="1" applyBorder="1" applyAlignment="1">
      <alignment horizontal="right" wrapText="1"/>
    </xf>
    <xf numFmtId="0" fontId="0" fillId="0" borderId="1" xfId="0" applyBorder="1"/>
    <xf numFmtId="43" fontId="9" fillId="0" borderId="1" xfId="1" applyFont="1" applyBorder="1" applyAlignment="1">
      <alignment horizontal="left" wrapText="1"/>
    </xf>
    <xf numFmtId="43" fontId="9" fillId="0" borderId="2" xfId="1" applyFont="1" applyBorder="1" applyAlignment="1">
      <alignment horizontal="left" wrapText="1"/>
    </xf>
    <xf numFmtId="43" fontId="9" fillId="0" borderId="3" xfId="1" applyFont="1" applyBorder="1" applyAlignment="1">
      <alignment horizontal="left" wrapText="1"/>
    </xf>
    <xf numFmtId="43" fontId="10" fillId="0" borderId="1" xfId="1" applyFont="1" applyBorder="1" applyAlignment="1">
      <alignment horizontal="left" wrapText="1"/>
    </xf>
    <xf numFmtId="43" fontId="17" fillId="0" borderId="1" xfId="1" applyFont="1" applyBorder="1" applyAlignment="1">
      <alignment horizontal="left"/>
    </xf>
    <xf numFmtId="43" fontId="8" fillId="0" borderId="0" xfId="1" applyFont="1" applyBorder="1" applyAlignment="1">
      <alignment horizontal="right" wrapText="1"/>
    </xf>
    <xf numFmtId="43" fontId="8" fillId="0" borderId="0" xfId="1" applyFont="1" applyFill="1" applyBorder="1" applyAlignment="1">
      <alignment horizontal="right" wrapText="1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43" fontId="8" fillId="0" borderId="0" xfId="1" applyFont="1" applyBorder="1" applyAlignment="1">
      <alignment wrapText="1"/>
    </xf>
    <xf numFmtId="0" fontId="16" fillId="0" borderId="8" xfId="0" applyFont="1" applyBorder="1" applyAlignment="1">
      <alignment horizontal="right" wrapText="1"/>
    </xf>
    <xf numFmtId="0" fontId="0" fillId="0" borderId="0" xfId="0" applyAlignment="1">
      <alignment horizontal="left" wrapText="1"/>
    </xf>
    <xf numFmtId="43" fontId="18" fillId="0" borderId="12" xfId="1" applyFont="1" applyBorder="1" applyAlignment="1">
      <alignment horizontal="right" wrapText="1"/>
    </xf>
    <xf numFmtId="43" fontId="19" fillId="0" borderId="4" xfId="1" applyFont="1" applyBorder="1" applyAlignment="1">
      <alignment wrapText="1"/>
    </xf>
    <xf numFmtId="43" fontId="19" fillId="0" borderId="12" xfId="1" applyFont="1" applyBorder="1" applyAlignment="1">
      <alignment horizontal="right" wrapText="1"/>
    </xf>
    <xf numFmtId="43" fontId="19" fillId="0" borderId="4" xfId="1" applyFont="1" applyBorder="1" applyAlignment="1">
      <alignment horizontal="right" wrapText="1"/>
    </xf>
    <xf numFmtId="43" fontId="19" fillId="0" borderId="0" xfId="1" applyFont="1" applyBorder="1" applyAlignment="1">
      <alignment horizontal="right" wrapText="1"/>
    </xf>
    <xf numFmtId="43" fontId="20" fillId="0" borderId="1" xfId="1" applyFont="1" applyBorder="1"/>
    <xf numFmtId="43" fontId="21" fillId="0" borderId="0" xfId="1" applyFont="1" applyAlignment="1">
      <alignment horizontal="left"/>
    </xf>
    <xf numFmtId="43" fontId="22" fillId="0" borderId="1" xfId="1" applyNumberFormat="1" applyFont="1" applyBorder="1" applyAlignment="1">
      <alignment wrapText="1"/>
    </xf>
    <xf numFmtId="43" fontId="22" fillId="0" borderId="1" xfId="1" applyFont="1" applyBorder="1"/>
    <xf numFmtId="43" fontId="22" fillId="0" borderId="1" xfId="1" applyFont="1" applyBorder="1" applyAlignment="1"/>
    <xf numFmtId="0" fontId="23" fillId="0" borderId="0" xfId="0" applyFont="1"/>
    <xf numFmtId="43" fontId="18" fillId="0" borderId="4" xfId="1" applyFont="1" applyBorder="1" applyAlignment="1">
      <alignment horizontal="right" wrapText="1"/>
    </xf>
    <xf numFmtId="0" fontId="24" fillId="0" borderId="1" xfId="0" applyFont="1" applyBorder="1" applyAlignment="1">
      <alignment wrapText="1"/>
    </xf>
    <xf numFmtId="43" fontId="24" fillId="0" borderId="1" xfId="1" applyFont="1" applyBorder="1" applyAlignment="1">
      <alignment horizontal="left" wrapText="1"/>
    </xf>
    <xf numFmtId="43" fontId="25" fillId="0" borderId="1" xfId="1" applyFont="1" applyBorder="1" applyAlignment="1">
      <alignment horizontal="center" wrapText="1"/>
    </xf>
    <xf numFmtId="43" fontId="25" fillId="0" borderId="1" xfId="1" applyFont="1" applyBorder="1" applyAlignment="1">
      <alignment wrapText="1"/>
    </xf>
    <xf numFmtId="43" fontId="25" fillId="0" borderId="1" xfId="0" applyNumberFormat="1" applyFont="1" applyBorder="1" applyAlignment="1">
      <alignment wrapText="1"/>
    </xf>
    <xf numFmtId="43" fontId="26" fillId="0" borderId="0" xfId="1" applyFont="1" applyBorder="1" applyAlignment="1">
      <alignment wrapText="1"/>
    </xf>
    <xf numFmtId="43" fontId="26" fillId="0" borderId="1" xfId="1" applyFont="1" applyBorder="1" applyAlignment="1">
      <alignment wrapText="1"/>
    </xf>
    <xf numFmtId="164" fontId="25" fillId="0" borderId="1" xfId="1" applyNumberFormat="1" applyFont="1" applyBorder="1" applyAlignment="1"/>
    <xf numFmtId="43" fontId="25" fillId="0" borderId="1" xfId="1" applyFont="1" applyBorder="1" applyAlignment="1"/>
    <xf numFmtId="43" fontId="25" fillId="0" borderId="1" xfId="1" applyFont="1" applyBorder="1"/>
    <xf numFmtId="0" fontId="25" fillId="0" borderId="1" xfId="0" applyFont="1" applyBorder="1" applyAlignment="1">
      <alignment wrapText="1"/>
    </xf>
    <xf numFmtId="0" fontId="27" fillId="0" borderId="0" xfId="0" applyFont="1"/>
    <xf numFmtId="0" fontId="25" fillId="0" borderId="0" xfId="1" applyNumberFormat="1" applyFont="1" applyBorder="1" applyAlignment="1">
      <alignment wrapText="1"/>
    </xf>
    <xf numFmtId="0" fontId="27" fillId="0" borderId="0" xfId="0" applyFont="1" applyAlignment="1">
      <alignment wrapText="1"/>
    </xf>
    <xf numFmtId="43" fontId="27" fillId="0" borderId="0" xfId="1" applyFont="1" applyAlignment="1">
      <alignment wrapText="1"/>
    </xf>
    <xf numFmtId="0" fontId="28" fillId="0" borderId="1" xfId="0" applyFont="1" applyBorder="1" applyAlignment="1">
      <alignment wrapText="1"/>
    </xf>
    <xf numFmtId="0" fontId="25" fillId="0" borderId="1" xfId="0" applyFont="1" applyBorder="1"/>
    <xf numFmtId="43" fontId="26" fillId="0" borderId="12" xfId="1" applyFont="1" applyBorder="1" applyAlignment="1">
      <alignment horizontal="right" wrapText="1"/>
    </xf>
    <xf numFmtId="0" fontId="25" fillId="0" borderId="1" xfId="0" applyFont="1" applyBorder="1" applyAlignment="1"/>
    <xf numFmtId="43" fontId="27" fillId="0" borderId="0" xfId="1" applyFont="1"/>
    <xf numFmtId="43" fontId="27" fillId="0" borderId="0" xfId="0" applyNumberFormat="1" applyFont="1"/>
    <xf numFmtId="43" fontId="24" fillId="0" borderId="2" xfId="1" applyFont="1" applyBorder="1" applyAlignment="1">
      <alignment horizontal="left" wrapText="1"/>
    </xf>
    <xf numFmtId="0" fontId="28" fillId="0" borderId="2" xfId="0" applyFont="1" applyBorder="1" applyAlignment="1">
      <alignment wrapText="1"/>
    </xf>
    <xf numFmtId="43" fontId="25" fillId="0" borderId="2" xfId="1" applyFont="1" applyBorder="1" applyAlignment="1">
      <alignment wrapText="1"/>
    </xf>
    <xf numFmtId="0" fontId="25" fillId="0" borderId="2" xfId="0" applyFont="1" applyBorder="1"/>
    <xf numFmtId="43" fontId="26" fillId="0" borderId="13" xfId="1" applyFont="1" applyBorder="1" applyAlignment="1">
      <alignment horizontal="right" wrapText="1"/>
    </xf>
    <xf numFmtId="164" fontId="25" fillId="0" borderId="2" xfId="1" applyNumberFormat="1" applyFont="1" applyBorder="1" applyAlignment="1"/>
    <xf numFmtId="43" fontId="25" fillId="0" borderId="2" xfId="1" applyFont="1" applyBorder="1" applyAlignment="1"/>
    <xf numFmtId="0" fontId="25" fillId="0" borderId="2" xfId="0" applyFont="1" applyBorder="1" applyAlignment="1"/>
    <xf numFmtId="43" fontId="24" fillId="0" borderId="1" xfId="1" applyFont="1" applyBorder="1" applyAlignment="1">
      <alignment horizontal="left"/>
    </xf>
    <xf numFmtId="0" fontId="27" fillId="0" borderId="1" xfId="0" applyFont="1" applyBorder="1"/>
    <xf numFmtId="43" fontId="26" fillId="0" borderId="4" xfId="1" applyFont="1" applyBorder="1" applyAlignment="1">
      <alignment horizontal="right" wrapText="1"/>
    </xf>
    <xf numFmtId="43" fontId="20" fillId="0" borderId="1" xfId="1" applyFont="1" applyBorder="1" applyAlignment="1">
      <alignment horizontal="left" wrapText="1"/>
    </xf>
    <xf numFmtId="43" fontId="22" fillId="0" borderId="1" xfId="1" applyFont="1" applyBorder="1" applyAlignment="1">
      <alignment wrapText="1"/>
    </xf>
    <xf numFmtId="43" fontId="22" fillId="0" borderId="1" xfId="0" applyNumberFormat="1" applyFont="1" applyBorder="1" applyAlignment="1">
      <alignment wrapText="1"/>
    </xf>
    <xf numFmtId="43" fontId="19" fillId="0" borderId="1" xfId="1" applyFont="1" applyBorder="1" applyAlignment="1">
      <alignment wrapText="1"/>
    </xf>
    <xf numFmtId="0" fontId="29" fillId="0" borderId="1" xfId="0" applyFont="1" applyBorder="1" applyAlignment="1">
      <alignment wrapText="1"/>
    </xf>
    <xf numFmtId="43" fontId="23" fillId="0" borderId="0" xfId="0" applyNumberFormat="1" applyFont="1"/>
    <xf numFmtId="0" fontId="30" fillId="0" borderId="1" xfId="0" applyFont="1" applyBorder="1"/>
    <xf numFmtId="164" fontId="30" fillId="0" borderId="1" xfId="1" applyNumberFormat="1" applyFont="1" applyBorder="1" applyAlignment="1"/>
    <xf numFmtId="43" fontId="30" fillId="0" borderId="1" xfId="1" applyFont="1" applyBorder="1" applyAlignment="1"/>
    <xf numFmtId="0" fontId="30" fillId="0" borderId="1" xfId="0" applyFont="1" applyBorder="1" applyAlignment="1"/>
    <xf numFmtId="0" fontId="31" fillId="0" borderId="0" xfId="0" applyFont="1"/>
    <xf numFmtId="43" fontId="31" fillId="0" borderId="0" xfId="1" applyFont="1"/>
    <xf numFmtId="43" fontId="25" fillId="0" borderId="0" xfId="0" applyNumberFormat="1" applyFont="1" applyBorder="1" applyAlignment="1">
      <alignment wrapText="1"/>
    </xf>
    <xf numFmtId="43" fontId="32" fillId="0" borderId="1" xfId="1" applyFont="1" applyBorder="1" applyAlignment="1">
      <alignment horizontal="left" wrapText="1"/>
    </xf>
    <xf numFmtId="0" fontId="33" fillId="0" borderId="1" xfId="0" applyFont="1" applyBorder="1" applyAlignment="1">
      <alignment wrapText="1"/>
    </xf>
    <xf numFmtId="43" fontId="34" fillId="0" borderId="1" xfId="1" applyFont="1" applyBorder="1" applyAlignment="1">
      <alignment wrapText="1"/>
    </xf>
    <xf numFmtId="43" fontId="34" fillId="0" borderId="1" xfId="0" applyNumberFormat="1" applyFont="1" applyBorder="1" applyAlignment="1">
      <alignment wrapText="1"/>
    </xf>
    <xf numFmtId="0" fontId="35" fillId="0" borderId="1" xfId="0" applyFont="1" applyBorder="1"/>
    <xf numFmtId="43" fontId="36" fillId="0" borderId="4" xfId="1" applyFont="1" applyBorder="1" applyAlignment="1">
      <alignment horizontal="right" wrapText="1"/>
    </xf>
    <xf numFmtId="43" fontId="36" fillId="0" borderId="1" xfId="1" applyFont="1" applyBorder="1" applyAlignment="1">
      <alignment wrapText="1"/>
    </xf>
    <xf numFmtId="164" fontId="35" fillId="0" borderId="1" xfId="1" applyNumberFormat="1" applyFont="1" applyBorder="1" applyAlignment="1"/>
    <xf numFmtId="43" fontId="35" fillId="0" borderId="1" xfId="1" applyFont="1" applyBorder="1" applyAlignment="1"/>
    <xf numFmtId="43" fontId="34" fillId="0" borderId="1" xfId="1" applyFont="1" applyBorder="1"/>
    <xf numFmtId="0" fontId="35" fillId="0" borderId="1" xfId="0" applyFont="1" applyBorder="1" applyAlignment="1"/>
    <xf numFmtId="0" fontId="37" fillId="0" borderId="0" xfId="0" applyFont="1"/>
    <xf numFmtId="43" fontId="37" fillId="0" borderId="0" xfId="1" applyFont="1"/>
    <xf numFmtId="43" fontId="36" fillId="0" borderId="12" xfId="1" applyFont="1" applyBorder="1" applyAlignment="1">
      <alignment horizontal="right" wrapText="1"/>
    </xf>
    <xf numFmtId="43" fontId="34" fillId="0" borderId="0" xfId="0" applyNumberFormat="1" applyFont="1" applyBorder="1" applyAlignment="1">
      <alignment wrapText="1"/>
    </xf>
    <xf numFmtId="43" fontId="38" fillId="0" borderId="0" xfId="0" applyNumberFormat="1" applyFont="1"/>
    <xf numFmtId="0" fontId="39" fillId="0" borderId="1" xfId="0" applyFont="1" applyBorder="1"/>
    <xf numFmtId="164" fontId="39" fillId="0" borderId="1" xfId="1" applyNumberFormat="1" applyFont="1" applyBorder="1" applyAlignment="1"/>
    <xf numFmtId="43" fontId="39" fillId="0" borderId="1" xfId="1" applyFont="1" applyBorder="1" applyAlignment="1"/>
    <xf numFmtId="0" fontId="39" fillId="0" borderId="1" xfId="0" applyFont="1" applyBorder="1" applyAlignment="1"/>
    <xf numFmtId="0" fontId="21" fillId="0" borderId="0" xfId="0" applyFont="1"/>
    <xf numFmtId="43" fontId="21" fillId="0" borderId="0" xfId="1" applyFont="1"/>
    <xf numFmtId="43" fontId="21" fillId="0" borderId="0" xfId="0" applyNumberFormat="1" applyFont="1"/>
    <xf numFmtId="0" fontId="40" fillId="0" borderId="1" xfId="0" applyFont="1" applyBorder="1" applyAlignment="1">
      <alignment wrapText="1"/>
    </xf>
    <xf numFmtId="0" fontId="19" fillId="0" borderId="8" xfId="0" applyFont="1" applyBorder="1" applyAlignment="1"/>
    <xf numFmtId="164" fontId="39" fillId="0" borderId="6" xfId="1" applyNumberFormat="1" applyFont="1" applyFill="1" applyBorder="1" applyAlignment="1"/>
    <xf numFmtId="43" fontId="39" fillId="0" borderId="6" xfId="1" applyFont="1" applyFill="1" applyBorder="1" applyAlignment="1"/>
    <xf numFmtId="43" fontId="21" fillId="0" borderId="0" xfId="1" applyFont="1" applyFill="1" applyBorder="1"/>
    <xf numFmtId="0" fontId="41" fillId="0" borderId="1" xfId="0" applyFont="1" applyBorder="1" applyAlignment="1">
      <alignment wrapText="1"/>
    </xf>
    <xf numFmtId="43" fontId="37" fillId="0" borderId="0" xfId="0" applyNumberFormat="1" applyFont="1"/>
    <xf numFmtId="0" fontId="30" fillId="0" borderId="1" xfId="0" applyFont="1" applyFill="1" applyBorder="1"/>
    <xf numFmtId="0" fontId="35" fillId="0" borderId="1" xfId="0" applyFont="1" applyFill="1" applyBorder="1"/>
    <xf numFmtId="0" fontId="39" fillId="0" borderId="1" xfId="0" applyFont="1" applyFill="1" applyBorder="1"/>
    <xf numFmtId="43" fontId="22" fillId="0" borderId="1" xfId="1" applyFont="1" applyBorder="1" applyAlignment="1">
      <alignment horizontal="left" wrapText="1"/>
    </xf>
    <xf numFmtId="0" fontId="39" fillId="0" borderId="1" xfId="0" applyFont="1" applyBorder="1" applyAlignment="1">
      <alignment wrapText="1"/>
    </xf>
    <xf numFmtId="43" fontId="34" fillId="0" borderId="1" xfId="1" applyFont="1" applyBorder="1" applyAlignment="1">
      <alignment horizontal="left" wrapText="1"/>
    </xf>
    <xf numFmtId="43" fontId="36" fillId="0" borderId="0" xfId="1" applyFont="1" applyBorder="1" applyAlignment="1">
      <alignment horizontal="right" wrapText="1"/>
    </xf>
    <xf numFmtId="0" fontId="42" fillId="0" borderId="1" xfId="0" applyFont="1" applyBorder="1" applyAlignment="1">
      <alignment wrapText="1"/>
    </xf>
    <xf numFmtId="43" fontId="43" fillId="0" borderId="1" xfId="1" applyFont="1" applyBorder="1" applyAlignment="1">
      <alignment wrapText="1"/>
    </xf>
    <xf numFmtId="43" fontId="43" fillId="0" borderId="1" xfId="0" applyNumberFormat="1" applyFont="1" applyBorder="1" applyAlignment="1">
      <alignment wrapText="1"/>
    </xf>
    <xf numFmtId="43" fontId="44" fillId="0" borderId="12" xfId="1" applyFont="1" applyBorder="1" applyAlignment="1">
      <alignment horizontal="right" wrapText="1"/>
    </xf>
    <xf numFmtId="43" fontId="44" fillId="0" borderId="1" xfId="1" applyFont="1" applyBorder="1" applyAlignment="1">
      <alignment wrapText="1"/>
    </xf>
    <xf numFmtId="164" fontId="45" fillId="0" borderId="1" xfId="1" applyNumberFormat="1" applyFont="1" applyBorder="1" applyAlignment="1"/>
    <xf numFmtId="43" fontId="45" fillId="0" borderId="1" xfId="1" applyFont="1" applyBorder="1" applyAlignment="1"/>
    <xf numFmtId="43" fontId="43" fillId="0" borderId="1" xfId="1" applyFont="1" applyBorder="1"/>
    <xf numFmtId="0" fontId="45" fillId="0" borderId="1" xfId="0" applyFont="1" applyBorder="1" applyAlignment="1"/>
    <xf numFmtId="0" fontId="46" fillId="0" borderId="0" xfId="0" applyFont="1"/>
    <xf numFmtId="43" fontId="46" fillId="0" borderId="0" xfId="1" applyFont="1"/>
    <xf numFmtId="43" fontId="47" fillId="0" borderId="1" xfId="1" applyFont="1" applyBorder="1" applyAlignment="1">
      <alignment horizontal="left" wrapText="1"/>
    </xf>
    <xf numFmtId="0" fontId="45" fillId="0" borderId="1" xfId="0" applyFont="1" applyBorder="1"/>
    <xf numFmtId="0" fontId="5" fillId="0" borderId="1" xfId="0" applyFont="1" applyBorder="1" applyAlignment="1">
      <alignment wrapText="1"/>
    </xf>
    <xf numFmtId="0" fontId="33" fillId="0" borderId="1" xfId="0" applyFont="1" applyBorder="1" applyAlignment="1"/>
    <xf numFmtId="43" fontId="16" fillId="0" borderId="8" xfId="1" applyFont="1" applyBorder="1" applyAlignment="1">
      <alignment horizontal="right" wrapText="1"/>
    </xf>
    <xf numFmtId="0" fontId="16" fillId="0" borderId="8" xfId="0" applyFont="1" applyBorder="1" applyAlignment="1">
      <alignment horizontal="left" wrapText="1"/>
    </xf>
    <xf numFmtId="43" fontId="48" fillId="0" borderId="1" xfId="1" applyFont="1" applyBorder="1" applyAlignment="1">
      <alignment horizontal="left" wrapText="1"/>
    </xf>
    <xf numFmtId="43" fontId="50" fillId="0" borderId="1" xfId="1" applyFont="1" applyBorder="1" applyAlignment="1">
      <alignment wrapText="1"/>
    </xf>
    <xf numFmtId="43" fontId="50" fillId="0" borderId="1" xfId="0" applyNumberFormat="1" applyFont="1" applyBorder="1" applyAlignment="1">
      <alignment wrapText="1"/>
    </xf>
    <xf numFmtId="0" fontId="51" fillId="0" borderId="1" xfId="0" applyFont="1" applyBorder="1"/>
    <xf numFmtId="43" fontId="52" fillId="0" borderId="12" xfId="1" applyFont="1" applyBorder="1" applyAlignment="1">
      <alignment horizontal="right" wrapText="1"/>
    </xf>
    <xf numFmtId="43" fontId="52" fillId="0" borderId="1" xfId="1" applyFont="1" applyBorder="1" applyAlignment="1">
      <alignment wrapText="1"/>
    </xf>
    <xf numFmtId="164" fontId="51" fillId="0" borderId="1" xfId="1" applyNumberFormat="1" applyFont="1" applyBorder="1" applyAlignment="1"/>
    <xf numFmtId="43" fontId="51" fillId="0" borderId="1" xfId="1" applyFont="1" applyBorder="1" applyAlignment="1"/>
    <xf numFmtId="43" fontId="50" fillId="0" borderId="1" xfId="1" applyFont="1" applyBorder="1"/>
    <xf numFmtId="0" fontId="51" fillId="0" borderId="1" xfId="0" applyFont="1" applyBorder="1" applyAlignment="1"/>
    <xf numFmtId="0" fontId="53" fillId="0" borderId="0" xfId="0" applyFont="1"/>
    <xf numFmtId="43" fontId="53" fillId="0" borderId="0" xfId="1" applyFont="1"/>
    <xf numFmtId="43" fontId="50" fillId="0" borderId="0" xfId="0" applyNumberFormat="1" applyFont="1" applyBorder="1" applyAlignment="1">
      <alignment wrapText="1"/>
    </xf>
    <xf numFmtId="43" fontId="54" fillId="0" borderId="0" xfId="0" applyNumberFormat="1" applyFont="1"/>
    <xf numFmtId="43" fontId="16" fillId="0" borderId="8" xfId="1" applyFont="1" applyBorder="1" applyAlignment="1">
      <alignment horizontal="left" wrapText="1"/>
    </xf>
    <xf numFmtId="0" fontId="49" fillId="0" borderId="1" xfId="0" applyFont="1" applyBorder="1" applyAlignment="1"/>
    <xf numFmtId="0" fontId="57" fillId="0" borderId="1" xfId="0" applyFont="1" applyBorder="1" applyAlignment="1">
      <alignment wrapText="1"/>
    </xf>
    <xf numFmtId="0" fontId="58" fillId="0" borderId="1" xfId="0" applyFont="1" applyBorder="1" applyAlignment="1">
      <alignment wrapText="1"/>
    </xf>
    <xf numFmtId="43" fontId="58" fillId="0" borderId="1" xfId="1" applyFont="1" applyBorder="1" applyAlignment="1">
      <alignment horizontal="left" wrapText="1"/>
    </xf>
    <xf numFmtId="43" fontId="59" fillId="0" borderId="1" xfId="1" applyFont="1" applyBorder="1" applyAlignment="1">
      <alignment wrapText="1"/>
    </xf>
    <xf numFmtId="43" fontId="59" fillId="0" borderId="1" xfId="0" applyNumberFormat="1" applyFont="1" applyBorder="1" applyAlignment="1">
      <alignment wrapText="1"/>
    </xf>
    <xf numFmtId="0" fontId="60" fillId="0" borderId="1" xfId="0" applyFont="1" applyFill="1" applyBorder="1"/>
    <xf numFmtId="43" fontId="61" fillId="0" borderId="12" xfId="1" applyFont="1" applyBorder="1" applyAlignment="1">
      <alignment horizontal="right" wrapText="1"/>
    </xf>
    <xf numFmtId="43" fontId="61" fillId="0" borderId="1" xfId="1" applyFont="1" applyBorder="1" applyAlignment="1">
      <alignment wrapText="1"/>
    </xf>
    <xf numFmtId="164" fontId="60" fillId="0" borderId="1" xfId="1" applyNumberFormat="1" applyFont="1" applyBorder="1" applyAlignment="1"/>
    <xf numFmtId="43" fontId="60" fillId="0" borderId="1" xfId="1" applyFont="1" applyBorder="1" applyAlignment="1"/>
    <xf numFmtId="43" fontId="59" fillId="0" borderId="1" xfId="1" applyFont="1" applyBorder="1"/>
    <xf numFmtId="0" fontId="60" fillId="0" borderId="1" xfId="0" applyFont="1" applyBorder="1" applyAlignment="1"/>
    <xf numFmtId="0" fontId="62" fillId="0" borderId="0" xfId="0" applyFont="1"/>
    <xf numFmtId="43" fontId="62" fillId="0" borderId="0" xfId="1" applyFont="1"/>
    <xf numFmtId="43" fontId="59" fillId="0" borderId="0" xfId="0" applyNumberFormat="1" applyFont="1" applyBorder="1" applyAlignment="1">
      <alignment wrapText="1"/>
    </xf>
    <xf numFmtId="43" fontId="46" fillId="0" borderId="0" xfId="0" applyNumberFormat="1" applyFont="1"/>
    <xf numFmtId="43" fontId="63" fillId="0" borderId="1" xfId="1" applyFont="1" applyBorder="1" applyAlignment="1">
      <alignment horizontal="left" wrapText="1"/>
    </xf>
    <xf numFmtId="0" fontId="64" fillId="0" borderId="1" xfId="0" applyFont="1" applyBorder="1" applyAlignment="1">
      <alignment wrapText="1"/>
    </xf>
    <xf numFmtId="43" fontId="63" fillId="0" borderId="1" xfId="1" applyFont="1" applyBorder="1" applyAlignment="1">
      <alignment wrapText="1"/>
    </xf>
    <xf numFmtId="43" fontId="63" fillId="0" borderId="1" xfId="0" applyNumberFormat="1" applyFont="1" applyBorder="1" applyAlignment="1">
      <alignment wrapText="1"/>
    </xf>
    <xf numFmtId="0" fontId="65" fillId="0" borderId="1" xfId="0" applyFont="1" applyFill="1" applyBorder="1"/>
    <xf numFmtId="43" fontId="66" fillId="0" borderId="12" xfId="1" applyFont="1" applyBorder="1" applyAlignment="1">
      <alignment horizontal="right" wrapText="1"/>
    </xf>
    <xf numFmtId="43" fontId="66" fillId="0" borderId="1" xfId="1" applyFont="1" applyBorder="1" applyAlignment="1">
      <alignment wrapText="1"/>
    </xf>
    <xf numFmtId="43" fontId="65" fillId="0" borderId="1" xfId="1" applyFont="1" applyBorder="1" applyAlignment="1"/>
    <xf numFmtId="0" fontId="65" fillId="0" borderId="1" xfId="0" applyFont="1" applyBorder="1" applyAlignment="1"/>
    <xf numFmtId="0" fontId="67" fillId="0" borderId="0" xfId="0" applyFont="1"/>
    <xf numFmtId="43" fontId="67" fillId="0" borderId="0" xfId="1" applyFont="1"/>
    <xf numFmtId="43" fontId="31" fillId="0" borderId="0" xfId="0" applyNumberFormat="1" applyFont="1"/>
    <xf numFmtId="43" fontId="68" fillId="0" borderId="0" xfId="0" applyNumberFormat="1" applyFont="1"/>
    <xf numFmtId="0" fontId="60" fillId="0" borderId="1" xfId="0" applyFont="1" applyBorder="1"/>
    <xf numFmtId="164" fontId="59" fillId="0" borderId="1" xfId="1" applyNumberFormat="1" applyFont="1" applyBorder="1" applyAlignment="1"/>
    <xf numFmtId="0" fontId="59" fillId="0" borderId="1" xfId="0" applyFont="1" applyBorder="1" applyAlignment="1"/>
    <xf numFmtId="0" fontId="58" fillId="0" borderId="0" xfId="0" applyFont="1"/>
    <xf numFmtId="43" fontId="58" fillId="0" borderId="0" xfId="1" applyFont="1"/>
    <xf numFmtId="43" fontId="58" fillId="0" borderId="0" xfId="0" applyNumberFormat="1" applyFont="1"/>
    <xf numFmtId="0" fontId="47" fillId="0" borderId="1" xfId="0" applyFont="1" applyBorder="1" applyAlignment="1">
      <alignment wrapText="1"/>
    </xf>
    <xf numFmtId="0" fontId="45" fillId="0" borderId="1" xfId="0" applyFont="1" applyFill="1" applyBorder="1"/>
    <xf numFmtId="43" fontId="43" fillId="0" borderId="0" xfId="0" applyNumberFormat="1" applyFont="1" applyBorder="1" applyAlignment="1">
      <alignment wrapText="1"/>
    </xf>
    <xf numFmtId="43" fontId="62" fillId="0" borderId="0" xfId="0" applyNumberFormat="1" applyFont="1"/>
    <xf numFmtId="43" fontId="69" fillId="0" borderId="0" xfId="0" applyNumberFormat="1" applyFont="1"/>
    <xf numFmtId="0" fontId="55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14" fillId="0" borderId="15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201"/>
  <sheetViews>
    <sheetView tabSelected="1" zoomScale="80" zoomScaleNormal="80" workbookViewId="0">
      <selection activeCell="H49" sqref="H49"/>
    </sheetView>
  </sheetViews>
  <sheetFormatPr defaultRowHeight="15"/>
  <cols>
    <col min="1" max="1" width="5.140625" bestFit="1" customWidth="1"/>
    <col min="2" max="2" width="5.5703125" style="37" bestFit="1" customWidth="1"/>
    <col min="3" max="3" width="34.28515625" style="9" customWidth="1"/>
    <col min="4" max="4" width="15.140625" style="5" bestFit="1" customWidth="1"/>
    <col min="5" max="5" width="13.5703125" bestFit="1" customWidth="1"/>
    <col min="6" max="6" width="17" bestFit="1" customWidth="1"/>
    <col min="7" max="7" width="9.42578125" bestFit="1" customWidth="1"/>
    <col min="8" max="8" width="18.28515625" style="95" customWidth="1"/>
    <col min="9" max="9" width="11.7109375" style="19" bestFit="1" customWidth="1"/>
    <col min="10" max="10" width="12.42578125" style="19" bestFit="1" customWidth="1"/>
    <col min="11" max="11" width="19.140625" style="19" bestFit="1" customWidth="1"/>
    <col min="12" max="12" width="15.85546875" style="19" bestFit="1" customWidth="1"/>
    <col min="13" max="14" width="9.5703125" style="19" bestFit="1" customWidth="1"/>
    <col min="15" max="15" width="22.85546875" style="20" bestFit="1" customWidth="1"/>
    <col min="16" max="16" width="17.85546875" style="99" bestFit="1" customWidth="1"/>
    <col min="17" max="17" width="11.28515625" bestFit="1" customWidth="1"/>
    <col min="18" max="18" width="2.28515625" style="4" bestFit="1" customWidth="1"/>
    <col min="19" max="19" width="9.5703125" bestFit="1" customWidth="1"/>
    <col min="20" max="20" width="15.28515625" bestFit="1" customWidth="1"/>
    <col min="21" max="21" width="20.28515625" style="5" bestFit="1" customWidth="1"/>
    <col min="22" max="22" width="15.5703125" style="5" bestFit="1" customWidth="1"/>
    <col min="23" max="23" width="12.140625" customWidth="1"/>
    <col min="24" max="24" width="13.85546875" customWidth="1"/>
    <col min="25" max="25" width="13.7109375" bestFit="1" customWidth="1"/>
    <col min="26" max="26" width="13" bestFit="1" customWidth="1"/>
    <col min="28" max="28" width="11.5703125" bestFit="1" customWidth="1"/>
    <col min="30" max="30" width="8.5703125" bestFit="1" customWidth="1"/>
    <col min="31" max="31" width="13.85546875" bestFit="1" customWidth="1"/>
  </cols>
  <sheetData>
    <row r="1" spans="1:30" ht="15.75">
      <c r="A1" s="256" t="s">
        <v>802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/>
    </row>
    <row r="2" spans="1:30" ht="51.75" customHeight="1">
      <c r="A2" s="15" t="s">
        <v>0</v>
      </c>
      <c r="B2" s="77" t="s">
        <v>301</v>
      </c>
      <c r="C2" s="15" t="s">
        <v>302</v>
      </c>
      <c r="D2" s="32" t="s">
        <v>390</v>
      </c>
      <c r="E2" s="21" t="s">
        <v>391</v>
      </c>
      <c r="F2" s="21" t="s">
        <v>392</v>
      </c>
      <c r="G2" s="21" t="s">
        <v>303</v>
      </c>
      <c r="H2" s="90" t="s">
        <v>749</v>
      </c>
      <c r="I2" s="11" t="s">
        <v>741</v>
      </c>
      <c r="J2" s="11" t="s">
        <v>742</v>
      </c>
      <c r="K2" s="11" t="s">
        <v>743</v>
      </c>
      <c r="L2" s="11" t="s">
        <v>744</v>
      </c>
      <c r="M2" s="25" t="s">
        <v>304</v>
      </c>
      <c r="N2" s="25" t="s">
        <v>305</v>
      </c>
      <c r="O2" s="17" t="s">
        <v>393</v>
      </c>
      <c r="P2" s="96" t="s">
        <v>750</v>
      </c>
      <c r="Q2" s="16" t="s">
        <v>289</v>
      </c>
      <c r="R2"/>
      <c r="S2" s="26" t="s">
        <v>304</v>
      </c>
      <c r="T2" s="9" t="s">
        <v>305</v>
      </c>
      <c r="U2" s="36" t="s">
        <v>396</v>
      </c>
      <c r="V2" s="36" t="s">
        <v>397</v>
      </c>
    </row>
    <row r="3" spans="1:30" s="112" customFormat="1" ht="17.25" customHeight="1">
      <c r="A3" s="101">
        <v>1</v>
      </c>
      <c r="B3" s="102">
        <v>0</v>
      </c>
      <c r="C3" s="101" t="s">
        <v>731</v>
      </c>
      <c r="D3" s="103">
        <v>500000</v>
      </c>
      <c r="E3" s="104">
        <f t="shared" ref="E3:E24" si="0">D3*0.1333</f>
        <v>66650</v>
      </c>
      <c r="F3" s="105">
        <f>D3+E3</f>
        <v>566650</v>
      </c>
      <c r="G3" s="111">
        <v>50</v>
      </c>
      <c r="H3" s="106">
        <v>11333</v>
      </c>
      <c r="I3" s="107">
        <f>E3/G3</f>
        <v>1333</v>
      </c>
      <c r="J3" s="107">
        <f>D3/G3</f>
        <v>10000</v>
      </c>
      <c r="K3" s="107">
        <f>M3*I3</f>
        <v>17329</v>
      </c>
      <c r="L3" s="107">
        <f>I3*N3</f>
        <v>49321</v>
      </c>
      <c r="M3" s="108">
        <f t="shared" ref="M3:M12" si="1">S3+R3</f>
        <v>13</v>
      </c>
      <c r="N3" s="108">
        <f>T3-R3</f>
        <v>37</v>
      </c>
      <c r="O3" s="109">
        <f t="shared" ref="O3:O39" si="2">U3+H3</f>
        <v>147328</v>
      </c>
      <c r="P3" s="110">
        <f t="shared" ref="P3:P25" si="3">V3-H3</f>
        <v>407988</v>
      </c>
      <c r="Q3" s="111"/>
      <c r="R3" s="112">
        <v>1</v>
      </c>
      <c r="S3" s="113">
        <v>12</v>
      </c>
      <c r="T3" s="114">
        <v>38</v>
      </c>
      <c r="U3" s="115">
        <v>135995</v>
      </c>
      <c r="V3" s="115">
        <v>419321</v>
      </c>
      <c r="Z3" s="112" t="s">
        <v>761</v>
      </c>
    </row>
    <row r="4" spans="1:30" s="112" customFormat="1">
      <c r="A4" s="101">
        <v>2</v>
      </c>
      <c r="B4" s="102">
        <v>0</v>
      </c>
      <c r="C4" s="116" t="s">
        <v>185</v>
      </c>
      <c r="D4" s="104">
        <v>600000</v>
      </c>
      <c r="E4" s="104">
        <f t="shared" si="0"/>
        <v>79980</v>
      </c>
      <c r="F4" s="105">
        <f t="shared" ref="F4:F13" si="4">D4+E4</f>
        <v>679980</v>
      </c>
      <c r="G4" s="117">
        <v>50</v>
      </c>
      <c r="H4" s="118">
        <v>13333</v>
      </c>
      <c r="I4" s="107">
        <f t="shared" ref="I4:I18" si="5">E4/G4</f>
        <v>1599.6</v>
      </c>
      <c r="J4" s="107">
        <f t="shared" ref="J4:J18" si="6">D4/G4</f>
        <v>12000</v>
      </c>
      <c r="K4" s="107">
        <f t="shared" ref="K4:K55" si="7">M4*I4</f>
        <v>70382.399999999994</v>
      </c>
      <c r="L4" s="107">
        <f t="shared" ref="L4:L55" si="8">I4*N4</f>
        <v>11197.199999999999</v>
      </c>
      <c r="M4" s="108">
        <f t="shared" si="1"/>
        <v>44</v>
      </c>
      <c r="N4" s="108">
        <f t="shared" ref="N4:N12" si="9">T4-R4</f>
        <v>7</v>
      </c>
      <c r="O4" s="109">
        <f>U4+H4</f>
        <v>327483.76000000018</v>
      </c>
      <c r="P4" s="110">
        <f t="shared" si="3"/>
        <v>639984</v>
      </c>
      <c r="Q4" s="119"/>
      <c r="R4" s="112">
        <v>1</v>
      </c>
      <c r="S4" s="112">
        <v>43</v>
      </c>
      <c r="T4" s="112">
        <v>8</v>
      </c>
      <c r="U4" s="120">
        <v>314150.76000000018</v>
      </c>
      <c r="V4" s="120">
        <v>653317</v>
      </c>
      <c r="Y4" s="118">
        <v>12034.94</v>
      </c>
    </row>
    <row r="5" spans="1:30" s="112" customFormat="1">
      <c r="A5" s="101">
        <v>3</v>
      </c>
      <c r="B5" s="122">
        <v>0</v>
      </c>
      <c r="C5" s="123" t="s">
        <v>187</v>
      </c>
      <c r="D5" s="124">
        <v>330000</v>
      </c>
      <c r="E5" s="124">
        <f t="shared" si="0"/>
        <v>43989</v>
      </c>
      <c r="F5" s="105">
        <f t="shared" si="4"/>
        <v>373989</v>
      </c>
      <c r="G5" s="125">
        <v>50</v>
      </c>
      <c r="H5" s="126">
        <v>7479.78</v>
      </c>
      <c r="I5" s="107">
        <f t="shared" si="5"/>
        <v>879.78</v>
      </c>
      <c r="J5" s="107">
        <f t="shared" si="6"/>
        <v>6600</v>
      </c>
      <c r="K5" s="107">
        <f t="shared" si="7"/>
        <v>44868.78</v>
      </c>
      <c r="L5" s="107">
        <f t="shared" si="8"/>
        <v>0</v>
      </c>
      <c r="M5" s="127">
        <f t="shared" si="1"/>
        <v>51</v>
      </c>
      <c r="N5" s="127">
        <f t="shared" si="9"/>
        <v>0</v>
      </c>
      <c r="O5" s="128">
        <f t="shared" si="2"/>
        <v>329110.32000000024</v>
      </c>
      <c r="P5" s="110">
        <f t="shared" si="3"/>
        <v>44878.679999999877</v>
      </c>
      <c r="Q5" s="129"/>
      <c r="R5" s="112">
        <v>1</v>
      </c>
      <c r="S5" s="112">
        <v>50</v>
      </c>
      <c r="T5" s="112">
        <v>1</v>
      </c>
      <c r="U5" s="120">
        <v>321630.54000000021</v>
      </c>
      <c r="V5" s="120">
        <v>52358.459999999875</v>
      </c>
    </row>
    <row r="6" spans="1:30" s="112" customFormat="1">
      <c r="A6" s="101">
        <v>4</v>
      </c>
      <c r="B6" s="130">
        <v>0</v>
      </c>
      <c r="C6" s="131" t="s">
        <v>697</v>
      </c>
      <c r="D6" s="104">
        <v>450000</v>
      </c>
      <c r="E6" s="104">
        <f>D6*0.1333</f>
        <v>59985</v>
      </c>
      <c r="F6" s="105">
        <f t="shared" si="4"/>
        <v>509985</v>
      </c>
      <c r="G6" s="117">
        <v>50</v>
      </c>
      <c r="H6" s="132">
        <v>10199.700000000001</v>
      </c>
      <c r="I6" s="107">
        <f t="shared" si="5"/>
        <v>1199.7</v>
      </c>
      <c r="J6" s="107">
        <f t="shared" si="6"/>
        <v>9000</v>
      </c>
      <c r="K6" s="107">
        <f t="shared" si="7"/>
        <v>19195.2</v>
      </c>
      <c r="L6" s="107">
        <f t="shared" si="8"/>
        <v>40789.800000000003</v>
      </c>
      <c r="M6" s="108">
        <f>S6+R6</f>
        <v>16</v>
      </c>
      <c r="N6" s="108">
        <f>T6-R6</f>
        <v>34</v>
      </c>
      <c r="O6" s="109">
        <f t="shared" si="2"/>
        <v>173394.90000000002</v>
      </c>
      <c r="P6" s="110">
        <f t="shared" si="3"/>
        <v>346789.79999999981</v>
      </c>
      <c r="Q6" s="119"/>
      <c r="R6" s="112">
        <v>1</v>
      </c>
      <c r="S6" s="112">
        <v>15</v>
      </c>
      <c r="T6" s="112">
        <v>35</v>
      </c>
      <c r="U6" s="120">
        <v>163195.20000000001</v>
      </c>
      <c r="V6" s="120">
        <v>356989.49999999983</v>
      </c>
      <c r="W6" s="121"/>
    </row>
    <row r="7" spans="1:30" s="112" customFormat="1">
      <c r="A7" s="101">
        <v>5</v>
      </c>
      <c r="B7" s="130"/>
      <c r="C7" s="131" t="s">
        <v>719</v>
      </c>
      <c r="D7" s="104">
        <v>150000</v>
      </c>
      <c r="E7" s="104">
        <f>D7*0.1333</f>
        <v>19995</v>
      </c>
      <c r="F7" s="105">
        <f t="shared" si="4"/>
        <v>169995</v>
      </c>
      <c r="G7" s="117">
        <v>50</v>
      </c>
      <c r="H7" s="132">
        <v>3399.9</v>
      </c>
      <c r="I7" s="107">
        <f t="shared" si="5"/>
        <v>399.9</v>
      </c>
      <c r="J7" s="107">
        <f t="shared" si="6"/>
        <v>3000</v>
      </c>
      <c r="K7" s="107">
        <f t="shared" si="7"/>
        <v>4798.7999999999993</v>
      </c>
      <c r="L7" s="107">
        <f t="shared" si="8"/>
        <v>15196.199999999999</v>
      </c>
      <c r="M7" s="108">
        <f>S7+R7</f>
        <v>12</v>
      </c>
      <c r="N7" s="108">
        <f>T7-R7</f>
        <v>38</v>
      </c>
      <c r="O7" s="109">
        <f t="shared" si="2"/>
        <v>40798.80000000001</v>
      </c>
      <c r="P7" s="110">
        <f t="shared" si="3"/>
        <v>129196.20000000007</v>
      </c>
      <c r="Q7" s="119"/>
      <c r="R7" s="112">
        <v>1</v>
      </c>
      <c r="S7" s="112">
        <v>11</v>
      </c>
      <c r="T7" s="112">
        <v>39</v>
      </c>
      <c r="U7" s="120">
        <v>37398.900000000009</v>
      </c>
      <c r="V7" s="120">
        <v>132596.10000000006</v>
      </c>
      <c r="W7" s="121"/>
      <c r="X7" s="121">
        <f>SUM(H3:H7)</f>
        <v>45745.38</v>
      </c>
      <c r="AD7" s="121">
        <v>0</v>
      </c>
    </row>
    <row r="8" spans="1:30" s="157" customFormat="1">
      <c r="A8" s="101">
        <v>6</v>
      </c>
      <c r="B8" s="146">
        <v>0</v>
      </c>
      <c r="C8" s="147" t="s">
        <v>380</v>
      </c>
      <c r="D8" s="148">
        <v>330000</v>
      </c>
      <c r="E8" s="148">
        <f t="shared" si="0"/>
        <v>43989</v>
      </c>
      <c r="F8" s="149">
        <f t="shared" si="4"/>
        <v>373989</v>
      </c>
      <c r="G8" s="150">
        <v>50</v>
      </c>
      <c r="H8" s="151">
        <v>7479.78</v>
      </c>
      <c r="I8" s="152">
        <f t="shared" si="5"/>
        <v>879.78</v>
      </c>
      <c r="J8" s="152">
        <f t="shared" si="6"/>
        <v>6600</v>
      </c>
      <c r="K8" s="152">
        <f t="shared" si="7"/>
        <v>35191.199999999997</v>
      </c>
      <c r="L8" s="152">
        <f t="shared" si="8"/>
        <v>9677.58</v>
      </c>
      <c r="M8" s="153">
        <f t="shared" si="1"/>
        <v>40</v>
      </c>
      <c r="N8" s="153">
        <f t="shared" si="9"/>
        <v>11</v>
      </c>
      <c r="O8" s="154">
        <f t="shared" si="2"/>
        <v>291711.4200000001</v>
      </c>
      <c r="P8" s="155">
        <f t="shared" si="3"/>
        <v>82277.579999999754</v>
      </c>
      <c r="Q8" s="156"/>
      <c r="R8" s="157">
        <v>1</v>
      </c>
      <c r="S8" s="157">
        <v>39</v>
      </c>
      <c r="T8" s="157">
        <v>12</v>
      </c>
      <c r="U8" s="158">
        <v>284231.64000000007</v>
      </c>
      <c r="V8" s="158">
        <v>89757.359999999753</v>
      </c>
      <c r="Z8" s="157" t="s">
        <v>762</v>
      </c>
    </row>
    <row r="9" spans="1:30" s="157" customFormat="1">
      <c r="A9" s="101">
        <v>7</v>
      </c>
      <c r="B9" s="146"/>
      <c r="C9" s="147" t="s">
        <v>734</v>
      </c>
      <c r="D9" s="148">
        <v>450000</v>
      </c>
      <c r="E9" s="148">
        <f t="shared" si="0"/>
        <v>59985</v>
      </c>
      <c r="F9" s="149">
        <f t="shared" si="4"/>
        <v>509985</v>
      </c>
      <c r="G9" s="150">
        <v>50</v>
      </c>
      <c r="H9" s="159">
        <v>10199.700000000001</v>
      </c>
      <c r="I9" s="152">
        <f t="shared" si="5"/>
        <v>1199.7</v>
      </c>
      <c r="J9" s="152">
        <f t="shared" si="6"/>
        <v>9000</v>
      </c>
      <c r="K9" s="152">
        <f t="shared" si="7"/>
        <v>5998.5</v>
      </c>
      <c r="L9" s="152">
        <f t="shared" si="8"/>
        <v>53986.5</v>
      </c>
      <c r="M9" s="153">
        <f t="shared" si="1"/>
        <v>5</v>
      </c>
      <c r="N9" s="153">
        <f t="shared" si="9"/>
        <v>45</v>
      </c>
      <c r="O9" s="154">
        <f t="shared" si="2"/>
        <v>50998.5</v>
      </c>
      <c r="P9" s="155">
        <f t="shared" si="3"/>
        <v>458986.49999999994</v>
      </c>
      <c r="Q9" s="156"/>
      <c r="R9" s="157">
        <v>1</v>
      </c>
      <c r="S9" s="157">
        <v>4</v>
      </c>
      <c r="T9" s="157">
        <v>46</v>
      </c>
      <c r="U9" s="158">
        <v>40798.800000000003</v>
      </c>
      <c r="V9" s="158">
        <v>469186.19999999995</v>
      </c>
    </row>
    <row r="10" spans="1:30" s="157" customFormat="1">
      <c r="A10" s="101">
        <v>8</v>
      </c>
      <c r="B10" s="146"/>
      <c r="C10" s="147" t="s">
        <v>754</v>
      </c>
      <c r="D10" s="148">
        <v>450000</v>
      </c>
      <c r="E10" s="148">
        <f t="shared" si="0"/>
        <v>59985</v>
      </c>
      <c r="F10" s="149">
        <f t="shared" si="4"/>
        <v>509985</v>
      </c>
      <c r="G10" s="150">
        <v>50</v>
      </c>
      <c r="H10" s="159">
        <v>13699.7</v>
      </c>
      <c r="I10" s="152">
        <f t="shared" si="5"/>
        <v>1199.7</v>
      </c>
      <c r="J10" s="152">
        <f t="shared" si="6"/>
        <v>9000</v>
      </c>
      <c r="K10" s="152">
        <f t="shared" si="7"/>
        <v>2399.4</v>
      </c>
      <c r="L10" s="152">
        <f t="shared" si="8"/>
        <v>57585.600000000006</v>
      </c>
      <c r="M10" s="153">
        <f>S10+R10</f>
        <v>2</v>
      </c>
      <c r="N10" s="153">
        <f>T10-R10</f>
        <v>48</v>
      </c>
      <c r="O10" s="154">
        <f>U10+H10</f>
        <v>27399.4</v>
      </c>
      <c r="P10" s="155">
        <f>V10-H10</f>
        <v>482585.59999999998</v>
      </c>
      <c r="Q10" s="156"/>
      <c r="R10" s="157">
        <v>1</v>
      </c>
      <c r="S10" s="157">
        <v>1</v>
      </c>
      <c r="T10" s="157">
        <v>49</v>
      </c>
      <c r="U10" s="158">
        <v>13699.7</v>
      </c>
      <c r="V10" s="160">
        <v>496285.3</v>
      </c>
      <c r="X10" s="161">
        <f>SUM(H8:H10)</f>
        <v>31379.18</v>
      </c>
    </row>
    <row r="11" spans="1:30" s="143" customFormat="1">
      <c r="A11" s="101">
        <v>9</v>
      </c>
      <c r="B11" s="102"/>
      <c r="C11" s="116" t="s">
        <v>779</v>
      </c>
      <c r="D11" s="148">
        <v>450000</v>
      </c>
      <c r="E11" s="148">
        <f t="shared" ref="E11" si="10">D11*0.1333</f>
        <v>59985</v>
      </c>
      <c r="F11" s="149">
        <f t="shared" ref="F11" si="11">D11+E11</f>
        <v>509985</v>
      </c>
      <c r="G11" s="150">
        <v>50</v>
      </c>
      <c r="H11" s="159">
        <v>9999.75</v>
      </c>
      <c r="I11" s="152">
        <f t="shared" ref="I11" si="12">E11/G11</f>
        <v>1199.7</v>
      </c>
      <c r="J11" s="152">
        <f t="shared" ref="J11" si="13">D11/G11</f>
        <v>9000</v>
      </c>
      <c r="K11" s="152">
        <f t="shared" ref="K11" si="14">M11*I11</f>
        <v>3599.1000000000004</v>
      </c>
      <c r="L11" s="152">
        <f t="shared" ref="L11" si="15">I11*N11</f>
        <v>56385.9</v>
      </c>
      <c r="M11" s="153">
        <f>S11+R11</f>
        <v>3</v>
      </c>
      <c r="N11" s="153">
        <f>T11-R11</f>
        <v>47</v>
      </c>
      <c r="O11" s="154">
        <f>U11+H11</f>
        <v>19999.5</v>
      </c>
      <c r="P11" s="155">
        <v>489987.75</v>
      </c>
      <c r="Q11" s="142"/>
      <c r="R11" s="143">
        <v>1</v>
      </c>
      <c r="S11" s="143">
        <v>2</v>
      </c>
      <c r="T11" s="143">
        <v>48</v>
      </c>
      <c r="U11" s="144">
        <v>9999.75</v>
      </c>
      <c r="V11" s="144">
        <v>489987.75</v>
      </c>
      <c r="Z11" s="143" t="s">
        <v>352</v>
      </c>
    </row>
    <row r="12" spans="1:30" s="143" customFormat="1">
      <c r="A12" s="101">
        <v>10</v>
      </c>
      <c r="B12" s="102"/>
      <c r="C12" s="116" t="s">
        <v>732</v>
      </c>
      <c r="D12" s="104">
        <v>330000</v>
      </c>
      <c r="E12" s="104">
        <f>D12*0.13333</f>
        <v>43998.9</v>
      </c>
      <c r="F12" s="105">
        <f t="shared" si="4"/>
        <v>373998.9</v>
      </c>
      <c r="G12" s="139">
        <v>37</v>
      </c>
      <c r="H12" s="118">
        <v>10000</v>
      </c>
      <c r="I12" s="107">
        <f t="shared" si="5"/>
        <v>1189.1594594594594</v>
      </c>
      <c r="J12" s="107">
        <f t="shared" si="6"/>
        <v>8918.9189189189183</v>
      </c>
      <c r="K12" s="107">
        <f t="shared" si="7"/>
        <v>8324.1162162162163</v>
      </c>
      <c r="L12" s="107">
        <f t="shared" si="8"/>
        <v>51133.856756756752</v>
      </c>
      <c r="M12" s="140">
        <f t="shared" si="1"/>
        <v>7</v>
      </c>
      <c r="N12" s="140">
        <f t="shared" si="9"/>
        <v>43</v>
      </c>
      <c r="O12" s="141">
        <f t="shared" si="2"/>
        <v>70000</v>
      </c>
      <c r="P12" s="110">
        <f t="shared" si="3"/>
        <v>303998.90000000002</v>
      </c>
      <c r="Q12" s="142"/>
      <c r="R12" s="143">
        <v>1</v>
      </c>
      <c r="S12" s="143">
        <v>6</v>
      </c>
      <c r="T12" s="143">
        <v>44</v>
      </c>
      <c r="U12" s="144">
        <v>60000</v>
      </c>
      <c r="V12" s="144">
        <v>313998.90000000002</v>
      </c>
    </row>
    <row r="13" spans="1:30" s="143" customFormat="1">
      <c r="A13" s="101">
        <v>11</v>
      </c>
      <c r="B13" s="102"/>
      <c r="C13" s="116" t="s">
        <v>735</v>
      </c>
      <c r="D13" s="104">
        <v>500000</v>
      </c>
      <c r="E13" s="104">
        <f>D13*0.13333</f>
        <v>66665</v>
      </c>
      <c r="F13" s="105">
        <f t="shared" si="4"/>
        <v>566665</v>
      </c>
      <c r="G13" s="139">
        <v>50</v>
      </c>
      <c r="H13" s="118">
        <v>11333</v>
      </c>
      <c r="I13" s="107">
        <f t="shared" si="5"/>
        <v>1333.3</v>
      </c>
      <c r="J13" s="107">
        <f t="shared" si="6"/>
        <v>10000</v>
      </c>
      <c r="K13" s="107">
        <f t="shared" si="7"/>
        <v>6666.5</v>
      </c>
      <c r="L13" s="107">
        <f t="shared" si="8"/>
        <v>59998.5</v>
      </c>
      <c r="M13" s="140">
        <f>S13+R13</f>
        <v>5</v>
      </c>
      <c r="N13" s="140">
        <f>T13-R13</f>
        <v>45</v>
      </c>
      <c r="O13" s="141">
        <f t="shared" si="2"/>
        <v>56665</v>
      </c>
      <c r="P13" s="110">
        <f t="shared" si="3"/>
        <v>510000</v>
      </c>
      <c r="Q13" s="142"/>
      <c r="R13" s="143">
        <v>1</v>
      </c>
      <c r="S13" s="143">
        <v>4</v>
      </c>
      <c r="T13" s="143">
        <v>46</v>
      </c>
      <c r="U13" s="144">
        <v>45332</v>
      </c>
      <c r="V13" s="144">
        <v>521333</v>
      </c>
      <c r="X13" s="121">
        <f>SUM(H11:H13)</f>
        <v>31332.75</v>
      </c>
    </row>
    <row r="14" spans="1:30" s="157" customFormat="1">
      <c r="A14" s="101">
        <v>12</v>
      </c>
      <c r="B14" s="146">
        <v>0</v>
      </c>
      <c r="C14" s="147" t="s">
        <v>196</v>
      </c>
      <c r="D14" s="148">
        <v>450000</v>
      </c>
      <c r="E14" s="148">
        <f t="shared" si="0"/>
        <v>59985</v>
      </c>
      <c r="F14" s="149">
        <f t="shared" ref="F14:F35" si="16">G14*H14</f>
        <v>509985.00000000006</v>
      </c>
      <c r="G14" s="150">
        <v>50</v>
      </c>
      <c r="H14" s="159">
        <v>10199.700000000001</v>
      </c>
      <c r="I14" s="152">
        <f t="shared" si="5"/>
        <v>1199.7</v>
      </c>
      <c r="J14" s="152">
        <f t="shared" si="6"/>
        <v>9000</v>
      </c>
      <c r="K14" s="152">
        <f t="shared" si="7"/>
        <v>61184.700000000004</v>
      </c>
      <c r="L14" s="152">
        <f t="shared" si="8"/>
        <v>0</v>
      </c>
      <c r="M14" s="153">
        <f>S14+R14</f>
        <v>51</v>
      </c>
      <c r="N14" s="153">
        <f>T14-R14</f>
        <v>0</v>
      </c>
      <c r="O14" s="154">
        <f t="shared" si="2"/>
        <v>438587.10000000038</v>
      </c>
      <c r="P14" s="155">
        <f t="shared" si="3"/>
        <v>71397.899999999703</v>
      </c>
      <c r="Q14" s="156"/>
      <c r="R14" s="157">
        <v>1</v>
      </c>
      <c r="S14" s="157">
        <v>50</v>
      </c>
      <c r="T14" s="157">
        <v>1</v>
      </c>
      <c r="U14" s="158">
        <v>428387.40000000037</v>
      </c>
      <c r="V14" s="158">
        <v>81597.5999999997</v>
      </c>
    </row>
    <row r="15" spans="1:30" s="157" customFormat="1">
      <c r="A15" s="101">
        <v>13</v>
      </c>
      <c r="B15" s="146">
        <v>0</v>
      </c>
      <c r="C15" s="147" t="s">
        <v>408</v>
      </c>
      <c r="D15" s="148">
        <v>150000</v>
      </c>
      <c r="E15" s="148">
        <f t="shared" si="0"/>
        <v>19995</v>
      </c>
      <c r="F15" s="149">
        <f t="shared" si="16"/>
        <v>169995</v>
      </c>
      <c r="G15" s="150">
        <v>50</v>
      </c>
      <c r="H15" s="159">
        <v>3399.9</v>
      </c>
      <c r="I15" s="152">
        <f t="shared" si="5"/>
        <v>399.9</v>
      </c>
      <c r="J15" s="152">
        <f t="shared" si="6"/>
        <v>3000</v>
      </c>
      <c r="K15" s="152">
        <f t="shared" si="7"/>
        <v>7598.0999999999995</v>
      </c>
      <c r="L15" s="152">
        <f t="shared" si="8"/>
        <v>12396.9</v>
      </c>
      <c r="M15" s="153">
        <f t="shared" ref="M15:M18" si="17">S15+R15</f>
        <v>19</v>
      </c>
      <c r="N15" s="153">
        <f t="shared" ref="N15:N18" si="18">T15-R15</f>
        <v>31</v>
      </c>
      <c r="O15" s="154">
        <f t="shared" si="2"/>
        <v>101994.29999999996</v>
      </c>
      <c r="P15" s="155">
        <f t="shared" si="3"/>
        <v>68000.700000000157</v>
      </c>
      <c r="Q15" s="156"/>
      <c r="R15" s="157">
        <v>1</v>
      </c>
      <c r="S15" s="157">
        <v>18</v>
      </c>
      <c r="T15" s="157">
        <v>32</v>
      </c>
      <c r="U15" s="158">
        <v>98594.399999999965</v>
      </c>
      <c r="V15" s="158">
        <v>71400.600000000151</v>
      </c>
    </row>
    <row r="16" spans="1:30" s="157" customFormat="1">
      <c r="A16" s="101">
        <v>14</v>
      </c>
      <c r="B16" s="146">
        <v>0</v>
      </c>
      <c r="C16" s="147" t="s">
        <v>686</v>
      </c>
      <c r="D16" s="148">
        <v>500000</v>
      </c>
      <c r="E16" s="148">
        <f t="shared" si="0"/>
        <v>66650</v>
      </c>
      <c r="F16" s="149">
        <f t="shared" si="16"/>
        <v>566650</v>
      </c>
      <c r="G16" s="150">
        <v>50</v>
      </c>
      <c r="H16" s="159">
        <v>11333</v>
      </c>
      <c r="I16" s="152">
        <f t="shared" si="5"/>
        <v>1333</v>
      </c>
      <c r="J16" s="152">
        <f t="shared" si="6"/>
        <v>10000</v>
      </c>
      <c r="K16" s="152">
        <f t="shared" si="7"/>
        <v>23994</v>
      </c>
      <c r="L16" s="152">
        <f t="shared" si="8"/>
        <v>42656</v>
      </c>
      <c r="M16" s="153">
        <f t="shared" si="17"/>
        <v>18</v>
      </c>
      <c r="N16" s="153">
        <f t="shared" si="18"/>
        <v>32</v>
      </c>
      <c r="O16" s="154">
        <f t="shared" si="2"/>
        <v>203994</v>
      </c>
      <c r="P16" s="155">
        <f t="shared" si="3"/>
        <v>362656</v>
      </c>
      <c r="Q16" s="156"/>
      <c r="R16" s="157">
        <v>1</v>
      </c>
      <c r="S16" s="157">
        <v>17</v>
      </c>
      <c r="T16" s="157">
        <v>33</v>
      </c>
      <c r="U16" s="158">
        <v>192661</v>
      </c>
      <c r="V16" s="158">
        <v>373989</v>
      </c>
    </row>
    <row r="17" spans="1:26" s="157" customFormat="1">
      <c r="A17" s="101">
        <v>15</v>
      </c>
      <c r="B17" s="146">
        <v>0</v>
      </c>
      <c r="C17" s="147" t="s">
        <v>759</v>
      </c>
      <c r="D17" s="148">
        <v>500000</v>
      </c>
      <c r="E17" s="148">
        <f t="shared" ref="E17:E21" si="19">D17*0.09</f>
        <v>45000</v>
      </c>
      <c r="F17" s="149">
        <f t="shared" si="16"/>
        <v>566650</v>
      </c>
      <c r="G17" s="150">
        <v>50</v>
      </c>
      <c r="H17" s="159">
        <v>11333</v>
      </c>
      <c r="I17" s="152">
        <f t="shared" si="5"/>
        <v>900</v>
      </c>
      <c r="J17" s="152">
        <f t="shared" si="6"/>
        <v>10000</v>
      </c>
      <c r="K17" s="152">
        <f t="shared" si="7"/>
        <v>16200</v>
      </c>
      <c r="L17" s="152">
        <f t="shared" si="8"/>
        <v>28800</v>
      </c>
      <c r="M17" s="153">
        <f t="shared" si="17"/>
        <v>18</v>
      </c>
      <c r="N17" s="153">
        <f t="shared" si="18"/>
        <v>32</v>
      </c>
      <c r="O17" s="154">
        <f t="shared" si="2"/>
        <v>203994</v>
      </c>
      <c r="P17" s="155">
        <f t="shared" si="3"/>
        <v>362656</v>
      </c>
      <c r="Q17" s="156"/>
      <c r="R17" s="157">
        <v>1</v>
      </c>
      <c r="S17" s="157">
        <v>17</v>
      </c>
      <c r="T17" s="157">
        <v>33</v>
      </c>
      <c r="U17" s="158">
        <v>192661</v>
      </c>
      <c r="V17" s="158">
        <v>373989</v>
      </c>
    </row>
    <row r="18" spans="1:26" s="157" customFormat="1">
      <c r="A18" s="101">
        <v>16</v>
      </c>
      <c r="B18" s="146">
        <v>0</v>
      </c>
      <c r="C18" s="147" t="s">
        <v>689</v>
      </c>
      <c r="D18" s="148">
        <v>330000</v>
      </c>
      <c r="E18" s="148">
        <f t="shared" si="19"/>
        <v>29700</v>
      </c>
      <c r="F18" s="149">
        <f>G18*H18</f>
        <v>373989</v>
      </c>
      <c r="G18" s="150">
        <v>50</v>
      </c>
      <c r="H18" s="159">
        <v>7479.78</v>
      </c>
      <c r="I18" s="152">
        <f t="shared" si="5"/>
        <v>594</v>
      </c>
      <c r="J18" s="152">
        <f t="shared" si="6"/>
        <v>6600</v>
      </c>
      <c r="K18" s="152">
        <f t="shared" si="7"/>
        <v>10692</v>
      </c>
      <c r="L18" s="152">
        <f t="shared" si="8"/>
        <v>19008</v>
      </c>
      <c r="M18" s="153">
        <f t="shared" si="17"/>
        <v>18</v>
      </c>
      <c r="N18" s="153">
        <f t="shared" si="18"/>
        <v>32</v>
      </c>
      <c r="O18" s="154">
        <f t="shared" si="2"/>
        <v>134636.04</v>
      </c>
      <c r="P18" s="155">
        <f t="shared" si="3"/>
        <v>239352.95999999961</v>
      </c>
      <c r="Q18" s="156"/>
      <c r="R18" s="157">
        <v>1</v>
      </c>
      <c r="S18" s="157">
        <v>17</v>
      </c>
      <c r="T18" s="157">
        <v>33</v>
      </c>
      <c r="U18" s="158">
        <v>127156.26</v>
      </c>
      <c r="V18" s="158">
        <v>246832.73999999961</v>
      </c>
    </row>
    <row r="19" spans="1:26" s="157" customFormat="1">
      <c r="A19" s="101">
        <v>17</v>
      </c>
      <c r="B19" s="146"/>
      <c r="C19" s="147" t="s">
        <v>727</v>
      </c>
      <c r="D19" s="148">
        <v>450000</v>
      </c>
      <c r="E19" s="148">
        <f>D19*0.09</f>
        <v>40500</v>
      </c>
      <c r="F19" s="149">
        <f>G19*H19</f>
        <v>478800</v>
      </c>
      <c r="G19" s="150">
        <v>24</v>
      </c>
      <c r="H19" s="159">
        <v>19950</v>
      </c>
      <c r="I19" s="152">
        <f>E19/G19</f>
        <v>1687.5</v>
      </c>
      <c r="J19" s="152">
        <f>D19/G19</f>
        <v>18750</v>
      </c>
      <c r="K19" s="152">
        <f>M19*I19</f>
        <v>15187.5</v>
      </c>
      <c r="L19" s="152">
        <f>I19*N19</f>
        <v>69187.5</v>
      </c>
      <c r="M19" s="153">
        <f>S19+R19</f>
        <v>9</v>
      </c>
      <c r="N19" s="153">
        <f>T19-R19</f>
        <v>41</v>
      </c>
      <c r="O19" s="154">
        <f>U19+H19</f>
        <v>179550</v>
      </c>
      <c r="P19" s="155">
        <f>V19-H19</f>
        <v>299250</v>
      </c>
      <c r="Q19" s="156"/>
      <c r="R19" s="157">
        <v>1</v>
      </c>
      <c r="S19" s="157">
        <v>8</v>
      </c>
      <c r="T19" s="157">
        <v>42</v>
      </c>
      <c r="U19" s="158">
        <v>159600</v>
      </c>
      <c r="V19" s="158">
        <v>319200</v>
      </c>
      <c r="W19" s="157" t="s">
        <v>783</v>
      </c>
    </row>
    <row r="20" spans="1:26" s="157" customFormat="1">
      <c r="A20" s="101">
        <v>18</v>
      </c>
      <c r="B20" s="146"/>
      <c r="C20" s="147" t="s">
        <v>715</v>
      </c>
      <c r="D20" s="148">
        <v>500000</v>
      </c>
      <c r="E20" s="148">
        <f t="shared" si="19"/>
        <v>45000</v>
      </c>
      <c r="F20" s="149">
        <f>G20*H20</f>
        <v>566650</v>
      </c>
      <c r="G20" s="150">
        <v>50</v>
      </c>
      <c r="H20" s="159">
        <v>11333</v>
      </c>
      <c r="I20" s="152">
        <f t="shared" ref="I20:I79" si="20">E20/G20</f>
        <v>900</v>
      </c>
      <c r="J20" s="152">
        <f t="shared" ref="J20:J79" si="21">D20/G20</f>
        <v>10000</v>
      </c>
      <c r="K20" s="152">
        <f t="shared" si="7"/>
        <v>11700</v>
      </c>
      <c r="L20" s="152">
        <f t="shared" si="8"/>
        <v>33300</v>
      </c>
      <c r="M20" s="153">
        <f>S20+R20</f>
        <v>13</v>
      </c>
      <c r="N20" s="153">
        <f>T20-R20</f>
        <v>37</v>
      </c>
      <c r="O20" s="154">
        <f t="shared" si="2"/>
        <v>147329</v>
      </c>
      <c r="P20" s="155">
        <f t="shared" si="3"/>
        <v>419321</v>
      </c>
      <c r="Q20" s="156"/>
      <c r="R20" s="157">
        <v>1</v>
      </c>
      <c r="S20" s="157">
        <v>12</v>
      </c>
      <c r="T20" s="157">
        <v>38</v>
      </c>
      <c r="U20" s="158">
        <v>135996</v>
      </c>
      <c r="V20" s="158">
        <v>430654</v>
      </c>
    </row>
    <row r="21" spans="1:26" s="157" customFormat="1">
      <c r="A21" s="101">
        <v>19</v>
      </c>
      <c r="B21" s="146"/>
      <c r="C21" s="147" t="s">
        <v>720</v>
      </c>
      <c r="D21" s="148">
        <v>150000</v>
      </c>
      <c r="E21" s="148">
        <f t="shared" si="19"/>
        <v>13500</v>
      </c>
      <c r="F21" s="149">
        <f>G21*H21</f>
        <v>169995</v>
      </c>
      <c r="G21" s="150">
        <v>50</v>
      </c>
      <c r="H21" s="159">
        <v>3399.9</v>
      </c>
      <c r="I21" s="152">
        <f t="shared" si="20"/>
        <v>270</v>
      </c>
      <c r="J21" s="152">
        <f t="shared" si="21"/>
        <v>3000</v>
      </c>
      <c r="K21" s="152">
        <f t="shared" si="7"/>
        <v>3240</v>
      </c>
      <c r="L21" s="152">
        <f t="shared" si="8"/>
        <v>10260</v>
      </c>
      <c r="M21" s="153">
        <f>S21+R21</f>
        <v>12</v>
      </c>
      <c r="N21" s="153">
        <f>T21-R21</f>
        <v>38</v>
      </c>
      <c r="O21" s="154">
        <f t="shared" si="2"/>
        <v>40798.80000000001</v>
      </c>
      <c r="P21" s="155">
        <f t="shared" si="3"/>
        <v>129196.20000000007</v>
      </c>
      <c r="Q21" s="156"/>
      <c r="R21" s="157">
        <v>1</v>
      </c>
      <c r="S21" s="157">
        <v>11</v>
      </c>
      <c r="T21" s="157">
        <v>39</v>
      </c>
      <c r="U21" s="158">
        <v>37398.900000000009</v>
      </c>
      <c r="V21" s="158">
        <v>132596.10000000006</v>
      </c>
    </row>
    <row r="22" spans="1:26" s="157" customFormat="1">
      <c r="A22" s="101">
        <v>20</v>
      </c>
      <c r="B22" s="146"/>
      <c r="C22" s="147" t="s">
        <v>751</v>
      </c>
      <c r="D22" s="148">
        <v>500000</v>
      </c>
      <c r="E22" s="148">
        <f t="shared" si="0"/>
        <v>66650</v>
      </c>
      <c r="F22" s="149">
        <f t="shared" si="16"/>
        <v>527191.92000000004</v>
      </c>
      <c r="G22" s="150">
        <v>24</v>
      </c>
      <c r="H22" s="159">
        <v>21966.33</v>
      </c>
      <c r="I22" s="152">
        <f t="shared" si="20"/>
        <v>2777.0833333333335</v>
      </c>
      <c r="J22" s="152">
        <f t="shared" si="21"/>
        <v>20833.333333333332</v>
      </c>
      <c r="K22" s="152">
        <f>M22*I22</f>
        <v>5554.166666666667</v>
      </c>
      <c r="L22" s="152">
        <f>I22*N22</f>
        <v>61095.833333333336</v>
      </c>
      <c r="M22" s="153">
        <f t="shared" ref="M22:M29" si="22">S22+R22</f>
        <v>2</v>
      </c>
      <c r="N22" s="153">
        <f t="shared" ref="N22:N29" si="23">T22-R22</f>
        <v>22</v>
      </c>
      <c r="O22" s="154">
        <f t="shared" si="2"/>
        <v>43932.66</v>
      </c>
      <c r="P22" s="155">
        <f t="shared" si="3"/>
        <v>483259.33999999997</v>
      </c>
      <c r="Q22" s="156"/>
      <c r="R22" s="157">
        <v>1</v>
      </c>
      <c r="S22" s="157">
        <v>1</v>
      </c>
      <c r="T22" s="157">
        <v>23</v>
      </c>
      <c r="U22" s="158">
        <v>21966.33</v>
      </c>
      <c r="V22" s="149">
        <v>505225.67</v>
      </c>
    </row>
    <row r="23" spans="1:26" s="157" customFormat="1">
      <c r="A23" s="101">
        <v>21</v>
      </c>
      <c r="B23" s="146"/>
      <c r="C23" s="147" t="s">
        <v>757</v>
      </c>
      <c r="D23" s="148">
        <v>500000</v>
      </c>
      <c r="E23" s="148">
        <f t="shared" si="0"/>
        <v>66650</v>
      </c>
      <c r="F23" s="149">
        <f t="shared" si="16"/>
        <v>509985.00000000006</v>
      </c>
      <c r="G23" s="150">
        <v>50</v>
      </c>
      <c r="H23" s="159">
        <v>10199.700000000001</v>
      </c>
      <c r="I23" s="152">
        <f>E23/G23</f>
        <v>1333</v>
      </c>
      <c r="J23" s="152">
        <f>D23/G23</f>
        <v>10000</v>
      </c>
      <c r="K23" s="152">
        <f>M23*I23</f>
        <v>3999</v>
      </c>
      <c r="L23" s="152">
        <f>I23*N23</f>
        <v>63984</v>
      </c>
      <c r="M23" s="153">
        <f>S23+R23</f>
        <v>3</v>
      </c>
      <c r="N23" s="153">
        <f>T23-R23</f>
        <v>48</v>
      </c>
      <c r="O23" s="154">
        <f>U23+H23</f>
        <v>20399.400000000001</v>
      </c>
      <c r="P23" s="155">
        <f t="shared" si="3"/>
        <v>495025.97</v>
      </c>
      <c r="Q23" s="156"/>
      <c r="R23" s="157">
        <v>1</v>
      </c>
      <c r="S23" s="157">
        <v>2</v>
      </c>
      <c r="T23" s="157">
        <v>49</v>
      </c>
      <c r="U23" s="158">
        <v>10199.700000000001</v>
      </c>
      <c r="V23" s="160">
        <v>505225.67</v>
      </c>
      <c r="X23" s="161"/>
    </row>
    <row r="24" spans="1:26" s="210" customFormat="1">
      <c r="A24" s="101">
        <v>22</v>
      </c>
      <c r="B24" s="200"/>
      <c r="C24" s="147" t="s">
        <v>777</v>
      </c>
      <c r="D24" s="201">
        <v>500000</v>
      </c>
      <c r="E24" s="201">
        <f t="shared" si="0"/>
        <v>66650</v>
      </c>
      <c r="F24" s="202">
        <f t="shared" si="16"/>
        <v>509985.00000000006</v>
      </c>
      <c r="G24" s="203">
        <v>50</v>
      </c>
      <c r="H24" s="204">
        <v>10199.700000000001</v>
      </c>
      <c r="I24" s="205">
        <f>E24/G24</f>
        <v>1333</v>
      </c>
      <c r="J24" s="205">
        <f>D24/G24</f>
        <v>10000</v>
      </c>
      <c r="K24" s="205">
        <f>M24*I24</f>
        <v>3999</v>
      </c>
      <c r="L24" s="205">
        <f>I24*N24</f>
        <v>63984</v>
      </c>
      <c r="M24" s="206">
        <f>S24+R24</f>
        <v>3</v>
      </c>
      <c r="N24" s="206">
        <f>T24-R24</f>
        <v>48</v>
      </c>
      <c r="O24" s="207">
        <f>U24+H24</f>
        <v>20399.400000000001</v>
      </c>
      <c r="P24" s="208">
        <v>499785.3</v>
      </c>
      <c r="Q24" s="209"/>
      <c r="R24" s="210">
        <v>1</v>
      </c>
      <c r="S24" s="210">
        <v>2</v>
      </c>
      <c r="T24" s="210">
        <v>49</v>
      </c>
      <c r="U24" s="211">
        <v>10199.700000000001</v>
      </c>
      <c r="V24" s="212">
        <v>505225.67</v>
      </c>
      <c r="X24" s="213"/>
    </row>
    <row r="25" spans="1:26" s="157" customFormat="1">
      <c r="A25" s="101">
        <v>23</v>
      </c>
      <c r="B25" s="146"/>
      <c r="C25" s="147" t="s">
        <v>758</v>
      </c>
      <c r="D25" s="148">
        <v>500000</v>
      </c>
      <c r="E25" s="148">
        <f>D25*0.1333</f>
        <v>66650</v>
      </c>
      <c r="F25" s="149">
        <f t="shared" si="16"/>
        <v>684985</v>
      </c>
      <c r="G25" s="150">
        <v>50</v>
      </c>
      <c r="H25" s="159">
        <v>13699.7</v>
      </c>
      <c r="I25" s="152">
        <f>E25/G25</f>
        <v>1333</v>
      </c>
      <c r="J25" s="152">
        <f>D25/G25</f>
        <v>10000</v>
      </c>
      <c r="K25" s="152">
        <f>M25*I25</f>
        <v>3999</v>
      </c>
      <c r="L25" s="152">
        <f>I25*N25</f>
        <v>65317</v>
      </c>
      <c r="M25" s="153">
        <f>S25+R25</f>
        <v>3</v>
      </c>
      <c r="N25" s="153">
        <v>49</v>
      </c>
      <c r="O25" s="154">
        <f>U25+H25</f>
        <v>27399.4</v>
      </c>
      <c r="P25" s="155">
        <f t="shared" si="3"/>
        <v>491525.97</v>
      </c>
      <c r="Q25" s="156"/>
      <c r="R25" s="157">
        <v>1</v>
      </c>
      <c r="S25" s="157">
        <v>2</v>
      </c>
      <c r="T25" s="157">
        <v>49</v>
      </c>
      <c r="U25" s="158">
        <v>13699.7</v>
      </c>
      <c r="V25" s="160">
        <v>505225.67</v>
      </c>
    </row>
    <row r="26" spans="1:26" s="157" customFormat="1">
      <c r="A26" s="101">
        <v>24</v>
      </c>
      <c r="B26" s="146"/>
      <c r="C26" s="147" t="s">
        <v>760</v>
      </c>
      <c r="D26" s="148">
        <v>500000</v>
      </c>
      <c r="E26" s="148">
        <v>66650</v>
      </c>
      <c r="F26" s="149">
        <v>509985.00000000006</v>
      </c>
      <c r="G26" s="150">
        <v>50</v>
      </c>
      <c r="H26" s="159">
        <v>10199.700000000001</v>
      </c>
      <c r="I26" s="152">
        <v>1333</v>
      </c>
      <c r="J26" s="152">
        <v>10000</v>
      </c>
      <c r="K26" s="152">
        <v>3999</v>
      </c>
      <c r="L26" s="152">
        <v>65317</v>
      </c>
      <c r="M26" s="153">
        <v>3</v>
      </c>
      <c r="N26" s="153">
        <v>49</v>
      </c>
      <c r="O26" s="154">
        <v>20399.400000000001</v>
      </c>
      <c r="P26" s="155">
        <v>505225.67</v>
      </c>
      <c r="Q26" s="156"/>
      <c r="R26" s="157">
        <v>1</v>
      </c>
      <c r="S26" s="157">
        <v>2</v>
      </c>
      <c r="T26" s="157">
        <v>49</v>
      </c>
      <c r="U26" s="158">
        <v>10199.700000000001</v>
      </c>
      <c r="V26" s="160">
        <v>505225.67</v>
      </c>
      <c r="X26" s="138">
        <f>SUM(H14:H26)</f>
        <v>144693.41</v>
      </c>
    </row>
    <row r="27" spans="1:26" s="166" customFormat="1">
      <c r="A27" s="101">
        <v>25</v>
      </c>
      <c r="B27" s="133">
        <v>0</v>
      </c>
      <c r="C27" s="137" t="s">
        <v>198</v>
      </c>
      <c r="D27" s="134">
        <v>450000</v>
      </c>
      <c r="E27" s="134">
        <f>D27*0.1333</f>
        <v>59985</v>
      </c>
      <c r="F27" s="135">
        <f>G27*H27</f>
        <v>509985.00000000006</v>
      </c>
      <c r="G27" s="162">
        <v>50</v>
      </c>
      <c r="H27" s="91">
        <v>10199.700000000001</v>
      </c>
      <c r="I27" s="136">
        <f>E27/G27</f>
        <v>1199.7</v>
      </c>
      <c r="J27" s="136">
        <f>D27/G27</f>
        <v>9000</v>
      </c>
      <c r="K27" s="136">
        <f>M27*I27</f>
        <v>52786.8</v>
      </c>
      <c r="L27" s="136">
        <f>I27*N27</f>
        <v>8397.9</v>
      </c>
      <c r="M27" s="163">
        <f>S27+R27</f>
        <v>44</v>
      </c>
      <c r="N27" s="163">
        <f>T27-R27</f>
        <v>7</v>
      </c>
      <c r="O27" s="164">
        <f>U27+H27</f>
        <v>438687.10000000038</v>
      </c>
      <c r="P27" s="97">
        <f>V27-H27</f>
        <v>71297.899999999703</v>
      </c>
      <c r="Q27" s="165"/>
      <c r="R27" s="166">
        <v>1</v>
      </c>
      <c r="S27" s="166">
        <v>43</v>
      </c>
      <c r="T27" s="166">
        <v>8</v>
      </c>
      <c r="U27" s="167">
        <v>428487.40000000037</v>
      </c>
      <c r="V27" s="167">
        <v>81497.5999999997</v>
      </c>
      <c r="Z27" s="166" t="s">
        <v>765</v>
      </c>
    </row>
    <row r="28" spans="1:26" s="166" customFormat="1">
      <c r="A28" s="101">
        <v>26</v>
      </c>
      <c r="B28" s="133">
        <v>0</v>
      </c>
      <c r="C28" s="137" t="s">
        <v>203</v>
      </c>
      <c r="D28" s="134">
        <v>330000</v>
      </c>
      <c r="E28" s="134">
        <f t="shared" ref="E28:E48" si="24">D28*0.1333</f>
        <v>43989</v>
      </c>
      <c r="F28" s="135">
        <f t="shared" si="16"/>
        <v>373989</v>
      </c>
      <c r="G28" s="162">
        <v>50</v>
      </c>
      <c r="H28" s="91">
        <v>7479.78</v>
      </c>
      <c r="I28" s="136">
        <f t="shared" si="20"/>
        <v>879.78</v>
      </c>
      <c r="J28" s="136">
        <f t="shared" si="21"/>
        <v>6600</v>
      </c>
      <c r="K28" s="136">
        <f t="shared" si="7"/>
        <v>38710.32</v>
      </c>
      <c r="L28" s="136">
        <f t="shared" si="8"/>
        <v>6158.46</v>
      </c>
      <c r="M28" s="163">
        <f t="shared" si="22"/>
        <v>44</v>
      </c>
      <c r="N28" s="163">
        <f t="shared" si="23"/>
        <v>7</v>
      </c>
      <c r="O28" s="164">
        <f t="shared" si="2"/>
        <v>321630.54000000021</v>
      </c>
      <c r="P28" s="97">
        <f t="shared" ref="P28:P53" si="25">V28-H28</f>
        <v>52358.459999999875</v>
      </c>
      <c r="Q28" s="165"/>
      <c r="R28" s="166">
        <v>1</v>
      </c>
      <c r="S28" s="166">
        <v>43</v>
      </c>
      <c r="T28" s="166">
        <v>8</v>
      </c>
      <c r="U28" s="167">
        <v>314150.76000000018</v>
      </c>
      <c r="V28" s="167">
        <v>59838.239999999874</v>
      </c>
    </row>
    <row r="29" spans="1:26" s="166" customFormat="1">
      <c r="A29" s="101">
        <v>27</v>
      </c>
      <c r="B29" s="133"/>
      <c r="C29" s="137" t="s">
        <v>691</v>
      </c>
      <c r="D29" s="134">
        <v>330000</v>
      </c>
      <c r="E29" s="134">
        <f t="shared" si="24"/>
        <v>43989</v>
      </c>
      <c r="F29" s="135">
        <f t="shared" si="16"/>
        <v>373989</v>
      </c>
      <c r="G29" s="162">
        <v>50</v>
      </c>
      <c r="H29" s="91">
        <v>7479.78</v>
      </c>
      <c r="I29" s="136">
        <f t="shared" si="20"/>
        <v>879.78</v>
      </c>
      <c r="J29" s="136">
        <f t="shared" si="21"/>
        <v>6600</v>
      </c>
      <c r="K29" s="136">
        <f t="shared" si="7"/>
        <v>15836.039999999999</v>
      </c>
      <c r="L29" s="136">
        <f t="shared" si="8"/>
        <v>28152.959999999999</v>
      </c>
      <c r="M29" s="163">
        <f t="shared" si="22"/>
        <v>18</v>
      </c>
      <c r="N29" s="163">
        <f t="shared" si="23"/>
        <v>32</v>
      </c>
      <c r="O29" s="164">
        <f t="shared" si="2"/>
        <v>134636.04</v>
      </c>
      <c r="P29" s="97">
        <f t="shared" si="25"/>
        <v>239352.95999999961</v>
      </c>
      <c r="Q29" s="165"/>
      <c r="R29" s="166">
        <v>1</v>
      </c>
      <c r="S29" s="166">
        <v>17</v>
      </c>
      <c r="T29" s="166">
        <v>33</v>
      </c>
      <c r="U29" s="167">
        <v>127156.26</v>
      </c>
      <c r="V29" s="167">
        <v>246832.73999999961</v>
      </c>
    </row>
    <row r="30" spans="1:26" s="166" customFormat="1">
      <c r="A30" s="101">
        <v>28</v>
      </c>
      <c r="B30" s="133">
        <v>0</v>
      </c>
      <c r="C30" s="137" t="s">
        <v>398</v>
      </c>
      <c r="D30" s="134">
        <v>130000</v>
      </c>
      <c r="E30" s="134">
        <f t="shared" si="24"/>
        <v>17329</v>
      </c>
      <c r="F30" s="135">
        <f t="shared" si="16"/>
        <v>169995</v>
      </c>
      <c r="G30" s="162">
        <v>50</v>
      </c>
      <c r="H30" s="91">
        <v>3399.9</v>
      </c>
      <c r="I30" s="136">
        <f t="shared" si="20"/>
        <v>346.58</v>
      </c>
      <c r="J30" s="136">
        <f t="shared" si="21"/>
        <v>2600</v>
      </c>
      <c r="K30" s="136">
        <f t="shared" si="7"/>
        <v>346.58</v>
      </c>
      <c r="L30" s="136">
        <f t="shared" si="8"/>
        <v>16982.419999999998</v>
      </c>
      <c r="M30" s="163">
        <v>1</v>
      </c>
      <c r="N30" s="163">
        <v>49</v>
      </c>
      <c r="O30" s="164">
        <f t="shared" si="2"/>
        <v>282191.69999999995</v>
      </c>
      <c r="P30" s="97">
        <f t="shared" si="25"/>
        <v>64598.100000000144</v>
      </c>
      <c r="Q30" s="165"/>
      <c r="R30" s="166">
        <v>1</v>
      </c>
      <c r="S30" s="166">
        <v>1</v>
      </c>
      <c r="T30" s="166">
        <v>49</v>
      </c>
      <c r="U30" s="167">
        <v>278791.79999999993</v>
      </c>
      <c r="V30" s="167">
        <v>67998.000000000146</v>
      </c>
    </row>
    <row r="31" spans="1:26" s="166" customFormat="1">
      <c r="A31" s="101">
        <v>29</v>
      </c>
      <c r="B31" s="133">
        <v>0</v>
      </c>
      <c r="C31" s="137" t="s">
        <v>696</v>
      </c>
      <c r="D31" s="134">
        <v>450000</v>
      </c>
      <c r="E31" s="134">
        <f t="shared" si="24"/>
        <v>59985</v>
      </c>
      <c r="F31" s="135">
        <f t="shared" si="16"/>
        <v>509985.00000000006</v>
      </c>
      <c r="G31" s="162">
        <v>50</v>
      </c>
      <c r="H31" s="91">
        <v>10199.700000000001</v>
      </c>
      <c r="I31" s="136">
        <f t="shared" si="20"/>
        <v>1199.7</v>
      </c>
      <c r="J31" s="136">
        <f t="shared" si="21"/>
        <v>9000</v>
      </c>
      <c r="K31" s="136">
        <f t="shared" si="7"/>
        <v>20394.900000000001</v>
      </c>
      <c r="L31" s="136">
        <f t="shared" si="8"/>
        <v>39590.1</v>
      </c>
      <c r="M31" s="163">
        <f>S31+R31</f>
        <v>17</v>
      </c>
      <c r="N31" s="163">
        <f>T31-R31</f>
        <v>33</v>
      </c>
      <c r="O31" s="164">
        <f t="shared" si="2"/>
        <v>173394.90000000002</v>
      </c>
      <c r="P31" s="97">
        <f t="shared" si="25"/>
        <v>336590.0999999998</v>
      </c>
      <c r="Q31" s="165"/>
      <c r="R31" s="166">
        <v>1</v>
      </c>
      <c r="S31" s="166">
        <v>16</v>
      </c>
      <c r="T31" s="166">
        <v>34</v>
      </c>
      <c r="U31" s="167">
        <v>163195.20000000001</v>
      </c>
      <c r="V31" s="167">
        <v>346789.79999999981</v>
      </c>
    </row>
    <row r="32" spans="1:26" s="166" customFormat="1">
      <c r="A32" s="101">
        <v>30</v>
      </c>
      <c r="B32" s="133"/>
      <c r="C32" s="137" t="s">
        <v>736</v>
      </c>
      <c r="D32" s="134">
        <v>330000</v>
      </c>
      <c r="E32" s="134">
        <f t="shared" si="24"/>
        <v>43989</v>
      </c>
      <c r="F32" s="135">
        <f t="shared" si="16"/>
        <v>373989</v>
      </c>
      <c r="G32" s="162">
        <v>50</v>
      </c>
      <c r="H32" s="91">
        <v>7479.78</v>
      </c>
      <c r="I32" s="136">
        <f t="shared" si="20"/>
        <v>879.78</v>
      </c>
      <c r="J32" s="136">
        <f t="shared" si="21"/>
        <v>6600</v>
      </c>
      <c r="K32" s="136">
        <f t="shared" si="7"/>
        <v>4398.8999999999996</v>
      </c>
      <c r="L32" s="136">
        <f t="shared" si="8"/>
        <v>39590.1</v>
      </c>
      <c r="M32" s="163">
        <f>S32+R32</f>
        <v>5</v>
      </c>
      <c r="N32" s="163">
        <f>T32-R32</f>
        <v>45</v>
      </c>
      <c r="O32" s="164">
        <f t="shared" si="2"/>
        <v>37398.9</v>
      </c>
      <c r="P32" s="97">
        <f>V32-H32</f>
        <v>336590.09999999986</v>
      </c>
      <c r="Q32" s="165"/>
      <c r="R32" s="166">
        <v>1</v>
      </c>
      <c r="S32" s="166">
        <v>4</v>
      </c>
      <c r="T32" s="166">
        <v>46</v>
      </c>
      <c r="U32" s="167">
        <v>29919.119999999999</v>
      </c>
      <c r="V32" s="167">
        <v>344069.87999999989</v>
      </c>
    </row>
    <row r="33" spans="1:26" s="166" customFormat="1">
      <c r="A33" s="101">
        <v>31</v>
      </c>
      <c r="B33" s="133"/>
      <c r="C33" s="137" t="s">
        <v>752</v>
      </c>
      <c r="D33" s="134">
        <v>330000</v>
      </c>
      <c r="E33" s="134">
        <f t="shared" si="24"/>
        <v>43989</v>
      </c>
      <c r="F33" s="135">
        <f t="shared" si="16"/>
        <v>373989</v>
      </c>
      <c r="G33" s="162">
        <v>50</v>
      </c>
      <c r="H33" s="91">
        <v>7479.78</v>
      </c>
      <c r="I33" s="136">
        <f t="shared" si="20"/>
        <v>879.78</v>
      </c>
      <c r="J33" s="136">
        <f t="shared" si="21"/>
        <v>6600</v>
      </c>
      <c r="K33" s="136">
        <f t="shared" si="7"/>
        <v>879.78</v>
      </c>
      <c r="L33" s="136">
        <f t="shared" si="8"/>
        <v>43109.22</v>
      </c>
      <c r="M33" s="163">
        <v>1</v>
      </c>
      <c r="N33" s="163">
        <v>49</v>
      </c>
      <c r="O33" s="164">
        <f t="shared" si="2"/>
        <v>14959.56</v>
      </c>
      <c r="P33" s="97">
        <f>V33-H33</f>
        <v>351549.65999999992</v>
      </c>
      <c r="Q33" s="165"/>
      <c r="R33" s="166">
        <v>1</v>
      </c>
      <c r="S33" s="166">
        <v>1</v>
      </c>
      <c r="T33" s="166">
        <v>49</v>
      </c>
      <c r="U33" s="167">
        <v>7479.78</v>
      </c>
      <c r="V33" s="167">
        <v>359029.43999999994</v>
      </c>
      <c r="X33" s="138">
        <f>SUM(H27:H33)</f>
        <v>53718.42</v>
      </c>
    </row>
    <row r="34" spans="1:26" s="157" customFormat="1">
      <c r="A34" s="101">
        <v>32</v>
      </c>
      <c r="B34" s="146">
        <v>0</v>
      </c>
      <c r="C34" s="147" t="s">
        <v>753</v>
      </c>
      <c r="D34" s="148">
        <v>500000</v>
      </c>
      <c r="E34" s="148">
        <f t="shared" si="24"/>
        <v>66650</v>
      </c>
      <c r="F34" s="149">
        <f t="shared" si="16"/>
        <v>400000</v>
      </c>
      <c r="G34" s="150">
        <v>50</v>
      </c>
      <c r="H34" s="159">
        <v>8000</v>
      </c>
      <c r="I34" s="152">
        <f t="shared" si="20"/>
        <v>1333</v>
      </c>
      <c r="J34" s="152">
        <f t="shared" si="21"/>
        <v>10000</v>
      </c>
      <c r="K34" s="152">
        <f t="shared" si="7"/>
        <v>67983</v>
      </c>
      <c r="L34" s="152">
        <f t="shared" si="8"/>
        <v>0</v>
      </c>
      <c r="M34" s="153">
        <f t="shared" ref="M34:M39" si="26">S34+R34</f>
        <v>51</v>
      </c>
      <c r="N34" s="153">
        <f t="shared" ref="N34:N39" si="27">T34-R34</f>
        <v>0</v>
      </c>
      <c r="O34" s="154">
        <f t="shared" si="2"/>
        <v>495319</v>
      </c>
      <c r="P34" s="155">
        <f t="shared" si="25"/>
        <v>71331</v>
      </c>
      <c r="Q34" s="156"/>
      <c r="R34" s="157">
        <v>1</v>
      </c>
      <c r="S34" s="157">
        <v>50</v>
      </c>
      <c r="T34" s="157">
        <v>1</v>
      </c>
      <c r="U34" s="158">
        <v>487319</v>
      </c>
      <c r="V34" s="158">
        <v>79331</v>
      </c>
      <c r="Z34" s="157" t="s">
        <v>338</v>
      </c>
    </row>
    <row r="35" spans="1:26" s="157" customFormat="1">
      <c r="A35" s="101">
        <v>33</v>
      </c>
      <c r="B35" s="146"/>
      <c r="C35" s="147" t="s">
        <v>716</v>
      </c>
      <c r="D35" s="148">
        <v>500000</v>
      </c>
      <c r="E35" s="148">
        <f t="shared" si="24"/>
        <v>66650</v>
      </c>
      <c r="F35" s="149">
        <f t="shared" si="16"/>
        <v>547984.79999999993</v>
      </c>
      <c r="G35" s="150">
        <v>36</v>
      </c>
      <c r="H35" s="159">
        <v>15221.8</v>
      </c>
      <c r="I35" s="152">
        <f t="shared" si="20"/>
        <v>1851.3888888888889</v>
      </c>
      <c r="J35" s="152">
        <f t="shared" si="21"/>
        <v>13888.888888888889</v>
      </c>
      <c r="K35" s="152">
        <f t="shared" si="7"/>
        <v>24068.055555555555</v>
      </c>
      <c r="L35" s="152">
        <f t="shared" si="8"/>
        <v>42581.944444444445</v>
      </c>
      <c r="M35" s="153">
        <f>S35+R35</f>
        <v>13</v>
      </c>
      <c r="N35" s="153">
        <f>T35-R35</f>
        <v>23</v>
      </c>
      <c r="O35" s="154">
        <f t="shared" si="2"/>
        <v>197883.39999999997</v>
      </c>
      <c r="P35" s="155">
        <f t="shared" si="25"/>
        <v>350101.40000000014</v>
      </c>
      <c r="Q35" s="156"/>
      <c r="R35" s="157">
        <v>1</v>
      </c>
      <c r="S35" s="157">
        <v>12</v>
      </c>
      <c r="T35" s="157">
        <v>24</v>
      </c>
      <c r="U35" s="158">
        <v>182661.59999999998</v>
      </c>
      <c r="V35" s="158">
        <v>365323.20000000013</v>
      </c>
    </row>
    <row r="36" spans="1:26" s="157" customFormat="1">
      <c r="A36" s="101">
        <v>34</v>
      </c>
      <c r="B36" s="146"/>
      <c r="C36" s="147" t="s">
        <v>493</v>
      </c>
      <c r="D36" s="148">
        <v>500000</v>
      </c>
      <c r="E36" s="148">
        <f>D36*0.1333</f>
        <v>66650</v>
      </c>
      <c r="F36" s="149">
        <f>G36*H36</f>
        <v>708312.5</v>
      </c>
      <c r="G36" s="150">
        <v>50</v>
      </c>
      <c r="H36" s="159">
        <v>14166.25</v>
      </c>
      <c r="I36" s="152">
        <f t="shared" si="20"/>
        <v>1333</v>
      </c>
      <c r="J36" s="152">
        <f t="shared" si="21"/>
        <v>10000</v>
      </c>
      <c r="K36" s="152">
        <f t="shared" si="7"/>
        <v>29326</v>
      </c>
      <c r="L36" s="152">
        <f t="shared" si="8"/>
        <v>37324</v>
      </c>
      <c r="M36" s="153">
        <f t="shared" si="26"/>
        <v>22</v>
      </c>
      <c r="N36" s="153">
        <f t="shared" si="27"/>
        <v>28</v>
      </c>
      <c r="O36" s="154">
        <f t="shared" si="2"/>
        <v>252159.25</v>
      </c>
      <c r="P36" s="155">
        <f t="shared" si="25"/>
        <v>314490.75</v>
      </c>
      <c r="Q36" s="156"/>
      <c r="R36" s="157">
        <v>1</v>
      </c>
      <c r="S36" s="157">
        <v>21</v>
      </c>
      <c r="T36" s="157">
        <v>29</v>
      </c>
      <c r="U36" s="158">
        <v>237993</v>
      </c>
      <c r="V36" s="149">
        <v>328657</v>
      </c>
    </row>
    <row r="37" spans="1:26" s="157" customFormat="1">
      <c r="A37" s="101">
        <v>35</v>
      </c>
      <c r="B37" s="146"/>
      <c r="C37" s="147" t="s">
        <v>698</v>
      </c>
      <c r="D37" s="148">
        <v>450000</v>
      </c>
      <c r="E37" s="148">
        <f>D37*0.1333</f>
        <v>59985</v>
      </c>
      <c r="F37" s="149">
        <f>G37*H37</f>
        <v>509985.00000000006</v>
      </c>
      <c r="G37" s="150">
        <v>50</v>
      </c>
      <c r="H37" s="151">
        <v>10199.700000000001</v>
      </c>
      <c r="I37" s="152">
        <f t="shared" si="20"/>
        <v>1199.7</v>
      </c>
      <c r="J37" s="152">
        <f t="shared" si="21"/>
        <v>9000</v>
      </c>
      <c r="K37" s="152">
        <f t="shared" si="7"/>
        <v>19195.2</v>
      </c>
      <c r="L37" s="152">
        <f t="shared" si="8"/>
        <v>40789.800000000003</v>
      </c>
      <c r="M37" s="153">
        <f t="shared" si="26"/>
        <v>16</v>
      </c>
      <c r="N37" s="153">
        <f t="shared" si="27"/>
        <v>34</v>
      </c>
      <c r="O37" s="154">
        <f t="shared" si="2"/>
        <v>173394.90000000002</v>
      </c>
      <c r="P37" s="155">
        <f t="shared" si="25"/>
        <v>346789.79999999981</v>
      </c>
      <c r="Q37" s="156"/>
      <c r="R37" s="157">
        <v>1</v>
      </c>
      <c r="S37" s="157">
        <v>15</v>
      </c>
      <c r="T37" s="157">
        <v>35</v>
      </c>
      <c r="U37" s="158">
        <v>163195.20000000001</v>
      </c>
      <c r="V37" s="158">
        <v>356989.49999999983</v>
      </c>
    </row>
    <row r="38" spans="1:26" s="157" customFormat="1">
      <c r="A38" s="101">
        <v>36</v>
      </c>
      <c r="B38" s="146">
        <v>0</v>
      </c>
      <c r="C38" s="147" t="s">
        <v>441</v>
      </c>
      <c r="D38" s="148">
        <v>450000</v>
      </c>
      <c r="E38" s="148">
        <f t="shared" si="24"/>
        <v>59985</v>
      </c>
      <c r="F38" s="149">
        <f t="shared" ref="F38:F59" si="28">G38*H38</f>
        <v>509985.00000000006</v>
      </c>
      <c r="G38" s="150">
        <v>50</v>
      </c>
      <c r="H38" s="159">
        <v>10199.700000000001</v>
      </c>
      <c r="I38" s="152">
        <f t="shared" si="20"/>
        <v>1199.7</v>
      </c>
      <c r="J38" s="152">
        <f t="shared" si="21"/>
        <v>9000</v>
      </c>
      <c r="K38" s="152">
        <f t="shared" si="7"/>
        <v>34791.300000000003</v>
      </c>
      <c r="L38" s="152">
        <f t="shared" si="8"/>
        <v>25193.7</v>
      </c>
      <c r="M38" s="153">
        <f t="shared" si="26"/>
        <v>29</v>
      </c>
      <c r="N38" s="153">
        <f t="shared" si="27"/>
        <v>21</v>
      </c>
      <c r="O38" s="154">
        <f t="shared" si="2"/>
        <v>295791.30000000016</v>
      </c>
      <c r="P38" s="155">
        <f t="shared" si="25"/>
        <v>214193.69999999966</v>
      </c>
      <c r="Q38" s="156"/>
      <c r="R38" s="157">
        <v>1</v>
      </c>
      <c r="S38" s="157">
        <v>28</v>
      </c>
      <c r="T38" s="157">
        <v>22</v>
      </c>
      <c r="U38" s="158">
        <v>285591.60000000015</v>
      </c>
      <c r="V38" s="158">
        <v>224393.39999999967</v>
      </c>
    </row>
    <row r="39" spans="1:26" s="157" customFormat="1">
      <c r="A39" s="101">
        <v>37</v>
      </c>
      <c r="B39" s="146">
        <v>0</v>
      </c>
      <c r="C39" s="147" t="s">
        <v>793</v>
      </c>
      <c r="D39" s="148">
        <v>450000</v>
      </c>
      <c r="E39" s="148">
        <f t="shared" si="24"/>
        <v>59985</v>
      </c>
      <c r="F39" s="149">
        <f t="shared" si="28"/>
        <v>566650</v>
      </c>
      <c r="G39" s="150">
        <v>50</v>
      </c>
      <c r="H39" s="159">
        <v>11333</v>
      </c>
      <c r="I39" s="152">
        <f t="shared" si="20"/>
        <v>1199.7</v>
      </c>
      <c r="J39" s="152">
        <f t="shared" si="21"/>
        <v>9000</v>
      </c>
      <c r="K39" s="152">
        <f t="shared" si="7"/>
        <v>2399.4</v>
      </c>
      <c r="L39" s="152">
        <f t="shared" si="8"/>
        <v>58785.3</v>
      </c>
      <c r="M39" s="153">
        <f t="shared" si="26"/>
        <v>2</v>
      </c>
      <c r="N39" s="153">
        <f t="shared" si="27"/>
        <v>49</v>
      </c>
      <c r="O39" s="154">
        <f t="shared" si="2"/>
        <v>22666</v>
      </c>
      <c r="P39" s="155">
        <f t="shared" si="25"/>
        <v>657314</v>
      </c>
      <c r="Q39" s="156"/>
      <c r="R39" s="157">
        <v>1</v>
      </c>
      <c r="S39" s="157">
        <v>1</v>
      </c>
      <c r="T39" s="157">
        <v>50</v>
      </c>
      <c r="U39" s="158">
        <v>11333</v>
      </c>
      <c r="V39" s="158">
        <v>668647</v>
      </c>
    </row>
    <row r="40" spans="1:26" s="157" customFormat="1">
      <c r="A40" s="101">
        <v>38</v>
      </c>
      <c r="B40" s="146">
        <v>0</v>
      </c>
      <c r="C40" s="147" t="s">
        <v>409</v>
      </c>
      <c r="D40" s="148">
        <v>330000</v>
      </c>
      <c r="E40" s="148">
        <f t="shared" si="24"/>
        <v>43989</v>
      </c>
      <c r="F40" s="149">
        <f t="shared" si="28"/>
        <v>373989</v>
      </c>
      <c r="G40" s="150">
        <v>50</v>
      </c>
      <c r="H40" s="159">
        <v>7479.78</v>
      </c>
      <c r="I40" s="152">
        <f t="shared" si="20"/>
        <v>879.78</v>
      </c>
      <c r="J40" s="152">
        <f t="shared" si="21"/>
        <v>6600</v>
      </c>
      <c r="K40" s="152">
        <f t="shared" si="7"/>
        <v>879.78</v>
      </c>
      <c r="L40" s="152">
        <f t="shared" si="8"/>
        <v>43109.22</v>
      </c>
      <c r="M40" s="153">
        <v>1</v>
      </c>
      <c r="N40" s="153">
        <v>49</v>
      </c>
      <c r="O40" s="154">
        <v>7479.78</v>
      </c>
      <c r="P40" s="155">
        <f t="shared" si="25"/>
        <v>142115.81999999963</v>
      </c>
      <c r="Q40" s="156"/>
      <c r="R40" s="157">
        <v>1</v>
      </c>
      <c r="S40" s="157">
        <v>1</v>
      </c>
      <c r="T40" s="157">
        <v>49</v>
      </c>
      <c r="U40" s="158">
        <v>11333</v>
      </c>
      <c r="V40" s="158">
        <v>149595.59999999963</v>
      </c>
    </row>
    <row r="41" spans="1:26" s="157" customFormat="1">
      <c r="A41" s="101">
        <v>39</v>
      </c>
      <c r="B41" s="146">
        <v>0</v>
      </c>
      <c r="C41" s="147" t="s">
        <v>207</v>
      </c>
      <c r="D41" s="148">
        <v>330000</v>
      </c>
      <c r="E41" s="148">
        <f t="shared" si="24"/>
        <v>43989</v>
      </c>
      <c r="F41" s="149">
        <f t="shared" si="28"/>
        <v>373989</v>
      </c>
      <c r="G41" s="150">
        <v>50</v>
      </c>
      <c r="H41" s="159">
        <v>7479.78</v>
      </c>
      <c r="I41" s="152">
        <f t="shared" si="20"/>
        <v>879.78</v>
      </c>
      <c r="J41" s="152">
        <f t="shared" si="21"/>
        <v>6600</v>
      </c>
      <c r="K41" s="152">
        <f t="shared" si="7"/>
        <v>43109.22</v>
      </c>
      <c r="L41" s="152">
        <f t="shared" si="8"/>
        <v>1759.56</v>
      </c>
      <c r="M41" s="153">
        <f t="shared" ref="M41:M65" si="29">S41+R41</f>
        <v>49</v>
      </c>
      <c r="N41" s="153">
        <f t="shared" ref="N41:N65" si="30">T41-R41</f>
        <v>2</v>
      </c>
      <c r="O41" s="154">
        <f t="shared" ref="O41:O69" si="31">U41+H41</f>
        <v>306670.98000000016</v>
      </c>
      <c r="P41" s="155">
        <f t="shared" si="25"/>
        <v>0</v>
      </c>
      <c r="Q41" s="156"/>
      <c r="R41" s="157">
        <v>1</v>
      </c>
      <c r="S41" s="157">
        <v>48</v>
      </c>
      <c r="T41" s="157">
        <v>3</v>
      </c>
      <c r="U41" s="158">
        <v>299191.20000000013</v>
      </c>
      <c r="V41" s="158">
        <v>7479.78</v>
      </c>
    </row>
    <row r="42" spans="1:26" s="157" customFormat="1">
      <c r="A42" s="101">
        <v>40</v>
      </c>
      <c r="B42" s="146">
        <v>0</v>
      </c>
      <c r="C42" s="147" t="s">
        <v>789</v>
      </c>
      <c r="D42" s="148">
        <v>450000</v>
      </c>
      <c r="E42" s="148">
        <f>D42*0.1333</f>
        <v>59985</v>
      </c>
      <c r="F42" s="149">
        <f>G42*H42</f>
        <v>509985.00000000006</v>
      </c>
      <c r="G42" s="150">
        <v>50</v>
      </c>
      <c r="H42" s="151">
        <v>10199.700000000001</v>
      </c>
      <c r="I42" s="152">
        <f t="shared" ref="I42" si="32">E42/G42</f>
        <v>1199.7</v>
      </c>
      <c r="J42" s="152">
        <f t="shared" ref="J42" si="33">D42/G42</f>
        <v>9000</v>
      </c>
      <c r="K42" s="152">
        <f t="shared" ref="K42" si="34">M42*I42</f>
        <v>2399.4</v>
      </c>
      <c r="L42" s="152">
        <f t="shared" ref="L42" si="35">I42*N42</f>
        <v>57585.600000000006</v>
      </c>
      <c r="M42" s="153">
        <f t="shared" si="29"/>
        <v>2</v>
      </c>
      <c r="N42" s="153">
        <f t="shared" si="30"/>
        <v>48</v>
      </c>
      <c r="O42" s="154">
        <f t="shared" si="31"/>
        <v>173394.90000000002</v>
      </c>
      <c r="P42" s="155">
        <f t="shared" ref="P42" si="36">V42-H42</f>
        <v>489585.6</v>
      </c>
      <c r="Q42" s="156"/>
      <c r="R42" s="157">
        <v>1</v>
      </c>
      <c r="S42" s="157">
        <v>1</v>
      </c>
      <c r="T42" s="157">
        <v>49</v>
      </c>
      <c r="U42" s="158">
        <v>163195.20000000001</v>
      </c>
      <c r="V42" s="158">
        <v>499785.3</v>
      </c>
      <c r="X42" s="161">
        <f>SUM(H34:H42)</f>
        <v>94279.709999999992</v>
      </c>
    </row>
    <row r="43" spans="1:26" s="166" customFormat="1">
      <c r="A43" s="101">
        <v>41</v>
      </c>
      <c r="B43" s="133">
        <v>0</v>
      </c>
      <c r="C43" s="137" t="s">
        <v>442</v>
      </c>
      <c r="D43" s="134">
        <v>330000</v>
      </c>
      <c r="E43" s="134">
        <f t="shared" si="24"/>
        <v>43989</v>
      </c>
      <c r="F43" s="135">
        <f t="shared" si="28"/>
        <v>373989</v>
      </c>
      <c r="G43" s="162">
        <v>50</v>
      </c>
      <c r="H43" s="91">
        <v>7479.78</v>
      </c>
      <c r="I43" s="136">
        <f t="shared" si="20"/>
        <v>879.78</v>
      </c>
      <c r="J43" s="136">
        <f t="shared" si="21"/>
        <v>6600</v>
      </c>
      <c r="K43" s="136">
        <f t="shared" si="7"/>
        <v>25513.62</v>
      </c>
      <c r="L43" s="136">
        <f t="shared" si="8"/>
        <v>18475.38</v>
      </c>
      <c r="M43" s="163">
        <f t="shared" si="29"/>
        <v>29</v>
      </c>
      <c r="N43" s="163">
        <f t="shared" si="30"/>
        <v>21</v>
      </c>
      <c r="O43" s="164">
        <f t="shared" si="31"/>
        <v>216913.62</v>
      </c>
      <c r="P43" s="97">
        <f t="shared" si="25"/>
        <v>157075.37999999963</v>
      </c>
      <c r="Q43" s="165"/>
      <c r="R43" s="166">
        <v>1</v>
      </c>
      <c r="S43" s="166">
        <v>28</v>
      </c>
      <c r="T43" s="166">
        <v>22</v>
      </c>
      <c r="U43" s="167">
        <v>209433.84</v>
      </c>
      <c r="V43" s="135">
        <v>164555.15999999963</v>
      </c>
      <c r="X43" s="138">
        <f>SUM(H43:H43)</f>
        <v>7479.78</v>
      </c>
      <c r="Z43" s="166" t="s">
        <v>800</v>
      </c>
    </row>
    <row r="44" spans="1:26" s="157" customFormat="1">
      <c r="A44" s="101">
        <v>42</v>
      </c>
      <c r="B44" s="146">
        <v>0</v>
      </c>
      <c r="C44" s="147" t="s">
        <v>795</v>
      </c>
      <c r="D44" s="148">
        <v>500000</v>
      </c>
      <c r="E44" s="148">
        <f t="shared" si="24"/>
        <v>66650</v>
      </c>
      <c r="F44" s="149">
        <f t="shared" si="28"/>
        <v>424987.5</v>
      </c>
      <c r="G44" s="150">
        <v>50</v>
      </c>
      <c r="H44" s="159">
        <v>8499.75</v>
      </c>
      <c r="I44" s="152">
        <f t="shared" ref="I44" si="37">E44/G44</f>
        <v>1333</v>
      </c>
      <c r="J44" s="152">
        <f t="shared" ref="J44" si="38">D44/G44</f>
        <v>10000</v>
      </c>
      <c r="K44" s="152">
        <f t="shared" si="7"/>
        <v>2666</v>
      </c>
      <c r="L44" s="152">
        <f t="shared" si="8"/>
        <v>65317</v>
      </c>
      <c r="M44" s="153">
        <f t="shared" si="29"/>
        <v>2</v>
      </c>
      <c r="N44" s="153">
        <f t="shared" si="30"/>
        <v>49</v>
      </c>
      <c r="O44" s="154">
        <f t="shared" si="31"/>
        <v>16999.5</v>
      </c>
      <c r="P44" s="155">
        <f t="shared" si="25"/>
        <v>492985.5</v>
      </c>
      <c r="Q44" s="156"/>
      <c r="R44" s="157">
        <v>1</v>
      </c>
      <c r="S44" s="157">
        <v>1</v>
      </c>
      <c r="T44" s="157">
        <v>50</v>
      </c>
      <c r="U44" s="158">
        <v>8499.75</v>
      </c>
      <c r="V44" s="158">
        <v>501485.25</v>
      </c>
    </row>
    <row r="45" spans="1:26" s="157" customFormat="1">
      <c r="A45" s="101">
        <v>43</v>
      </c>
      <c r="B45" s="146">
        <v>0</v>
      </c>
      <c r="C45" s="147" t="s">
        <v>457</v>
      </c>
      <c r="D45" s="148">
        <v>330000</v>
      </c>
      <c r="E45" s="148">
        <f t="shared" si="24"/>
        <v>43989</v>
      </c>
      <c r="F45" s="149">
        <f t="shared" si="28"/>
        <v>373989</v>
      </c>
      <c r="G45" s="150">
        <v>50</v>
      </c>
      <c r="H45" s="159">
        <v>7479.78</v>
      </c>
      <c r="I45" s="152">
        <f t="shared" si="20"/>
        <v>879.78</v>
      </c>
      <c r="J45" s="152">
        <f t="shared" si="21"/>
        <v>6600</v>
      </c>
      <c r="K45" s="152">
        <f t="shared" si="7"/>
        <v>21994.5</v>
      </c>
      <c r="L45" s="152">
        <f t="shared" si="8"/>
        <v>21994.5</v>
      </c>
      <c r="M45" s="153">
        <f t="shared" si="29"/>
        <v>25</v>
      </c>
      <c r="N45" s="153">
        <f t="shared" si="30"/>
        <v>25</v>
      </c>
      <c r="O45" s="154">
        <f t="shared" si="31"/>
        <v>186994.5</v>
      </c>
      <c r="P45" s="155">
        <f t="shared" si="25"/>
        <v>186994.49999999962</v>
      </c>
      <c r="Q45" s="156"/>
      <c r="R45" s="157">
        <v>1</v>
      </c>
      <c r="S45" s="157">
        <v>24</v>
      </c>
      <c r="T45" s="157">
        <v>26</v>
      </c>
      <c r="U45" s="158">
        <v>179514.72</v>
      </c>
      <c r="V45" s="158">
        <v>194474.27999999962</v>
      </c>
      <c r="X45" s="161">
        <f>SUM(H44:H45)</f>
        <v>15979.529999999999</v>
      </c>
      <c r="Z45" s="157" t="s">
        <v>782</v>
      </c>
    </row>
    <row r="46" spans="1:26" s="166" customFormat="1">
      <c r="A46" s="101">
        <v>44</v>
      </c>
      <c r="B46" s="133">
        <v>0</v>
      </c>
      <c r="C46" s="137" t="s">
        <v>215</v>
      </c>
      <c r="D46" s="134">
        <v>450000</v>
      </c>
      <c r="E46" s="134">
        <f t="shared" si="24"/>
        <v>59985</v>
      </c>
      <c r="F46" s="135">
        <f t="shared" si="28"/>
        <v>0</v>
      </c>
      <c r="G46" s="162">
        <v>50</v>
      </c>
      <c r="H46" s="91">
        <v>0</v>
      </c>
      <c r="I46" s="136">
        <f t="shared" si="20"/>
        <v>1199.7</v>
      </c>
      <c r="J46" s="136">
        <f t="shared" si="21"/>
        <v>9000</v>
      </c>
      <c r="K46" s="136">
        <f t="shared" si="7"/>
        <v>61184.700000000004</v>
      </c>
      <c r="L46" s="136">
        <f t="shared" si="8"/>
        <v>0</v>
      </c>
      <c r="M46" s="163">
        <f t="shared" si="29"/>
        <v>51</v>
      </c>
      <c r="N46" s="163">
        <f t="shared" si="30"/>
        <v>0</v>
      </c>
      <c r="O46" s="164">
        <f t="shared" si="31"/>
        <v>438587.10000000038</v>
      </c>
      <c r="P46" s="97">
        <f t="shared" si="25"/>
        <v>71397.899999999703</v>
      </c>
      <c r="Q46" s="165"/>
      <c r="R46" s="166">
        <v>1</v>
      </c>
      <c r="S46" s="166">
        <v>50</v>
      </c>
      <c r="T46" s="166">
        <v>1</v>
      </c>
      <c r="U46" s="167">
        <v>438587.10000000038</v>
      </c>
      <c r="V46" s="167">
        <v>71397.899999999703</v>
      </c>
      <c r="Z46" s="166" t="s">
        <v>767</v>
      </c>
    </row>
    <row r="47" spans="1:26" s="166" customFormat="1">
      <c r="A47" s="101">
        <v>45</v>
      </c>
      <c r="B47" s="133">
        <v>0</v>
      </c>
      <c r="C47" s="137" t="s">
        <v>410</v>
      </c>
      <c r="D47" s="134">
        <v>450000</v>
      </c>
      <c r="E47" s="134">
        <f>D47*0.1333</f>
        <v>59985</v>
      </c>
      <c r="F47" s="135">
        <f>G47*H47</f>
        <v>509985.00000000006</v>
      </c>
      <c r="G47" s="162">
        <v>50</v>
      </c>
      <c r="H47" s="91">
        <v>10199.700000000001</v>
      </c>
      <c r="I47" s="136">
        <f t="shared" si="20"/>
        <v>1199.7</v>
      </c>
      <c r="J47" s="136">
        <f t="shared" si="21"/>
        <v>9000</v>
      </c>
      <c r="K47" s="136">
        <f t="shared" si="7"/>
        <v>35991</v>
      </c>
      <c r="L47" s="136">
        <f t="shared" si="8"/>
        <v>23994</v>
      </c>
      <c r="M47" s="163">
        <f>S47+R47</f>
        <v>30</v>
      </c>
      <c r="N47" s="163">
        <f>T47-R47</f>
        <v>20</v>
      </c>
      <c r="O47" s="164">
        <f t="shared" si="31"/>
        <v>305991.00000000017</v>
      </c>
      <c r="P47" s="97">
        <f t="shared" si="25"/>
        <v>193794.29999999964</v>
      </c>
      <c r="Q47" s="165"/>
      <c r="R47" s="166">
        <v>1</v>
      </c>
      <c r="S47" s="166">
        <v>29</v>
      </c>
      <c r="T47" s="166">
        <v>21</v>
      </c>
      <c r="U47" s="167">
        <v>295791.30000000016</v>
      </c>
      <c r="V47" s="167">
        <v>203993.99999999965</v>
      </c>
      <c r="W47" s="168"/>
    </row>
    <row r="48" spans="1:26" s="166" customFormat="1">
      <c r="A48" s="101">
        <v>46</v>
      </c>
      <c r="B48" s="133">
        <v>0</v>
      </c>
      <c r="C48" s="137" t="s">
        <v>216</v>
      </c>
      <c r="D48" s="134">
        <v>450000</v>
      </c>
      <c r="E48" s="134">
        <f t="shared" si="24"/>
        <v>59985</v>
      </c>
      <c r="F48" s="135">
        <f t="shared" si="28"/>
        <v>0</v>
      </c>
      <c r="G48" s="162">
        <v>50</v>
      </c>
      <c r="H48" s="91">
        <v>0</v>
      </c>
      <c r="I48" s="136">
        <f t="shared" si="20"/>
        <v>1199.7</v>
      </c>
      <c r="J48" s="136">
        <f t="shared" si="21"/>
        <v>9000</v>
      </c>
      <c r="K48" s="136">
        <f t="shared" si="7"/>
        <v>61184.700000000004</v>
      </c>
      <c r="L48" s="136">
        <f t="shared" si="8"/>
        <v>0</v>
      </c>
      <c r="M48" s="163">
        <f t="shared" si="29"/>
        <v>51</v>
      </c>
      <c r="N48" s="163">
        <f t="shared" si="30"/>
        <v>0</v>
      </c>
      <c r="O48" s="164">
        <f t="shared" si="31"/>
        <v>438587.10000000038</v>
      </c>
      <c r="P48" s="97">
        <f t="shared" si="25"/>
        <v>71397.899999999703</v>
      </c>
      <c r="Q48" s="165"/>
      <c r="R48" s="166">
        <v>1</v>
      </c>
      <c r="S48" s="166">
        <v>50</v>
      </c>
      <c r="T48" s="166">
        <v>1</v>
      </c>
      <c r="U48" s="167">
        <v>438587.10000000038</v>
      </c>
      <c r="V48" s="167">
        <v>71397.899999999703</v>
      </c>
    </row>
    <row r="49" spans="1:26" s="166" customFormat="1">
      <c r="A49" s="101">
        <v>47</v>
      </c>
      <c r="B49" s="133">
        <v>0</v>
      </c>
      <c r="C49" s="137" t="s">
        <v>448</v>
      </c>
      <c r="D49" s="134">
        <v>330000</v>
      </c>
      <c r="E49" s="134">
        <f t="shared" ref="E49:E74" si="39">D49*0.1333</f>
        <v>43989</v>
      </c>
      <c r="F49" s="135">
        <f t="shared" si="28"/>
        <v>373989</v>
      </c>
      <c r="G49" s="162">
        <v>50</v>
      </c>
      <c r="H49" s="91">
        <v>7479.78</v>
      </c>
      <c r="I49" s="136">
        <f t="shared" si="20"/>
        <v>879.78</v>
      </c>
      <c r="J49" s="136">
        <f t="shared" si="21"/>
        <v>6600</v>
      </c>
      <c r="K49" s="136">
        <f t="shared" si="7"/>
        <v>23754.059999999998</v>
      </c>
      <c r="L49" s="136">
        <f t="shared" si="8"/>
        <v>20234.939999999999</v>
      </c>
      <c r="M49" s="163">
        <f t="shared" si="29"/>
        <v>27</v>
      </c>
      <c r="N49" s="163">
        <f t="shared" si="30"/>
        <v>23</v>
      </c>
      <c r="O49" s="164">
        <f t="shared" si="31"/>
        <v>201954.06</v>
      </c>
      <c r="P49" s="97">
        <f t="shared" si="25"/>
        <v>179514.71999999962</v>
      </c>
      <c r="Q49" s="165"/>
      <c r="R49" s="166">
        <v>1</v>
      </c>
      <c r="S49" s="166">
        <v>26</v>
      </c>
      <c r="T49" s="166">
        <v>24</v>
      </c>
      <c r="U49" s="167">
        <v>194474.28</v>
      </c>
      <c r="V49" s="167">
        <v>186994.49999999962</v>
      </c>
      <c r="W49" s="168"/>
    </row>
    <row r="50" spans="1:26" s="166" customFormat="1">
      <c r="A50" s="101">
        <v>48</v>
      </c>
      <c r="B50" s="133">
        <v>0</v>
      </c>
      <c r="C50" s="137" t="s">
        <v>699</v>
      </c>
      <c r="D50" s="134">
        <v>450000</v>
      </c>
      <c r="E50" s="134">
        <f t="shared" si="39"/>
        <v>59985</v>
      </c>
      <c r="F50" s="135">
        <f t="shared" si="28"/>
        <v>509985.00000000006</v>
      </c>
      <c r="G50" s="162">
        <v>50</v>
      </c>
      <c r="H50" s="92">
        <v>10199.700000000001</v>
      </c>
      <c r="I50" s="136">
        <f t="shared" si="20"/>
        <v>1199.7</v>
      </c>
      <c r="J50" s="136">
        <f t="shared" si="21"/>
        <v>9000</v>
      </c>
      <c r="K50" s="136">
        <f t="shared" si="7"/>
        <v>19195.2</v>
      </c>
      <c r="L50" s="136">
        <f t="shared" si="8"/>
        <v>40789.800000000003</v>
      </c>
      <c r="M50" s="163">
        <f t="shared" si="29"/>
        <v>16</v>
      </c>
      <c r="N50" s="163">
        <f t="shared" si="30"/>
        <v>34</v>
      </c>
      <c r="O50" s="164">
        <f t="shared" si="31"/>
        <v>173394.90000000002</v>
      </c>
      <c r="P50" s="97">
        <f t="shared" si="25"/>
        <v>346789.79999999981</v>
      </c>
      <c r="Q50" s="165"/>
      <c r="R50" s="166">
        <v>1</v>
      </c>
      <c r="S50" s="166">
        <v>15</v>
      </c>
      <c r="T50" s="166">
        <v>35</v>
      </c>
      <c r="U50" s="167">
        <v>163195.20000000001</v>
      </c>
      <c r="V50" s="167">
        <v>356989.49999999983</v>
      </c>
      <c r="W50" s="168"/>
    </row>
    <row r="51" spans="1:26" s="166" customFormat="1">
      <c r="A51" s="101">
        <v>49</v>
      </c>
      <c r="B51" s="133">
        <v>0</v>
      </c>
      <c r="C51" s="137" t="s">
        <v>726</v>
      </c>
      <c r="D51" s="134">
        <v>500000</v>
      </c>
      <c r="E51" s="134">
        <f t="shared" si="39"/>
        <v>66650</v>
      </c>
      <c r="F51" s="135">
        <f t="shared" si="28"/>
        <v>566650</v>
      </c>
      <c r="G51" s="162">
        <v>50</v>
      </c>
      <c r="H51" s="93">
        <v>11333</v>
      </c>
      <c r="I51" s="136">
        <f t="shared" si="20"/>
        <v>1333</v>
      </c>
      <c r="J51" s="136">
        <f t="shared" si="21"/>
        <v>10000</v>
      </c>
      <c r="K51" s="136">
        <f t="shared" si="7"/>
        <v>13330</v>
      </c>
      <c r="L51" s="136">
        <f t="shared" si="8"/>
        <v>53320</v>
      </c>
      <c r="M51" s="163">
        <f t="shared" si="29"/>
        <v>10</v>
      </c>
      <c r="N51" s="163">
        <f t="shared" si="30"/>
        <v>40</v>
      </c>
      <c r="O51" s="164">
        <f t="shared" si="31"/>
        <v>113330</v>
      </c>
      <c r="P51" s="97">
        <f t="shared" si="25"/>
        <v>453320</v>
      </c>
      <c r="Q51" s="165"/>
      <c r="R51" s="166">
        <v>1</v>
      </c>
      <c r="S51" s="166">
        <v>9</v>
      </c>
      <c r="T51" s="166">
        <v>41</v>
      </c>
      <c r="U51" s="167">
        <v>101997</v>
      </c>
      <c r="V51" s="167">
        <v>464653</v>
      </c>
      <c r="W51" s="168"/>
      <c r="X51" s="138">
        <f>SUM(H46:H52)</f>
        <v>52545.18</v>
      </c>
    </row>
    <row r="52" spans="1:26" s="166" customFormat="1">
      <c r="A52" s="101">
        <v>50</v>
      </c>
      <c r="B52" s="133">
        <v>0</v>
      </c>
      <c r="C52" s="137" t="s">
        <v>780</v>
      </c>
      <c r="D52" s="134">
        <v>450001</v>
      </c>
      <c r="E52" s="134">
        <f t="shared" ref="E52" si="40">D52*0.1333</f>
        <v>59985.133300000001</v>
      </c>
      <c r="F52" s="135">
        <f t="shared" ref="F52" si="41">G52*H52</f>
        <v>666650</v>
      </c>
      <c r="G52" s="162">
        <v>50</v>
      </c>
      <c r="H52" s="92">
        <v>13333</v>
      </c>
      <c r="I52" s="136">
        <f t="shared" ref="I52" si="42">E52/G52</f>
        <v>1199.7026660000001</v>
      </c>
      <c r="J52" s="136">
        <f t="shared" ref="J52" si="43">D52/G52</f>
        <v>9000.02</v>
      </c>
      <c r="K52" s="136">
        <f t="shared" ref="K52" si="44">M52*I52</f>
        <v>19195.242656000002</v>
      </c>
      <c r="L52" s="136">
        <f t="shared" ref="L52" si="45">I52*N52</f>
        <v>40789.890644000006</v>
      </c>
      <c r="M52" s="163">
        <f t="shared" ref="M52" si="46">S52+R52</f>
        <v>16</v>
      </c>
      <c r="N52" s="163">
        <f t="shared" ref="N52" si="47">T52-R52</f>
        <v>34</v>
      </c>
      <c r="O52" s="164">
        <f t="shared" ref="O52" si="48">U52+H52</f>
        <v>176528.2</v>
      </c>
      <c r="P52" s="97">
        <f t="shared" ref="P52" si="49">V52-H52</f>
        <v>343656.49999999983</v>
      </c>
      <c r="Q52" s="165"/>
      <c r="R52" s="166">
        <v>1</v>
      </c>
      <c r="S52" s="166">
        <v>15</v>
      </c>
      <c r="T52" s="166">
        <v>35</v>
      </c>
      <c r="U52" s="167">
        <v>163195.20000000001</v>
      </c>
      <c r="V52" s="167">
        <v>356989.49999999983</v>
      </c>
      <c r="W52" s="168"/>
      <c r="X52" s="138"/>
    </row>
    <row r="53" spans="1:26" s="143" customFormat="1">
      <c r="A53" s="101">
        <v>51</v>
      </c>
      <c r="B53" s="102">
        <v>0</v>
      </c>
      <c r="C53" s="116" t="s">
        <v>465</v>
      </c>
      <c r="D53" s="104">
        <v>330000</v>
      </c>
      <c r="E53" s="104">
        <f>D53*0.1333</f>
        <v>43989</v>
      </c>
      <c r="F53" s="105">
        <f>G53*H53</f>
        <v>373989</v>
      </c>
      <c r="G53" s="139">
        <v>50</v>
      </c>
      <c r="H53" s="118">
        <v>7479.78</v>
      </c>
      <c r="I53" s="107">
        <f t="shared" si="20"/>
        <v>879.78</v>
      </c>
      <c r="J53" s="107">
        <f t="shared" si="21"/>
        <v>6600</v>
      </c>
      <c r="K53" s="107">
        <f t="shared" si="7"/>
        <v>20234.939999999999</v>
      </c>
      <c r="L53" s="107">
        <f t="shared" si="8"/>
        <v>23754.059999999998</v>
      </c>
      <c r="M53" s="140">
        <f t="shared" si="29"/>
        <v>23</v>
      </c>
      <c r="N53" s="140">
        <f t="shared" si="30"/>
        <v>27</v>
      </c>
      <c r="O53" s="141">
        <f t="shared" si="31"/>
        <v>172034.94</v>
      </c>
      <c r="P53" s="110">
        <f t="shared" si="25"/>
        <v>201954.05999999962</v>
      </c>
      <c r="Q53" s="142"/>
      <c r="R53" s="143">
        <v>1</v>
      </c>
      <c r="S53" s="143">
        <v>22</v>
      </c>
      <c r="T53" s="143">
        <v>28</v>
      </c>
      <c r="U53" s="144">
        <v>164555.16</v>
      </c>
      <c r="V53" s="105">
        <v>209433.83999999962</v>
      </c>
      <c r="Z53" s="143" t="s">
        <v>768</v>
      </c>
    </row>
    <row r="54" spans="1:26" s="143" customFormat="1">
      <c r="A54" s="101">
        <v>52</v>
      </c>
      <c r="B54" s="102">
        <v>0</v>
      </c>
      <c r="C54" s="116" t="s">
        <v>443</v>
      </c>
      <c r="D54" s="104">
        <v>330000</v>
      </c>
      <c r="E54" s="104">
        <f>D54*0.1333</f>
        <v>43989</v>
      </c>
      <c r="F54" s="105">
        <f>G54*H54</f>
        <v>373989</v>
      </c>
      <c r="G54" s="139">
        <v>50</v>
      </c>
      <c r="H54" s="118">
        <v>7479.78</v>
      </c>
      <c r="I54" s="107">
        <f t="shared" si="20"/>
        <v>879.78</v>
      </c>
      <c r="J54" s="107">
        <f t="shared" si="21"/>
        <v>6600</v>
      </c>
      <c r="K54" s="107">
        <f t="shared" si="7"/>
        <v>25513.62</v>
      </c>
      <c r="L54" s="107">
        <f t="shared" si="8"/>
        <v>18475.38</v>
      </c>
      <c r="M54" s="140">
        <f>S54+R54</f>
        <v>29</v>
      </c>
      <c r="N54" s="140">
        <f>T54-R54</f>
        <v>21</v>
      </c>
      <c r="O54" s="141">
        <f t="shared" si="31"/>
        <v>216913.62</v>
      </c>
      <c r="P54" s="110">
        <f t="shared" ref="P54:P83" si="50">V54-H54</f>
        <v>157075.37999999963</v>
      </c>
      <c r="Q54" s="142"/>
      <c r="R54" s="143">
        <v>1</v>
      </c>
      <c r="S54" s="143">
        <v>28</v>
      </c>
      <c r="T54" s="143">
        <v>22</v>
      </c>
      <c r="U54" s="144">
        <v>209433.84</v>
      </c>
      <c r="V54" s="144">
        <v>164555.15999999963</v>
      </c>
    </row>
    <row r="55" spans="1:26" s="157" customFormat="1">
      <c r="A55" s="101">
        <v>53</v>
      </c>
      <c r="B55" s="146">
        <v>0</v>
      </c>
      <c r="C55" s="147" t="s">
        <v>794</v>
      </c>
      <c r="D55" s="148">
        <v>500000</v>
      </c>
      <c r="E55" s="148">
        <f t="shared" ref="E55" si="51">D55*0.1333</f>
        <v>66650</v>
      </c>
      <c r="F55" s="149">
        <f t="shared" ref="F55" si="52">G55*H55</f>
        <v>424987.5</v>
      </c>
      <c r="G55" s="150">
        <v>50</v>
      </c>
      <c r="H55" s="159">
        <v>8499.75</v>
      </c>
      <c r="I55" s="152">
        <f t="shared" ref="I55" si="53">E55/G55</f>
        <v>1333</v>
      </c>
      <c r="J55" s="152">
        <f t="shared" ref="J55" si="54">D55/G55</f>
        <v>10000</v>
      </c>
      <c r="K55" s="152">
        <f t="shared" si="7"/>
        <v>2666</v>
      </c>
      <c r="L55" s="152">
        <f t="shared" si="8"/>
        <v>65317</v>
      </c>
      <c r="M55" s="153">
        <f t="shared" ref="M55" si="55">S55+R55</f>
        <v>2</v>
      </c>
      <c r="N55" s="153">
        <f t="shared" ref="N55" si="56">T55-R55</f>
        <v>49</v>
      </c>
      <c r="O55" s="154">
        <f t="shared" si="31"/>
        <v>16999.5</v>
      </c>
      <c r="P55" s="155">
        <f t="shared" ref="P55" si="57">V55-H55</f>
        <v>492985.5</v>
      </c>
      <c r="Q55" s="156"/>
      <c r="R55" s="157">
        <v>1</v>
      </c>
      <c r="S55" s="157">
        <v>1</v>
      </c>
      <c r="T55" s="157">
        <v>50</v>
      </c>
      <c r="U55" s="158">
        <v>8499.75</v>
      </c>
      <c r="V55" s="158">
        <v>501485.25</v>
      </c>
    </row>
    <row r="56" spans="1:26" s="143" customFormat="1">
      <c r="A56" s="101">
        <v>54</v>
      </c>
      <c r="B56" s="102">
        <v>0</v>
      </c>
      <c r="C56" s="116" t="s">
        <v>449</v>
      </c>
      <c r="D56" s="104">
        <v>330000</v>
      </c>
      <c r="E56" s="104">
        <f>D56*0.1333</f>
        <v>43989</v>
      </c>
      <c r="F56" s="105">
        <f>G56*H56</f>
        <v>373989</v>
      </c>
      <c r="G56" s="139">
        <v>50</v>
      </c>
      <c r="H56" s="118">
        <v>7479.78</v>
      </c>
      <c r="I56" s="107">
        <f t="shared" si="20"/>
        <v>879.78</v>
      </c>
      <c r="J56" s="107">
        <f t="shared" si="21"/>
        <v>6600</v>
      </c>
      <c r="K56" s="107">
        <f t="shared" ref="K56:K115" si="58">M56*I56</f>
        <v>23754.059999999998</v>
      </c>
      <c r="L56" s="107">
        <f t="shared" ref="L56:L115" si="59">I56*N56</f>
        <v>20234.939999999999</v>
      </c>
      <c r="M56" s="140">
        <f>S56+R56</f>
        <v>27</v>
      </c>
      <c r="N56" s="140">
        <f>T56-R56</f>
        <v>23</v>
      </c>
      <c r="O56" s="141">
        <f t="shared" si="31"/>
        <v>201954.06</v>
      </c>
      <c r="P56" s="110">
        <f t="shared" si="50"/>
        <v>172034.93999999962</v>
      </c>
      <c r="Q56" s="142"/>
      <c r="R56" s="143">
        <v>1</v>
      </c>
      <c r="S56" s="143">
        <v>26</v>
      </c>
      <c r="T56" s="143">
        <v>24</v>
      </c>
      <c r="U56" s="144">
        <v>194474.28</v>
      </c>
      <c r="V56" s="144">
        <v>179514.71999999962</v>
      </c>
    </row>
    <row r="57" spans="1:26" s="143" customFormat="1">
      <c r="A57" s="101">
        <v>55</v>
      </c>
      <c r="B57" s="102">
        <v>0</v>
      </c>
      <c r="C57" s="116" t="s">
        <v>219</v>
      </c>
      <c r="D57" s="104">
        <v>330000</v>
      </c>
      <c r="E57" s="104">
        <f t="shared" si="39"/>
        <v>43989</v>
      </c>
      <c r="F57" s="105">
        <f t="shared" si="28"/>
        <v>273993</v>
      </c>
      <c r="G57" s="139">
        <v>50</v>
      </c>
      <c r="H57" s="118">
        <v>5479.86</v>
      </c>
      <c r="I57" s="107">
        <f t="shared" si="20"/>
        <v>879.78</v>
      </c>
      <c r="J57" s="107">
        <f t="shared" si="21"/>
        <v>6600</v>
      </c>
      <c r="K57" s="107">
        <f t="shared" si="58"/>
        <v>43989</v>
      </c>
      <c r="L57" s="107">
        <f t="shared" si="59"/>
        <v>879.78</v>
      </c>
      <c r="M57" s="140">
        <f t="shared" si="29"/>
        <v>50</v>
      </c>
      <c r="N57" s="140">
        <f t="shared" si="30"/>
        <v>1</v>
      </c>
      <c r="O57" s="141">
        <f t="shared" si="31"/>
        <v>319630.62000000017</v>
      </c>
      <c r="P57" s="110">
        <f t="shared" si="50"/>
        <v>66797.719999999958</v>
      </c>
      <c r="Q57" s="142"/>
      <c r="R57" s="143">
        <v>1</v>
      </c>
      <c r="S57" s="143">
        <v>49</v>
      </c>
      <c r="T57" s="143">
        <v>2</v>
      </c>
      <c r="U57" s="144">
        <v>314150.76000000018</v>
      </c>
      <c r="V57" s="144">
        <v>72277.579999999958</v>
      </c>
    </row>
    <row r="58" spans="1:26" s="143" customFormat="1">
      <c r="A58" s="101">
        <v>56</v>
      </c>
      <c r="B58" s="102"/>
      <c r="C58" s="116" t="s">
        <v>266</v>
      </c>
      <c r="D58" s="104">
        <v>450000</v>
      </c>
      <c r="E58" s="104">
        <f>D58*0.1333</f>
        <v>59985</v>
      </c>
      <c r="F58" s="105">
        <f>G58*H58</f>
        <v>509985.00000000006</v>
      </c>
      <c r="G58" s="139">
        <v>50</v>
      </c>
      <c r="H58" s="118">
        <v>10199.700000000001</v>
      </c>
      <c r="I58" s="107">
        <f>E58/G58</f>
        <v>1199.7</v>
      </c>
      <c r="J58" s="107">
        <f>D58/G58</f>
        <v>9000</v>
      </c>
      <c r="K58" s="107">
        <f>M58*I58</f>
        <v>4798.8</v>
      </c>
      <c r="L58" s="107">
        <f>I58*N58</f>
        <v>55186.200000000004</v>
      </c>
      <c r="M58" s="140">
        <f>S58+R58</f>
        <v>4</v>
      </c>
      <c r="N58" s="140">
        <f>T58-R58</f>
        <v>46</v>
      </c>
      <c r="O58" s="141">
        <f>U58+H58</f>
        <v>40798.800000000003</v>
      </c>
      <c r="P58" s="110">
        <f>V58-H58</f>
        <v>448786.8</v>
      </c>
      <c r="Q58" s="142"/>
      <c r="R58" s="143">
        <v>1</v>
      </c>
      <c r="S58" s="143">
        <v>3</v>
      </c>
      <c r="T58" s="143">
        <v>47</v>
      </c>
      <c r="U58" s="144">
        <v>30599.100000000002</v>
      </c>
      <c r="V58" s="105">
        <v>458986.5</v>
      </c>
    </row>
    <row r="59" spans="1:26" s="143" customFormat="1">
      <c r="A59" s="101">
        <v>57</v>
      </c>
      <c r="B59" s="102">
        <v>0</v>
      </c>
      <c r="C59" s="116" t="s">
        <v>381</v>
      </c>
      <c r="D59" s="104">
        <v>330000</v>
      </c>
      <c r="E59" s="104">
        <f t="shared" si="39"/>
        <v>43989</v>
      </c>
      <c r="F59" s="105">
        <f t="shared" si="28"/>
        <v>373989</v>
      </c>
      <c r="G59" s="139">
        <v>50</v>
      </c>
      <c r="H59" s="118">
        <v>7479.78</v>
      </c>
      <c r="I59" s="107">
        <f t="shared" si="20"/>
        <v>879.78</v>
      </c>
      <c r="J59" s="107">
        <f t="shared" si="21"/>
        <v>6600</v>
      </c>
      <c r="K59" s="107">
        <f t="shared" si="58"/>
        <v>34311.42</v>
      </c>
      <c r="L59" s="107">
        <f t="shared" si="59"/>
        <v>10557.36</v>
      </c>
      <c r="M59" s="140">
        <f t="shared" si="29"/>
        <v>39</v>
      </c>
      <c r="N59" s="140">
        <f t="shared" si="30"/>
        <v>12</v>
      </c>
      <c r="O59" s="141">
        <f t="shared" si="31"/>
        <v>284231.64000000007</v>
      </c>
      <c r="P59" s="110">
        <f t="shared" si="50"/>
        <v>89757.359999999695</v>
      </c>
      <c r="Q59" s="142"/>
      <c r="R59" s="143">
        <v>1</v>
      </c>
      <c r="S59" s="143">
        <v>38</v>
      </c>
      <c r="T59" s="143">
        <v>13</v>
      </c>
      <c r="U59" s="144">
        <v>276751.86000000004</v>
      </c>
      <c r="V59" s="144">
        <v>97237.139999999694</v>
      </c>
      <c r="X59" s="121">
        <f>SUM(H53:H61)</f>
        <v>80497.829999999987</v>
      </c>
    </row>
    <row r="60" spans="1:26" s="143" customFormat="1">
      <c r="A60" s="101">
        <v>58</v>
      </c>
      <c r="B60" s="102"/>
      <c r="C60" s="116" t="s">
        <v>790</v>
      </c>
      <c r="D60" s="104">
        <v>450000</v>
      </c>
      <c r="E60" s="104">
        <f>D60*0.1333</f>
        <v>59985</v>
      </c>
      <c r="F60" s="105">
        <f>G60*H60</f>
        <v>809985</v>
      </c>
      <c r="G60" s="139">
        <v>50</v>
      </c>
      <c r="H60" s="118">
        <v>16199.7</v>
      </c>
      <c r="I60" s="107">
        <f>E60/G60</f>
        <v>1199.7</v>
      </c>
      <c r="J60" s="107">
        <f>D60/G60</f>
        <v>9000</v>
      </c>
      <c r="K60" s="107">
        <f>M60*I60</f>
        <v>2399.4</v>
      </c>
      <c r="L60" s="107">
        <f>I60*N60</f>
        <v>57585.600000000006</v>
      </c>
      <c r="M60" s="140">
        <f>S60+R60</f>
        <v>2</v>
      </c>
      <c r="N60" s="140">
        <f>T60-R60</f>
        <v>48</v>
      </c>
      <c r="O60" s="141">
        <f>U60+H60</f>
        <v>32399.4</v>
      </c>
      <c r="P60" s="110">
        <f>V60-H60</f>
        <v>453591.6</v>
      </c>
      <c r="Q60" s="142"/>
      <c r="R60" s="143">
        <v>1</v>
      </c>
      <c r="S60" s="143">
        <v>1</v>
      </c>
      <c r="T60" s="143">
        <v>49</v>
      </c>
      <c r="U60" s="144">
        <v>16199.7</v>
      </c>
      <c r="V60" s="105">
        <v>469791.3</v>
      </c>
    </row>
    <row r="61" spans="1:26" s="143" customFormat="1">
      <c r="A61" s="101">
        <v>59</v>
      </c>
      <c r="B61" s="102"/>
      <c r="C61" s="116" t="s">
        <v>791</v>
      </c>
      <c r="D61" s="104">
        <v>450000</v>
      </c>
      <c r="E61" s="104">
        <f>D61*0.1333</f>
        <v>59985</v>
      </c>
      <c r="F61" s="105">
        <f>G61*H61</f>
        <v>509985.00000000006</v>
      </c>
      <c r="G61" s="139">
        <v>50</v>
      </c>
      <c r="H61" s="118">
        <v>10199.700000000001</v>
      </c>
      <c r="I61" s="107">
        <f>E61/G61</f>
        <v>1199.7</v>
      </c>
      <c r="J61" s="107">
        <f>D61/G61</f>
        <v>9000</v>
      </c>
      <c r="K61" s="107">
        <f>M61*I61</f>
        <v>2399.4</v>
      </c>
      <c r="L61" s="107">
        <f>I61*N61</f>
        <v>57585.600000000006</v>
      </c>
      <c r="M61" s="140">
        <f>S61+R61</f>
        <v>2</v>
      </c>
      <c r="N61" s="140">
        <f>T61-R61</f>
        <v>48</v>
      </c>
      <c r="O61" s="141">
        <f>U61+H61</f>
        <v>20399.400000000001</v>
      </c>
      <c r="P61" s="110">
        <f>V61-H61</f>
        <v>489585.6</v>
      </c>
      <c r="Q61" s="142"/>
      <c r="R61" s="143">
        <v>1</v>
      </c>
      <c r="S61" s="143">
        <v>1</v>
      </c>
      <c r="T61" s="143">
        <v>49</v>
      </c>
      <c r="U61" s="144">
        <v>10199.700000000001</v>
      </c>
      <c r="V61" s="105">
        <v>499785.3</v>
      </c>
    </row>
    <row r="62" spans="1:26" s="166" customFormat="1">
      <c r="A62" s="101">
        <v>60</v>
      </c>
      <c r="B62" s="133">
        <v>0</v>
      </c>
      <c r="C62" s="169" t="s">
        <v>76</v>
      </c>
      <c r="D62" s="134">
        <v>330000</v>
      </c>
      <c r="E62" s="134">
        <f t="shared" si="39"/>
        <v>43989</v>
      </c>
      <c r="F62" s="135">
        <f t="shared" ref="F62:F83" si="60">G62*H62</f>
        <v>373989</v>
      </c>
      <c r="G62" s="162">
        <v>50</v>
      </c>
      <c r="H62" s="91">
        <v>7479.78</v>
      </c>
      <c r="I62" s="136">
        <f t="shared" si="20"/>
        <v>879.78</v>
      </c>
      <c r="J62" s="136">
        <f t="shared" si="21"/>
        <v>6600</v>
      </c>
      <c r="K62" s="136">
        <f t="shared" si="58"/>
        <v>33431.64</v>
      </c>
      <c r="L62" s="136">
        <f t="shared" si="59"/>
        <v>11437.14</v>
      </c>
      <c r="M62" s="163">
        <f t="shared" si="29"/>
        <v>38</v>
      </c>
      <c r="N62" s="163">
        <f t="shared" si="30"/>
        <v>13</v>
      </c>
      <c r="O62" s="164">
        <f t="shared" si="31"/>
        <v>276751.86000000004</v>
      </c>
      <c r="P62" s="97">
        <f t="shared" si="50"/>
        <v>97237.139999999694</v>
      </c>
      <c r="Q62" s="165"/>
      <c r="R62" s="166">
        <v>1</v>
      </c>
      <c r="S62" s="166">
        <v>37</v>
      </c>
      <c r="T62" s="166">
        <v>14</v>
      </c>
      <c r="U62" s="167">
        <v>269272.08</v>
      </c>
      <c r="V62" s="167">
        <v>104716.91999999969</v>
      </c>
      <c r="Z62" s="166" t="s">
        <v>769</v>
      </c>
    </row>
    <row r="63" spans="1:26" s="166" customFormat="1">
      <c r="A63" s="101">
        <v>61</v>
      </c>
      <c r="B63" s="133">
        <v>0</v>
      </c>
      <c r="C63" s="170" t="s">
        <v>471</v>
      </c>
      <c r="D63" s="134">
        <v>330000</v>
      </c>
      <c r="E63" s="134">
        <f>D63*0.1333</f>
        <v>43989</v>
      </c>
      <c r="F63" s="135">
        <f>G63*H63</f>
        <v>373989</v>
      </c>
      <c r="G63" s="162">
        <v>50</v>
      </c>
      <c r="H63" s="91">
        <v>7479.78</v>
      </c>
      <c r="I63" s="136">
        <f t="shared" si="20"/>
        <v>879.78</v>
      </c>
      <c r="J63" s="136">
        <f t="shared" si="21"/>
        <v>6600</v>
      </c>
      <c r="K63" s="136">
        <f t="shared" si="58"/>
        <v>20234.939999999999</v>
      </c>
      <c r="L63" s="136">
        <f t="shared" si="59"/>
        <v>23754.059999999998</v>
      </c>
      <c r="M63" s="171">
        <f t="shared" si="29"/>
        <v>23</v>
      </c>
      <c r="N63" s="171">
        <f t="shared" si="30"/>
        <v>27</v>
      </c>
      <c r="O63" s="172">
        <f t="shared" si="31"/>
        <v>172034.94</v>
      </c>
      <c r="P63" s="97">
        <f t="shared" si="50"/>
        <v>201954.05999999962</v>
      </c>
      <c r="R63" s="166">
        <v>1</v>
      </c>
      <c r="S63" s="166">
        <v>22</v>
      </c>
      <c r="T63" s="166">
        <v>28</v>
      </c>
      <c r="U63" s="173">
        <v>164555.16</v>
      </c>
      <c r="V63" s="135">
        <v>209433.83999999962</v>
      </c>
    </row>
    <row r="64" spans="1:26" s="166" customFormat="1">
      <c r="A64" s="101">
        <v>62</v>
      </c>
      <c r="B64" s="133">
        <v>0</v>
      </c>
      <c r="C64" s="169" t="s">
        <v>450</v>
      </c>
      <c r="D64" s="134">
        <v>450000</v>
      </c>
      <c r="E64" s="134">
        <f t="shared" si="39"/>
        <v>59985</v>
      </c>
      <c r="F64" s="135">
        <f t="shared" si="60"/>
        <v>502322</v>
      </c>
      <c r="G64" s="162">
        <v>50</v>
      </c>
      <c r="H64" s="91">
        <v>10046.44</v>
      </c>
      <c r="I64" s="136">
        <f t="shared" si="20"/>
        <v>1199.7</v>
      </c>
      <c r="J64" s="136">
        <f t="shared" si="21"/>
        <v>9000</v>
      </c>
      <c r="K64" s="136">
        <f t="shared" si="58"/>
        <v>32391.9</v>
      </c>
      <c r="L64" s="136">
        <f t="shared" si="59"/>
        <v>27593.100000000002</v>
      </c>
      <c r="M64" s="163">
        <f t="shared" si="29"/>
        <v>27</v>
      </c>
      <c r="N64" s="163">
        <f t="shared" si="30"/>
        <v>23</v>
      </c>
      <c r="O64" s="164">
        <f t="shared" si="31"/>
        <v>271253.88</v>
      </c>
      <c r="P64" s="97">
        <f t="shared" si="50"/>
        <v>231068.11999999994</v>
      </c>
      <c r="Q64" s="165"/>
      <c r="R64" s="166">
        <v>1</v>
      </c>
      <c r="S64" s="166">
        <v>26</v>
      </c>
      <c r="T64" s="166">
        <v>24</v>
      </c>
      <c r="U64" s="167">
        <v>261207.44000000003</v>
      </c>
      <c r="V64" s="167">
        <v>241114.55999999994</v>
      </c>
    </row>
    <row r="65" spans="1:26" s="166" customFormat="1">
      <c r="A65" s="101">
        <v>63</v>
      </c>
      <c r="B65" s="133">
        <v>0</v>
      </c>
      <c r="C65" s="170" t="s">
        <v>469</v>
      </c>
      <c r="D65" s="134">
        <v>330000</v>
      </c>
      <c r="E65" s="134">
        <f>D65*0.1333</f>
        <v>43989</v>
      </c>
      <c r="F65" s="135">
        <f>G65*H65</f>
        <v>373989</v>
      </c>
      <c r="G65" s="162">
        <v>50</v>
      </c>
      <c r="H65" s="91">
        <v>7479.78</v>
      </c>
      <c r="I65" s="136">
        <f t="shared" si="20"/>
        <v>879.78</v>
      </c>
      <c r="J65" s="136">
        <f t="shared" si="21"/>
        <v>6600</v>
      </c>
      <c r="K65" s="136">
        <f t="shared" si="58"/>
        <v>20234.939999999999</v>
      </c>
      <c r="L65" s="136">
        <f t="shared" si="59"/>
        <v>23754.059999999998</v>
      </c>
      <c r="M65" s="163">
        <f t="shared" si="29"/>
        <v>23</v>
      </c>
      <c r="N65" s="163">
        <f t="shared" si="30"/>
        <v>27</v>
      </c>
      <c r="O65" s="164">
        <f t="shared" si="31"/>
        <v>172034.94</v>
      </c>
      <c r="P65" s="97">
        <f t="shared" si="50"/>
        <v>201954.05999999962</v>
      </c>
      <c r="Q65" s="165"/>
      <c r="R65" s="166">
        <v>1</v>
      </c>
      <c r="S65" s="166">
        <v>22</v>
      </c>
      <c r="T65" s="166">
        <v>28</v>
      </c>
      <c r="U65" s="167">
        <v>164555.16</v>
      </c>
      <c r="V65" s="167">
        <v>209433.83999999962</v>
      </c>
      <c r="X65" s="138">
        <f>SUM(H62:H65)</f>
        <v>32485.78</v>
      </c>
    </row>
    <row r="66" spans="1:26" s="157" customFormat="1">
      <c r="A66" s="101">
        <v>64</v>
      </c>
      <c r="B66" s="146">
        <v>0</v>
      </c>
      <c r="C66" s="147" t="s">
        <v>412</v>
      </c>
      <c r="D66" s="148">
        <v>330000</v>
      </c>
      <c r="E66" s="148">
        <f t="shared" si="39"/>
        <v>43989</v>
      </c>
      <c r="F66" s="149">
        <f t="shared" si="60"/>
        <v>373989</v>
      </c>
      <c r="G66" s="150">
        <v>50</v>
      </c>
      <c r="H66" s="159">
        <v>7479.78</v>
      </c>
      <c r="I66" s="152">
        <f t="shared" si="20"/>
        <v>879.78</v>
      </c>
      <c r="J66" s="152">
        <f t="shared" si="21"/>
        <v>6600</v>
      </c>
      <c r="K66" s="152">
        <f t="shared" si="58"/>
        <v>26393.399999999998</v>
      </c>
      <c r="L66" s="152">
        <f t="shared" si="59"/>
        <v>17595.599999999999</v>
      </c>
      <c r="M66" s="153">
        <f t="shared" ref="M66:M88" si="61">S66+R66</f>
        <v>30</v>
      </c>
      <c r="N66" s="153">
        <f t="shared" ref="N66:N88" si="62">T66-R66</f>
        <v>20</v>
      </c>
      <c r="O66" s="154">
        <f t="shared" si="31"/>
        <v>224393.4</v>
      </c>
      <c r="P66" s="155">
        <f t="shared" si="50"/>
        <v>149595.59999999963</v>
      </c>
      <c r="Q66" s="156"/>
      <c r="R66" s="157">
        <v>1</v>
      </c>
      <c r="S66" s="157">
        <v>29</v>
      </c>
      <c r="T66" s="157">
        <v>21</v>
      </c>
      <c r="U66" s="158">
        <v>216913.62</v>
      </c>
      <c r="V66" s="158">
        <v>157075.37999999963</v>
      </c>
    </row>
    <row r="67" spans="1:26" s="157" customFormat="1">
      <c r="A67" s="101">
        <v>65</v>
      </c>
      <c r="B67" s="146">
        <v>0</v>
      </c>
      <c r="C67" s="174" t="s">
        <v>386</v>
      </c>
      <c r="D67" s="148">
        <v>330000</v>
      </c>
      <c r="E67" s="148">
        <f t="shared" si="39"/>
        <v>43989</v>
      </c>
      <c r="F67" s="149">
        <f t="shared" si="60"/>
        <v>373989</v>
      </c>
      <c r="G67" s="150">
        <v>50</v>
      </c>
      <c r="H67" s="159">
        <v>7479.78</v>
      </c>
      <c r="I67" s="152">
        <f t="shared" si="20"/>
        <v>879.78</v>
      </c>
      <c r="J67" s="152">
        <f t="shared" si="21"/>
        <v>6600</v>
      </c>
      <c r="K67" s="152">
        <f t="shared" si="58"/>
        <v>33431.64</v>
      </c>
      <c r="L67" s="152">
        <f t="shared" si="59"/>
        <v>11437.14</v>
      </c>
      <c r="M67" s="153">
        <f t="shared" si="61"/>
        <v>38</v>
      </c>
      <c r="N67" s="153">
        <f t="shared" si="62"/>
        <v>13</v>
      </c>
      <c r="O67" s="154">
        <f t="shared" si="31"/>
        <v>276754.26</v>
      </c>
      <c r="P67" s="155">
        <f t="shared" si="50"/>
        <v>97234.740000000078</v>
      </c>
      <c r="Q67" s="156"/>
      <c r="R67" s="157">
        <v>1</v>
      </c>
      <c r="S67" s="157">
        <v>37</v>
      </c>
      <c r="T67" s="157">
        <v>14</v>
      </c>
      <c r="U67" s="158">
        <v>269274.48</v>
      </c>
      <c r="V67" s="158">
        <v>104714.52000000008</v>
      </c>
    </row>
    <row r="68" spans="1:26" s="157" customFormat="1">
      <c r="A68" s="101">
        <v>66</v>
      </c>
      <c r="B68" s="146">
        <v>0</v>
      </c>
      <c r="C68" s="147" t="s">
        <v>224</v>
      </c>
      <c r="D68" s="148">
        <v>330000</v>
      </c>
      <c r="E68" s="148">
        <f t="shared" si="39"/>
        <v>43989</v>
      </c>
      <c r="F68" s="149">
        <f t="shared" si="60"/>
        <v>373989</v>
      </c>
      <c r="G68" s="150">
        <v>50</v>
      </c>
      <c r="H68" s="159">
        <v>7479.78</v>
      </c>
      <c r="I68" s="152">
        <f t="shared" si="20"/>
        <v>879.78</v>
      </c>
      <c r="J68" s="152">
        <f t="shared" si="21"/>
        <v>6600</v>
      </c>
      <c r="K68" s="152">
        <f t="shared" si="58"/>
        <v>43989</v>
      </c>
      <c r="L68" s="152">
        <f t="shared" si="59"/>
        <v>879.78</v>
      </c>
      <c r="M68" s="153">
        <f t="shared" si="61"/>
        <v>50</v>
      </c>
      <c r="N68" s="153">
        <f t="shared" si="62"/>
        <v>1</v>
      </c>
      <c r="O68" s="154">
        <f t="shared" si="31"/>
        <v>321630.54000000021</v>
      </c>
      <c r="P68" s="155">
        <f t="shared" si="50"/>
        <v>52358.459999999875</v>
      </c>
      <c r="Q68" s="156"/>
      <c r="R68" s="157">
        <v>1</v>
      </c>
      <c r="S68" s="157">
        <v>49</v>
      </c>
      <c r="T68" s="157">
        <v>2</v>
      </c>
      <c r="U68" s="158">
        <v>314150.76000000018</v>
      </c>
      <c r="V68" s="158">
        <v>59838.239999999874</v>
      </c>
      <c r="Z68" s="157" t="s">
        <v>770</v>
      </c>
    </row>
    <row r="69" spans="1:26" s="157" customFormat="1">
      <c r="A69" s="101">
        <v>67</v>
      </c>
      <c r="B69" s="146"/>
      <c r="C69" s="147" t="s">
        <v>717</v>
      </c>
      <c r="D69" s="148">
        <v>330000</v>
      </c>
      <c r="E69" s="148">
        <f t="shared" si="39"/>
        <v>43989</v>
      </c>
      <c r="F69" s="149">
        <f t="shared" si="60"/>
        <v>373989</v>
      </c>
      <c r="G69" s="150">
        <v>50</v>
      </c>
      <c r="H69" s="159">
        <v>7479.78</v>
      </c>
      <c r="I69" s="152">
        <f t="shared" si="20"/>
        <v>879.78</v>
      </c>
      <c r="J69" s="152">
        <f t="shared" si="21"/>
        <v>6600</v>
      </c>
      <c r="K69" s="152">
        <f t="shared" si="58"/>
        <v>11437.14</v>
      </c>
      <c r="L69" s="152">
        <f t="shared" si="59"/>
        <v>32551.86</v>
      </c>
      <c r="M69" s="153">
        <f t="shared" si="61"/>
        <v>13</v>
      </c>
      <c r="N69" s="153">
        <f t="shared" si="62"/>
        <v>37</v>
      </c>
      <c r="O69" s="154">
        <f t="shared" si="31"/>
        <v>97237.14</v>
      </c>
      <c r="P69" s="155">
        <f t="shared" si="50"/>
        <v>276751.85999999964</v>
      </c>
      <c r="Q69" s="156"/>
      <c r="R69" s="157">
        <v>1</v>
      </c>
      <c r="S69" s="157">
        <v>12</v>
      </c>
      <c r="T69" s="157">
        <v>38</v>
      </c>
      <c r="U69" s="158">
        <v>89757.36</v>
      </c>
      <c r="V69" s="158">
        <v>284231.63999999966</v>
      </c>
    </row>
    <row r="70" spans="1:26" s="157" customFormat="1">
      <c r="A70" s="101">
        <v>68</v>
      </c>
      <c r="B70" s="146">
        <v>0</v>
      </c>
      <c r="C70" s="147" t="s">
        <v>792</v>
      </c>
      <c r="D70" s="148">
        <v>500000</v>
      </c>
      <c r="E70" s="148">
        <f t="shared" si="39"/>
        <v>66650</v>
      </c>
      <c r="F70" s="149">
        <f t="shared" si="60"/>
        <v>424987.5</v>
      </c>
      <c r="G70" s="150">
        <v>50</v>
      </c>
      <c r="H70" s="159">
        <v>8499.75</v>
      </c>
      <c r="I70" s="152">
        <f t="shared" si="20"/>
        <v>1333</v>
      </c>
      <c r="J70" s="152">
        <f t="shared" si="21"/>
        <v>10000</v>
      </c>
      <c r="K70" s="152">
        <f t="shared" si="58"/>
        <v>2666</v>
      </c>
      <c r="L70" s="152">
        <f t="shared" si="59"/>
        <v>65317</v>
      </c>
      <c r="M70" s="153">
        <f t="shared" si="61"/>
        <v>2</v>
      </c>
      <c r="N70" s="153">
        <f t="shared" si="62"/>
        <v>49</v>
      </c>
      <c r="O70" s="154">
        <f t="shared" ref="O70:O100" si="63">U70+H70</f>
        <v>16999.5</v>
      </c>
      <c r="P70" s="155">
        <f t="shared" si="50"/>
        <v>492985.5</v>
      </c>
      <c r="Q70" s="156"/>
      <c r="R70" s="157">
        <v>1</v>
      </c>
      <c r="S70" s="157">
        <v>1</v>
      </c>
      <c r="T70" s="157">
        <v>50</v>
      </c>
      <c r="U70" s="158">
        <v>8499.75</v>
      </c>
      <c r="V70" s="158">
        <v>501485.25</v>
      </c>
    </row>
    <row r="71" spans="1:26" s="157" customFormat="1">
      <c r="A71" s="101">
        <v>69</v>
      </c>
      <c r="B71" s="146">
        <v>0</v>
      </c>
      <c r="C71" s="147" t="s">
        <v>382</v>
      </c>
      <c r="D71" s="148">
        <v>330000</v>
      </c>
      <c r="E71" s="148">
        <f t="shared" si="39"/>
        <v>43989</v>
      </c>
      <c r="F71" s="149">
        <f t="shared" si="60"/>
        <v>373989</v>
      </c>
      <c r="G71" s="150">
        <v>50</v>
      </c>
      <c r="H71" s="159">
        <v>7479.78</v>
      </c>
      <c r="I71" s="152">
        <f t="shared" si="20"/>
        <v>879.78</v>
      </c>
      <c r="J71" s="152">
        <f t="shared" si="21"/>
        <v>6600</v>
      </c>
      <c r="K71" s="152">
        <f t="shared" si="58"/>
        <v>35191.199999999997</v>
      </c>
      <c r="L71" s="152">
        <f t="shared" si="59"/>
        <v>9677.58</v>
      </c>
      <c r="M71" s="153">
        <f t="shared" si="61"/>
        <v>40</v>
      </c>
      <c r="N71" s="153">
        <f t="shared" si="62"/>
        <v>11</v>
      </c>
      <c r="O71" s="154">
        <f t="shared" si="63"/>
        <v>291711.4200000001</v>
      </c>
      <c r="P71" s="155">
        <f t="shared" si="50"/>
        <v>82277.579999999754</v>
      </c>
      <c r="Q71" s="156"/>
      <c r="R71" s="157">
        <v>1</v>
      </c>
      <c r="S71" s="157">
        <v>39</v>
      </c>
      <c r="T71" s="157">
        <v>12</v>
      </c>
      <c r="U71" s="158">
        <v>284231.64000000007</v>
      </c>
      <c r="V71" s="158">
        <v>89757.359999999753</v>
      </c>
    </row>
    <row r="72" spans="1:26" s="157" customFormat="1">
      <c r="A72" s="101">
        <v>70</v>
      </c>
      <c r="B72" s="146">
        <v>0</v>
      </c>
      <c r="C72" s="147" t="s">
        <v>259</v>
      </c>
      <c r="D72" s="148">
        <v>330000</v>
      </c>
      <c r="E72" s="148">
        <f t="shared" si="39"/>
        <v>43989</v>
      </c>
      <c r="F72" s="149">
        <f t="shared" si="60"/>
        <v>373989</v>
      </c>
      <c r="G72" s="150">
        <v>50</v>
      </c>
      <c r="H72" s="159">
        <v>7479.78</v>
      </c>
      <c r="I72" s="152">
        <f t="shared" si="20"/>
        <v>879.78</v>
      </c>
      <c r="J72" s="152">
        <f t="shared" si="21"/>
        <v>6600</v>
      </c>
      <c r="K72" s="152">
        <f t="shared" si="58"/>
        <v>36070.979999999996</v>
      </c>
      <c r="L72" s="152">
        <f t="shared" si="59"/>
        <v>8797.7999999999993</v>
      </c>
      <c r="M72" s="153">
        <f t="shared" si="61"/>
        <v>41</v>
      </c>
      <c r="N72" s="153">
        <f t="shared" si="62"/>
        <v>10</v>
      </c>
      <c r="O72" s="154">
        <f t="shared" si="63"/>
        <v>299191.20000000013</v>
      </c>
      <c r="P72" s="155">
        <f t="shared" si="50"/>
        <v>74797.799999999756</v>
      </c>
      <c r="Q72" s="156"/>
      <c r="R72" s="157">
        <v>1</v>
      </c>
      <c r="S72" s="157">
        <v>40</v>
      </c>
      <c r="T72" s="157">
        <v>11</v>
      </c>
      <c r="U72" s="158">
        <v>291711.4200000001</v>
      </c>
      <c r="V72" s="158">
        <v>82277.579999999754</v>
      </c>
    </row>
    <row r="73" spans="1:26" s="157" customFormat="1">
      <c r="A73" s="101">
        <v>71</v>
      </c>
      <c r="B73" s="146">
        <v>0</v>
      </c>
      <c r="C73" s="147" t="s">
        <v>87</v>
      </c>
      <c r="D73" s="148">
        <v>330000</v>
      </c>
      <c r="E73" s="148">
        <f t="shared" si="39"/>
        <v>43989</v>
      </c>
      <c r="F73" s="149">
        <f t="shared" si="60"/>
        <v>373989</v>
      </c>
      <c r="G73" s="150">
        <v>50</v>
      </c>
      <c r="H73" s="159">
        <v>7479.78</v>
      </c>
      <c r="I73" s="152">
        <f t="shared" si="20"/>
        <v>879.78</v>
      </c>
      <c r="J73" s="152">
        <f t="shared" si="21"/>
        <v>6600</v>
      </c>
      <c r="K73" s="152">
        <f t="shared" si="58"/>
        <v>43989</v>
      </c>
      <c r="L73" s="152">
        <f t="shared" si="59"/>
        <v>879.78</v>
      </c>
      <c r="M73" s="153">
        <f t="shared" si="61"/>
        <v>50</v>
      </c>
      <c r="N73" s="153">
        <f t="shared" si="62"/>
        <v>1</v>
      </c>
      <c r="O73" s="154">
        <f t="shared" si="63"/>
        <v>321630.54000000021</v>
      </c>
      <c r="P73" s="155">
        <f t="shared" si="50"/>
        <v>89757.360000000015</v>
      </c>
      <c r="Q73" s="156"/>
      <c r="R73" s="157">
        <v>1</v>
      </c>
      <c r="S73" s="157">
        <v>49</v>
      </c>
      <c r="T73" s="157">
        <v>2</v>
      </c>
      <c r="U73" s="158">
        <v>314150.76000000018</v>
      </c>
      <c r="V73" s="158">
        <v>97237.140000000014</v>
      </c>
      <c r="W73" s="175"/>
    </row>
    <row r="74" spans="1:26" s="157" customFormat="1">
      <c r="A74" s="101">
        <v>72</v>
      </c>
      <c r="B74" s="146">
        <v>0</v>
      </c>
      <c r="C74" s="174" t="s">
        <v>387</v>
      </c>
      <c r="D74" s="148">
        <v>150000</v>
      </c>
      <c r="E74" s="148">
        <f t="shared" si="39"/>
        <v>19995</v>
      </c>
      <c r="F74" s="149">
        <f t="shared" si="60"/>
        <v>169995</v>
      </c>
      <c r="G74" s="150">
        <v>50</v>
      </c>
      <c r="H74" s="159">
        <v>3399.9</v>
      </c>
      <c r="I74" s="152">
        <f t="shared" si="20"/>
        <v>399.9</v>
      </c>
      <c r="J74" s="152">
        <f t="shared" si="21"/>
        <v>3000</v>
      </c>
      <c r="K74" s="152">
        <f t="shared" si="58"/>
        <v>15196.199999999999</v>
      </c>
      <c r="L74" s="152">
        <f t="shared" si="59"/>
        <v>5198.7</v>
      </c>
      <c r="M74" s="153">
        <f t="shared" si="61"/>
        <v>38</v>
      </c>
      <c r="N74" s="153">
        <f t="shared" si="62"/>
        <v>13</v>
      </c>
      <c r="O74" s="154">
        <f t="shared" si="63"/>
        <v>125796.2999999999</v>
      </c>
      <c r="P74" s="155">
        <f t="shared" si="50"/>
        <v>44198.700000000164</v>
      </c>
      <c r="Q74" s="156"/>
      <c r="R74" s="157">
        <v>1</v>
      </c>
      <c r="S74" s="157">
        <v>37</v>
      </c>
      <c r="T74" s="157">
        <v>14</v>
      </c>
      <c r="U74" s="158">
        <v>122396.39999999991</v>
      </c>
      <c r="V74" s="158">
        <v>47598.600000000166</v>
      </c>
    </row>
    <row r="75" spans="1:26" s="157" customFormat="1">
      <c r="A75" s="101">
        <v>73</v>
      </c>
      <c r="B75" s="146">
        <v>0</v>
      </c>
      <c r="C75" s="174" t="s">
        <v>452</v>
      </c>
      <c r="D75" s="148">
        <v>150000</v>
      </c>
      <c r="E75" s="148">
        <f t="shared" ref="E75:E102" si="64">D75*0.1333</f>
        <v>19995</v>
      </c>
      <c r="F75" s="149">
        <f t="shared" si="60"/>
        <v>169995</v>
      </c>
      <c r="G75" s="150">
        <v>50</v>
      </c>
      <c r="H75" s="159">
        <v>3399.9</v>
      </c>
      <c r="I75" s="152">
        <f t="shared" si="20"/>
        <v>399.9</v>
      </c>
      <c r="J75" s="152">
        <f t="shared" si="21"/>
        <v>3000</v>
      </c>
      <c r="K75" s="152">
        <f t="shared" si="58"/>
        <v>10797.3</v>
      </c>
      <c r="L75" s="152">
        <f t="shared" si="59"/>
        <v>9197.6999999999989</v>
      </c>
      <c r="M75" s="153">
        <f t="shared" si="61"/>
        <v>27</v>
      </c>
      <c r="N75" s="153">
        <f t="shared" si="62"/>
        <v>23</v>
      </c>
      <c r="O75" s="154">
        <f t="shared" si="63"/>
        <v>95197.199999999968</v>
      </c>
      <c r="P75" s="155">
        <f t="shared" si="50"/>
        <v>78197.700000000157</v>
      </c>
      <c r="Q75" s="156"/>
      <c r="R75" s="157">
        <v>1</v>
      </c>
      <c r="S75" s="157">
        <v>26</v>
      </c>
      <c r="T75" s="157">
        <v>24</v>
      </c>
      <c r="U75" s="158">
        <v>91797.299999999974</v>
      </c>
      <c r="V75" s="158">
        <v>81597.600000000151</v>
      </c>
    </row>
    <row r="76" spans="1:26" s="157" customFormat="1">
      <c r="A76" s="101">
        <v>74</v>
      </c>
      <c r="B76" s="146"/>
      <c r="C76" s="147" t="s">
        <v>494</v>
      </c>
      <c r="D76" s="148">
        <v>330000</v>
      </c>
      <c r="E76" s="148">
        <f t="shared" si="64"/>
        <v>43989</v>
      </c>
      <c r="F76" s="149">
        <f t="shared" si="60"/>
        <v>373989</v>
      </c>
      <c r="G76" s="150">
        <v>50</v>
      </c>
      <c r="H76" s="159">
        <v>7479.78</v>
      </c>
      <c r="I76" s="152">
        <f t="shared" si="20"/>
        <v>879.78</v>
      </c>
      <c r="J76" s="152">
        <f t="shared" si="21"/>
        <v>6600</v>
      </c>
      <c r="K76" s="152">
        <f t="shared" si="58"/>
        <v>19355.16</v>
      </c>
      <c r="L76" s="152">
        <f t="shared" si="59"/>
        <v>24633.84</v>
      </c>
      <c r="M76" s="153">
        <f t="shared" si="61"/>
        <v>22</v>
      </c>
      <c r="N76" s="153">
        <f t="shared" si="62"/>
        <v>28</v>
      </c>
      <c r="O76" s="154">
        <f t="shared" si="63"/>
        <v>164555.16</v>
      </c>
      <c r="P76" s="155">
        <f t="shared" si="50"/>
        <v>209433.83999999962</v>
      </c>
      <c r="Q76" s="156"/>
      <c r="R76" s="157">
        <v>1</v>
      </c>
      <c r="S76" s="157">
        <v>21</v>
      </c>
      <c r="T76" s="157">
        <v>29</v>
      </c>
      <c r="U76" s="158">
        <v>157075.38</v>
      </c>
      <c r="V76" s="158">
        <v>216913.61999999962</v>
      </c>
    </row>
    <row r="77" spans="1:26" s="157" customFormat="1">
      <c r="A77" s="101">
        <v>75</v>
      </c>
      <c r="B77" s="146"/>
      <c r="C77" s="197" t="s">
        <v>692</v>
      </c>
      <c r="D77" s="148">
        <v>330000</v>
      </c>
      <c r="E77" s="148">
        <f>D77*0.1333</f>
        <v>43989</v>
      </c>
      <c r="F77" s="149">
        <f>G77*H77</f>
        <v>373989</v>
      </c>
      <c r="G77" s="150">
        <v>50</v>
      </c>
      <c r="H77" s="159">
        <v>7479.78</v>
      </c>
      <c r="I77" s="152">
        <f>E77/G77</f>
        <v>879.78</v>
      </c>
      <c r="J77" s="152">
        <f>D77/G77</f>
        <v>6600</v>
      </c>
      <c r="K77" s="152">
        <f>M77*I77</f>
        <v>15836.039999999999</v>
      </c>
      <c r="L77" s="152">
        <f>I77*N77</f>
        <v>28152.959999999999</v>
      </c>
      <c r="M77" s="153">
        <f>S77+R77</f>
        <v>18</v>
      </c>
      <c r="N77" s="153">
        <f>T77-R77</f>
        <v>32</v>
      </c>
      <c r="O77" s="154">
        <f>U77+H77</f>
        <v>134636.04</v>
      </c>
      <c r="P77" s="155">
        <f>V77-H77</f>
        <v>239352.95999999961</v>
      </c>
      <c r="Q77" s="156"/>
      <c r="R77" s="157">
        <v>1</v>
      </c>
      <c r="S77" s="157">
        <v>17</v>
      </c>
      <c r="T77" s="157">
        <v>33</v>
      </c>
      <c r="U77" s="158">
        <v>127156.26</v>
      </c>
      <c r="V77" s="158">
        <v>246832.73999999961</v>
      </c>
    </row>
    <row r="78" spans="1:26" s="210" customFormat="1">
      <c r="A78" s="101">
        <v>76</v>
      </c>
      <c r="B78" s="200"/>
      <c r="C78" s="215" t="s">
        <v>778</v>
      </c>
      <c r="D78" s="201">
        <v>330000</v>
      </c>
      <c r="E78" s="201">
        <f t="shared" si="64"/>
        <v>43989</v>
      </c>
      <c r="F78" s="202">
        <f t="shared" si="60"/>
        <v>373989</v>
      </c>
      <c r="G78" s="203">
        <v>50</v>
      </c>
      <c r="H78" s="204">
        <v>7479.78</v>
      </c>
      <c r="I78" s="205">
        <f t="shared" si="20"/>
        <v>879.78</v>
      </c>
      <c r="J78" s="205">
        <f t="shared" si="21"/>
        <v>6600</v>
      </c>
      <c r="K78" s="205">
        <f t="shared" si="58"/>
        <v>1759.56</v>
      </c>
      <c r="L78" s="205">
        <f t="shared" si="59"/>
        <v>42229.440000000002</v>
      </c>
      <c r="M78" s="206">
        <f>S78+R78</f>
        <v>2</v>
      </c>
      <c r="N78" s="206">
        <f>T78-R78</f>
        <v>48</v>
      </c>
      <c r="O78" s="207">
        <f>U78+H78</f>
        <v>14959.56</v>
      </c>
      <c r="P78" s="208">
        <f>V78-H78</f>
        <v>359029.43999999994</v>
      </c>
      <c r="Q78" s="209"/>
      <c r="R78" s="210">
        <v>1</v>
      </c>
      <c r="S78" s="210">
        <v>1</v>
      </c>
      <c r="T78" s="210">
        <v>49</v>
      </c>
      <c r="U78" s="211">
        <v>7479.78</v>
      </c>
      <c r="V78" s="211">
        <v>366509.22</v>
      </c>
    </row>
    <row r="79" spans="1:26" s="157" customFormat="1">
      <c r="A79" s="101">
        <v>77</v>
      </c>
      <c r="B79" s="146"/>
      <c r="C79" s="147" t="s">
        <v>693</v>
      </c>
      <c r="D79" s="148">
        <v>330000</v>
      </c>
      <c r="E79" s="148">
        <f t="shared" si="64"/>
        <v>43989</v>
      </c>
      <c r="F79" s="149">
        <f t="shared" si="60"/>
        <v>373989</v>
      </c>
      <c r="G79" s="150">
        <v>50</v>
      </c>
      <c r="H79" s="159">
        <v>7479.78</v>
      </c>
      <c r="I79" s="152">
        <f t="shared" si="20"/>
        <v>879.78</v>
      </c>
      <c r="J79" s="152">
        <f t="shared" si="21"/>
        <v>6600</v>
      </c>
      <c r="K79" s="152">
        <f t="shared" si="58"/>
        <v>15836.039999999999</v>
      </c>
      <c r="L79" s="152">
        <f t="shared" si="59"/>
        <v>28152.959999999999</v>
      </c>
      <c r="M79" s="153">
        <f t="shared" si="61"/>
        <v>18</v>
      </c>
      <c r="N79" s="153">
        <f t="shared" si="62"/>
        <v>32</v>
      </c>
      <c r="O79" s="154">
        <f t="shared" si="63"/>
        <v>134636.04</v>
      </c>
      <c r="P79" s="155">
        <f t="shared" si="50"/>
        <v>239352.95999999961</v>
      </c>
      <c r="Q79" s="156"/>
      <c r="R79" s="157">
        <v>1</v>
      </c>
      <c r="S79" s="157">
        <v>17</v>
      </c>
      <c r="T79" s="157">
        <v>33</v>
      </c>
      <c r="U79" s="158">
        <v>127156.26</v>
      </c>
      <c r="V79" s="158">
        <v>246832.73999999961</v>
      </c>
    </row>
    <row r="80" spans="1:26" s="157" customFormat="1">
      <c r="A80" s="101">
        <v>78</v>
      </c>
      <c r="B80" s="146"/>
      <c r="C80" s="147" t="s">
        <v>737</v>
      </c>
      <c r="D80" s="148">
        <v>150000</v>
      </c>
      <c r="E80" s="148">
        <f t="shared" si="64"/>
        <v>19995</v>
      </c>
      <c r="F80" s="149">
        <f t="shared" si="60"/>
        <v>169995</v>
      </c>
      <c r="G80" s="150">
        <v>50</v>
      </c>
      <c r="H80" s="159">
        <v>3399.9</v>
      </c>
      <c r="I80" s="152">
        <f t="shared" ref="I80:I136" si="65">E80/G80</f>
        <v>399.9</v>
      </c>
      <c r="J80" s="152">
        <f t="shared" ref="J80:J136" si="66">D80/G80</f>
        <v>3000</v>
      </c>
      <c r="K80" s="152">
        <f t="shared" si="58"/>
        <v>1999.5</v>
      </c>
      <c r="L80" s="152">
        <f t="shared" si="59"/>
        <v>17995.5</v>
      </c>
      <c r="M80" s="153">
        <f t="shared" si="61"/>
        <v>5</v>
      </c>
      <c r="N80" s="153">
        <f t="shared" si="62"/>
        <v>45</v>
      </c>
      <c r="O80" s="154">
        <f t="shared" si="63"/>
        <v>16999.5</v>
      </c>
      <c r="P80" s="155">
        <f t="shared" si="50"/>
        <v>152995.50000000003</v>
      </c>
      <c r="Q80" s="156"/>
      <c r="R80" s="157">
        <v>1</v>
      </c>
      <c r="S80" s="157">
        <v>4</v>
      </c>
      <c r="T80" s="157">
        <v>46</v>
      </c>
      <c r="U80" s="158">
        <v>13599.6</v>
      </c>
      <c r="V80" s="158">
        <v>156395.40000000002</v>
      </c>
      <c r="X80" s="161">
        <f>SUM(H66:H80)</f>
        <v>100977.02999999998</v>
      </c>
    </row>
    <row r="81" spans="1:26" s="166" customFormat="1">
      <c r="A81" s="101">
        <v>79</v>
      </c>
      <c r="B81" s="133"/>
      <c r="C81" s="137" t="s">
        <v>706</v>
      </c>
      <c r="D81" s="134">
        <v>450000</v>
      </c>
      <c r="E81" s="134">
        <f t="shared" si="64"/>
        <v>59985</v>
      </c>
      <c r="F81" s="135">
        <f t="shared" si="60"/>
        <v>509995</v>
      </c>
      <c r="G81" s="162">
        <v>50</v>
      </c>
      <c r="H81" s="91">
        <v>10199.9</v>
      </c>
      <c r="I81" s="136">
        <f t="shared" si="65"/>
        <v>1199.7</v>
      </c>
      <c r="J81" s="136">
        <f t="shared" si="66"/>
        <v>9000</v>
      </c>
      <c r="K81" s="136">
        <f t="shared" si="58"/>
        <v>16795.8</v>
      </c>
      <c r="L81" s="136">
        <f t="shared" si="59"/>
        <v>43189.200000000004</v>
      </c>
      <c r="M81" s="163">
        <f t="shared" si="61"/>
        <v>14</v>
      </c>
      <c r="N81" s="163">
        <f t="shared" si="62"/>
        <v>36</v>
      </c>
      <c r="O81" s="164">
        <f t="shared" si="63"/>
        <v>142798.59999999998</v>
      </c>
      <c r="P81" s="97">
        <f t="shared" si="50"/>
        <v>367196.39999999967</v>
      </c>
      <c r="Q81" s="165"/>
      <c r="R81" s="166">
        <v>1</v>
      </c>
      <c r="S81" s="166">
        <v>13</v>
      </c>
      <c r="T81" s="166">
        <v>37</v>
      </c>
      <c r="U81" s="167">
        <v>132598.69999999998</v>
      </c>
      <c r="V81" s="167">
        <v>377396.2999999997</v>
      </c>
      <c r="Z81" s="166" t="s">
        <v>771</v>
      </c>
    </row>
    <row r="82" spans="1:26" s="166" customFormat="1">
      <c r="A82" s="101">
        <v>80</v>
      </c>
      <c r="B82" s="133">
        <v>0</v>
      </c>
      <c r="C82" s="137" t="s">
        <v>226</v>
      </c>
      <c r="D82" s="134">
        <v>450000</v>
      </c>
      <c r="E82" s="134">
        <f t="shared" si="64"/>
        <v>59985</v>
      </c>
      <c r="F82" s="135">
        <f t="shared" si="60"/>
        <v>509494.5</v>
      </c>
      <c r="G82" s="162">
        <v>50</v>
      </c>
      <c r="H82" s="91">
        <v>10189.89</v>
      </c>
      <c r="I82" s="136">
        <f t="shared" si="65"/>
        <v>1199.7</v>
      </c>
      <c r="J82" s="136">
        <f t="shared" si="66"/>
        <v>9000</v>
      </c>
      <c r="K82" s="136">
        <f t="shared" si="58"/>
        <v>61184.700000000004</v>
      </c>
      <c r="L82" s="136">
        <f t="shared" si="59"/>
        <v>0</v>
      </c>
      <c r="M82" s="163">
        <f t="shared" si="61"/>
        <v>51</v>
      </c>
      <c r="N82" s="163">
        <f t="shared" si="62"/>
        <v>0</v>
      </c>
      <c r="O82" s="164">
        <f t="shared" si="63"/>
        <v>438595.49000000034</v>
      </c>
      <c r="P82" s="97">
        <f t="shared" si="50"/>
        <v>71399.509999999733</v>
      </c>
      <c r="Q82" s="165"/>
      <c r="R82" s="166">
        <v>1</v>
      </c>
      <c r="S82" s="166">
        <v>50</v>
      </c>
      <c r="T82" s="166">
        <v>1</v>
      </c>
      <c r="U82" s="167">
        <v>428405.60000000033</v>
      </c>
      <c r="V82" s="167">
        <v>81589.399999999732</v>
      </c>
    </row>
    <row r="83" spans="1:26" s="166" customFormat="1">
      <c r="A83" s="101">
        <v>81</v>
      </c>
      <c r="B83" s="133">
        <v>0</v>
      </c>
      <c r="C83" s="137" t="s">
        <v>453</v>
      </c>
      <c r="D83" s="134">
        <v>330000</v>
      </c>
      <c r="E83" s="134">
        <f t="shared" si="64"/>
        <v>43989</v>
      </c>
      <c r="F83" s="135">
        <f t="shared" si="60"/>
        <v>373989</v>
      </c>
      <c r="G83" s="162">
        <v>50</v>
      </c>
      <c r="H83" s="91">
        <v>7479.78</v>
      </c>
      <c r="I83" s="136">
        <f t="shared" si="65"/>
        <v>879.78</v>
      </c>
      <c r="J83" s="136">
        <f t="shared" si="66"/>
        <v>6600</v>
      </c>
      <c r="K83" s="136">
        <f t="shared" si="58"/>
        <v>23754.059999999998</v>
      </c>
      <c r="L83" s="136">
        <f t="shared" si="59"/>
        <v>20234.939999999999</v>
      </c>
      <c r="M83" s="163">
        <f t="shared" si="61"/>
        <v>27</v>
      </c>
      <c r="N83" s="163">
        <f t="shared" si="62"/>
        <v>23</v>
      </c>
      <c r="O83" s="164">
        <f t="shared" si="63"/>
        <v>201954.06</v>
      </c>
      <c r="P83" s="97">
        <f t="shared" si="50"/>
        <v>172034.93999999962</v>
      </c>
      <c r="Q83" s="165"/>
      <c r="R83" s="166">
        <v>1</v>
      </c>
      <c r="S83" s="166">
        <v>26</v>
      </c>
      <c r="T83" s="166">
        <v>24</v>
      </c>
      <c r="U83" s="167">
        <v>194474.28</v>
      </c>
      <c r="V83" s="167">
        <v>179514.71999999962</v>
      </c>
    </row>
    <row r="84" spans="1:26" s="166" customFormat="1">
      <c r="A84" s="101">
        <v>82</v>
      </c>
      <c r="B84" s="133"/>
      <c r="C84" s="137" t="s">
        <v>700</v>
      </c>
      <c r="D84" s="134">
        <v>330000</v>
      </c>
      <c r="E84" s="134">
        <f>D84*0.1333</f>
        <v>43989</v>
      </c>
      <c r="F84" s="135">
        <f>G84*H84</f>
        <v>356393.4</v>
      </c>
      <c r="G84" s="162">
        <v>30</v>
      </c>
      <c r="H84" s="91">
        <v>11879.78</v>
      </c>
      <c r="I84" s="136">
        <f t="shared" si="65"/>
        <v>1466.3</v>
      </c>
      <c r="J84" s="136">
        <f t="shared" si="66"/>
        <v>11000</v>
      </c>
      <c r="K84" s="136">
        <f t="shared" si="58"/>
        <v>23460.799999999999</v>
      </c>
      <c r="L84" s="136">
        <f t="shared" si="59"/>
        <v>20528.2</v>
      </c>
      <c r="M84" s="163">
        <f>S84+R84</f>
        <v>16</v>
      </c>
      <c r="N84" s="163">
        <f>T84-R84</f>
        <v>14</v>
      </c>
      <c r="O84" s="164">
        <f t="shared" si="63"/>
        <v>190076.48</v>
      </c>
      <c r="P84" s="97">
        <f t="shared" ref="P84:P114" si="67">V84-H84</f>
        <v>166316.91999999984</v>
      </c>
      <c r="Q84" s="165"/>
      <c r="R84" s="166">
        <v>1</v>
      </c>
      <c r="S84" s="166">
        <v>15</v>
      </c>
      <c r="T84" s="166">
        <v>15</v>
      </c>
      <c r="U84" s="167">
        <v>178196.7</v>
      </c>
      <c r="V84" s="167">
        <v>178196.69999999984</v>
      </c>
    </row>
    <row r="85" spans="1:26" s="166" customFormat="1">
      <c r="A85" s="101">
        <v>83</v>
      </c>
      <c r="B85" s="133"/>
      <c r="C85" s="137" t="s">
        <v>703</v>
      </c>
      <c r="D85" s="134">
        <v>330000</v>
      </c>
      <c r="E85" s="134">
        <f>D85*0.1333</f>
        <v>43989</v>
      </c>
      <c r="F85" s="135">
        <f>G85*H85</f>
        <v>351114.72000000003</v>
      </c>
      <c r="G85" s="162">
        <v>24</v>
      </c>
      <c r="H85" s="91">
        <v>14629.78</v>
      </c>
      <c r="I85" s="136">
        <f t="shared" si="65"/>
        <v>1832.875</v>
      </c>
      <c r="J85" s="136">
        <f t="shared" si="66"/>
        <v>13750</v>
      </c>
      <c r="K85" s="136">
        <f t="shared" si="58"/>
        <v>27493.125</v>
      </c>
      <c r="L85" s="136">
        <f t="shared" si="59"/>
        <v>64150.625</v>
      </c>
      <c r="M85" s="163">
        <f>S85+R85</f>
        <v>15</v>
      </c>
      <c r="N85" s="163">
        <f>T85-R85</f>
        <v>35</v>
      </c>
      <c r="O85" s="164">
        <f t="shared" si="63"/>
        <v>219446.7</v>
      </c>
      <c r="P85" s="97">
        <f t="shared" si="67"/>
        <v>131668.01999999981</v>
      </c>
      <c r="Q85" s="165"/>
      <c r="R85" s="166">
        <v>1</v>
      </c>
      <c r="S85" s="166">
        <v>14</v>
      </c>
      <c r="T85" s="166">
        <v>36</v>
      </c>
      <c r="U85" s="167">
        <v>204816.92</v>
      </c>
      <c r="V85" s="167">
        <v>146297.79999999981</v>
      </c>
    </row>
    <row r="86" spans="1:26" s="166" customFormat="1">
      <c r="A86" s="101">
        <v>84</v>
      </c>
      <c r="B86" s="133"/>
      <c r="C86" s="137" t="s">
        <v>730</v>
      </c>
      <c r="D86" s="134">
        <v>150000</v>
      </c>
      <c r="E86" s="134">
        <f>D86*0.1333</f>
        <v>19995</v>
      </c>
      <c r="F86" s="135">
        <f>G86*H86</f>
        <v>169995</v>
      </c>
      <c r="G86" s="162">
        <v>50</v>
      </c>
      <c r="H86" s="91">
        <v>3399.9</v>
      </c>
      <c r="I86" s="136">
        <f t="shared" si="65"/>
        <v>399.9</v>
      </c>
      <c r="J86" s="136">
        <f t="shared" si="66"/>
        <v>3000</v>
      </c>
      <c r="K86" s="136">
        <f t="shared" si="58"/>
        <v>2799.2999999999997</v>
      </c>
      <c r="L86" s="136">
        <f t="shared" si="59"/>
        <v>17195.7</v>
      </c>
      <c r="M86" s="163">
        <f>S86+R86</f>
        <v>7</v>
      </c>
      <c r="N86" s="163">
        <f>T86-R86</f>
        <v>43</v>
      </c>
      <c r="O86" s="164">
        <f t="shared" si="63"/>
        <v>23799.300000000003</v>
      </c>
      <c r="P86" s="97">
        <f t="shared" si="67"/>
        <v>146195.70000000004</v>
      </c>
      <c r="Q86" s="165"/>
      <c r="R86" s="166">
        <v>1</v>
      </c>
      <c r="S86" s="166">
        <v>6</v>
      </c>
      <c r="T86" s="166">
        <v>44</v>
      </c>
      <c r="U86" s="167">
        <v>20399.400000000001</v>
      </c>
      <c r="V86" s="167">
        <v>149595.60000000003</v>
      </c>
    </row>
    <row r="87" spans="1:26" s="166" customFormat="1">
      <c r="A87" s="101">
        <v>85</v>
      </c>
      <c r="B87" s="133"/>
      <c r="C87" s="137" t="s">
        <v>747</v>
      </c>
      <c r="D87" s="134">
        <v>350000</v>
      </c>
      <c r="E87" s="134">
        <f>D87*0.1333</f>
        <v>46655</v>
      </c>
      <c r="F87" s="135">
        <f>G87*H87</f>
        <v>373989</v>
      </c>
      <c r="G87" s="162">
        <v>50</v>
      </c>
      <c r="H87" s="91">
        <v>7479.78</v>
      </c>
      <c r="I87" s="136">
        <f t="shared" si="65"/>
        <v>933.1</v>
      </c>
      <c r="J87" s="136">
        <f t="shared" si="66"/>
        <v>7000</v>
      </c>
      <c r="K87" s="136">
        <f t="shared" si="58"/>
        <v>2799.3</v>
      </c>
      <c r="L87" s="136">
        <f t="shared" si="59"/>
        <v>43855.700000000004</v>
      </c>
      <c r="M87" s="163">
        <f>S87+R87</f>
        <v>3</v>
      </c>
      <c r="N87" s="163">
        <f>T87-R87</f>
        <v>47</v>
      </c>
      <c r="O87" s="164">
        <f t="shared" si="63"/>
        <v>22439.34</v>
      </c>
      <c r="P87" s="97">
        <f t="shared" si="67"/>
        <v>351549.65999999992</v>
      </c>
      <c r="Q87" s="165"/>
      <c r="R87" s="166">
        <v>1</v>
      </c>
      <c r="S87" s="166">
        <v>2</v>
      </c>
      <c r="T87" s="166">
        <v>48</v>
      </c>
      <c r="U87" s="167">
        <v>14959.56</v>
      </c>
      <c r="V87" s="167">
        <v>359029.43999999994</v>
      </c>
      <c r="X87" s="138">
        <f>SUM(H81:H87)</f>
        <v>65258.81</v>
      </c>
    </row>
    <row r="88" spans="1:26" s="157" customFormat="1">
      <c r="A88" s="101">
        <v>86</v>
      </c>
      <c r="B88" s="146">
        <v>0</v>
      </c>
      <c r="C88" s="174" t="s">
        <v>388</v>
      </c>
      <c r="D88" s="148">
        <v>150000</v>
      </c>
      <c r="E88" s="148">
        <f t="shared" si="64"/>
        <v>19995</v>
      </c>
      <c r="F88" s="149">
        <f t="shared" ref="F88:F122" si="68">G88*H88</f>
        <v>169995</v>
      </c>
      <c r="G88" s="150">
        <v>50</v>
      </c>
      <c r="H88" s="159">
        <v>3399.9</v>
      </c>
      <c r="I88" s="152">
        <f t="shared" si="65"/>
        <v>399.9</v>
      </c>
      <c r="J88" s="152">
        <f t="shared" si="66"/>
        <v>3000</v>
      </c>
      <c r="K88" s="152">
        <f t="shared" si="58"/>
        <v>14796.3</v>
      </c>
      <c r="L88" s="152">
        <f t="shared" si="59"/>
        <v>5598.5999999999995</v>
      </c>
      <c r="M88" s="153">
        <f t="shared" si="61"/>
        <v>37</v>
      </c>
      <c r="N88" s="153">
        <f t="shared" si="62"/>
        <v>14</v>
      </c>
      <c r="O88" s="154">
        <f t="shared" si="63"/>
        <v>125796.2999999999</v>
      </c>
      <c r="P88" s="155">
        <f t="shared" si="67"/>
        <v>44198.700000000164</v>
      </c>
      <c r="Q88" s="156"/>
      <c r="R88" s="157">
        <v>1</v>
      </c>
      <c r="S88" s="157">
        <v>36</v>
      </c>
      <c r="T88" s="157">
        <v>15</v>
      </c>
      <c r="U88" s="158">
        <v>122396.39999999991</v>
      </c>
      <c r="V88" s="158">
        <v>47598.600000000166</v>
      </c>
      <c r="Z88" s="157" t="s">
        <v>772</v>
      </c>
    </row>
    <row r="89" spans="1:26" s="157" customFormat="1">
      <c r="A89" s="101">
        <v>87</v>
      </c>
      <c r="B89" s="146">
        <v>0</v>
      </c>
      <c r="C89" s="147" t="s">
        <v>797</v>
      </c>
      <c r="D89" s="148">
        <v>500000</v>
      </c>
      <c r="E89" s="148">
        <f t="shared" si="64"/>
        <v>66650</v>
      </c>
      <c r="F89" s="149">
        <f t="shared" si="68"/>
        <v>424987.5</v>
      </c>
      <c r="G89" s="150">
        <v>50</v>
      </c>
      <c r="H89" s="159">
        <v>8499.75</v>
      </c>
      <c r="I89" s="152">
        <f t="shared" si="65"/>
        <v>1333</v>
      </c>
      <c r="J89" s="152">
        <f t="shared" si="66"/>
        <v>10000</v>
      </c>
      <c r="K89" s="152">
        <f t="shared" ref="K89" si="69">M89*I89</f>
        <v>2666</v>
      </c>
      <c r="L89" s="152">
        <f t="shared" ref="L89" si="70">I89*N89</f>
        <v>65317</v>
      </c>
      <c r="M89" s="153">
        <f t="shared" ref="M89" si="71">S89+R89</f>
        <v>2</v>
      </c>
      <c r="N89" s="153">
        <f t="shared" ref="N89" si="72">T89-R89</f>
        <v>49</v>
      </c>
      <c r="O89" s="154">
        <f t="shared" ref="O89" si="73">U89+H89</f>
        <v>16999.5</v>
      </c>
      <c r="P89" s="155">
        <f t="shared" si="67"/>
        <v>492985.5</v>
      </c>
      <c r="Q89" s="156"/>
      <c r="R89" s="157">
        <v>1</v>
      </c>
      <c r="S89" s="157">
        <v>1</v>
      </c>
      <c r="T89" s="157">
        <v>50</v>
      </c>
      <c r="U89" s="158">
        <v>8499.75</v>
      </c>
      <c r="V89" s="158">
        <v>501485.25</v>
      </c>
    </row>
    <row r="90" spans="1:26">
      <c r="A90" s="101">
        <v>88</v>
      </c>
      <c r="B90" s="37">
        <v>0</v>
      </c>
      <c r="C90" s="147" t="s">
        <v>798</v>
      </c>
      <c r="D90" s="148">
        <v>500001</v>
      </c>
      <c r="E90" s="148">
        <f t="shared" ref="E90" si="74">D90*0.1333</f>
        <v>66650.133300000001</v>
      </c>
      <c r="F90" s="149">
        <f t="shared" ref="F90" si="75">G90*H90</f>
        <v>424987.5</v>
      </c>
      <c r="G90" s="150">
        <v>50</v>
      </c>
      <c r="H90" s="159">
        <v>8499.75</v>
      </c>
      <c r="I90" s="152">
        <f t="shared" ref="I90" si="76">E90/G90</f>
        <v>1333.0026660000001</v>
      </c>
      <c r="J90" s="152">
        <f t="shared" ref="J90" si="77">D90/G90</f>
        <v>10000.02</v>
      </c>
      <c r="K90" s="152">
        <f t="shared" ref="K90" si="78">M90*I90</f>
        <v>2666.0053320000002</v>
      </c>
      <c r="L90" s="152">
        <f t="shared" ref="L90" si="79">I90*N90</f>
        <v>65317.130634000001</v>
      </c>
      <c r="M90" s="153">
        <f t="shared" ref="M90" si="80">S90+R90</f>
        <v>2</v>
      </c>
      <c r="N90" s="153">
        <f t="shared" ref="N90" si="81">T90-R90</f>
        <v>49</v>
      </c>
      <c r="O90" s="154">
        <f t="shared" ref="O90" si="82">U90+H90</f>
        <v>16999.5</v>
      </c>
      <c r="P90" s="155">
        <f t="shared" ref="P90" si="83">V90-H90</f>
        <v>492985.5</v>
      </c>
      <c r="R90" s="157">
        <v>1</v>
      </c>
      <c r="S90" s="157">
        <v>1</v>
      </c>
      <c r="T90" s="157">
        <v>50</v>
      </c>
      <c r="U90" s="158">
        <v>8499.75</v>
      </c>
      <c r="V90" s="158">
        <v>501485.25</v>
      </c>
    </row>
    <row r="91" spans="1:26" s="157" customFormat="1">
      <c r="A91" s="101">
        <v>89</v>
      </c>
      <c r="B91" s="146">
        <v>0</v>
      </c>
      <c r="C91" s="147" t="s">
        <v>413</v>
      </c>
      <c r="D91" s="148">
        <v>150000</v>
      </c>
      <c r="E91" s="148">
        <f t="shared" si="64"/>
        <v>19995</v>
      </c>
      <c r="F91" s="149">
        <f t="shared" si="68"/>
        <v>169995</v>
      </c>
      <c r="G91" s="150">
        <v>50</v>
      </c>
      <c r="H91" s="159">
        <v>3399.9</v>
      </c>
      <c r="I91" s="152">
        <f t="shared" si="65"/>
        <v>399.9</v>
      </c>
      <c r="J91" s="152">
        <f t="shared" si="66"/>
        <v>3000</v>
      </c>
      <c r="K91" s="152">
        <f t="shared" si="58"/>
        <v>11997</v>
      </c>
      <c r="L91" s="152">
        <f t="shared" si="59"/>
        <v>7998</v>
      </c>
      <c r="M91" s="153">
        <f t="shared" ref="M91:M125" si="84">S91+R91</f>
        <v>30</v>
      </c>
      <c r="N91" s="153">
        <f t="shared" ref="N91:N124" si="85">T91-R91</f>
        <v>20</v>
      </c>
      <c r="O91" s="154">
        <f t="shared" si="63"/>
        <v>101996.99999999996</v>
      </c>
      <c r="P91" s="155">
        <f t="shared" si="67"/>
        <v>67998.000000000175</v>
      </c>
      <c r="Q91" s="156"/>
      <c r="R91" s="157">
        <v>1</v>
      </c>
      <c r="S91" s="157">
        <v>29</v>
      </c>
      <c r="T91" s="157">
        <v>21</v>
      </c>
      <c r="U91" s="158">
        <v>98597.099999999962</v>
      </c>
      <c r="V91" s="158">
        <v>71397.900000000169</v>
      </c>
    </row>
    <row r="92" spans="1:26" s="157" customFormat="1">
      <c r="A92" s="101">
        <v>90</v>
      </c>
      <c r="B92" s="146">
        <v>0</v>
      </c>
      <c r="C92" s="147" t="s">
        <v>414</v>
      </c>
      <c r="D92" s="148">
        <v>150000</v>
      </c>
      <c r="E92" s="148">
        <f t="shared" si="64"/>
        <v>19995</v>
      </c>
      <c r="F92" s="149">
        <f t="shared" si="68"/>
        <v>169995</v>
      </c>
      <c r="G92" s="150">
        <v>50</v>
      </c>
      <c r="H92" s="159">
        <v>3399.9</v>
      </c>
      <c r="I92" s="152">
        <f t="shared" si="65"/>
        <v>399.9</v>
      </c>
      <c r="J92" s="152">
        <f t="shared" si="66"/>
        <v>3000</v>
      </c>
      <c r="K92" s="152">
        <f t="shared" si="58"/>
        <v>11997</v>
      </c>
      <c r="L92" s="152">
        <f t="shared" si="59"/>
        <v>7998</v>
      </c>
      <c r="M92" s="153">
        <f t="shared" si="84"/>
        <v>30</v>
      </c>
      <c r="N92" s="153">
        <f t="shared" si="85"/>
        <v>20</v>
      </c>
      <c r="O92" s="154">
        <f t="shared" si="63"/>
        <v>101996.99999999996</v>
      </c>
      <c r="P92" s="155">
        <f t="shared" si="67"/>
        <v>67998.000000000175</v>
      </c>
      <c r="Q92" s="156"/>
      <c r="R92" s="157">
        <v>1</v>
      </c>
      <c r="S92" s="157">
        <v>29</v>
      </c>
      <c r="T92" s="157">
        <v>21</v>
      </c>
      <c r="U92" s="158">
        <v>98597.099999999962</v>
      </c>
      <c r="V92" s="158">
        <v>71397.900000000169</v>
      </c>
    </row>
    <row r="93" spans="1:26" s="157" customFormat="1">
      <c r="A93" s="101">
        <v>91</v>
      </c>
      <c r="B93" s="146">
        <v>0</v>
      </c>
      <c r="C93" s="147" t="s">
        <v>733</v>
      </c>
      <c r="D93" s="148">
        <v>150000</v>
      </c>
      <c r="E93" s="148">
        <f t="shared" si="64"/>
        <v>19995</v>
      </c>
      <c r="F93" s="149">
        <f t="shared" si="68"/>
        <v>169995</v>
      </c>
      <c r="G93" s="150">
        <v>50</v>
      </c>
      <c r="H93" s="159">
        <v>3399.9</v>
      </c>
      <c r="I93" s="152">
        <f t="shared" si="65"/>
        <v>399.9</v>
      </c>
      <c r="J93" s="152">
        <f t="shared" si="66"/>
        <v>3000</v>
      </c>
      <c r="K93" s="152">
        <f t="shared" si="58"/>
        <v>6398.4</v>
      </c>
      <c r="L93" s="152">
        <f t="shared" si="59"/>
        <v>13596.599999999999</v>
      </c>
      <c r="M93" s="153">
        <f t="shared" ref="M93:M98" si="86">S93+R93</f>
        <v>16</v>
      </c>
      <c r="N93" s="153">
        <f t="shared" ref="N93:N98" si="87">T93-R93</f>
        <v>34</v>
      </c>
      <c r="O93" s="154">
        <f t="shared" si="63"/>
        <v>54398.400000000016</v>
      </c>
      <c r="P93" s="155">
        <f t="shared" si="67"/>
        <v>115596.60000000009</v>
      </c>
      <c r="Q93" s="156"/>
      <c r="R93" s="157">
        <v>1</v>
      </c>
      <c r="S93" s="157">
        <v>15</v>
      </c>
      <c r="T93" s="157">
        <v>35</v>
      </c>
      <c r="U93" s="158">
        <v>50998.500000000015</v>
      </c>
      <c r="V93" s="158">
        <v>118996.50000000009</v>
      </c>
    </row>
    <row r="94" spans="1:26" s="157" customFormat="1">
      <c r="A94" s="101">
        <v>92</v>
      </c>
      <c r="B94" s="146">
        <v>0</v>
      </c>
      <c r="C94" s="147" t="s">
        <v>718</v>
      </c>
      <c r="D94" s="148">
        <v>150000</v>
      </c>
      <c r="E94" s="148">
        <f t="shared" si="64"/>
        <v>19995</v>
      </c>
      <c r="F94" s="149">
        <f t="shared" si="68"/>
        <v>169995</v>
      </c>
      <c r="G94" s="150">
        <v>50</v>
      </c>
      <c r="H94" s="159">
        <v>3399.9</v>
      </c>
      <c r="I94" s="152">
        <f t="shared" si="65"/>
        <v>399.9</v>
      </c>
      <c r="J94" s="152">
        <f t="shared" si="66"/>
        <v>3000</v>
      </c>
      <c r="K94" s="152">
        <f t="shared" si="58"/>
        <v>5198.7</v>
      </c>
      <c r="L94" s="152">
        <f t="shared" si="59"/>
        <v>14796.3</v>
      </c>
      <c r="M94" s="153">
        <f t="shared" si="86"/>
        <v>13</v>
      </c>
      <c r="N94" s="153">
        <f t="shared" si="87"/>
        <v>37</v>
      </c>
      <c r="O94" s="154">
        <f t="shared" si="63"/>
        <v>44198.700000000012</v>
      </c>
      <c r="P94" s="155">
        <f t="shared" si="67"/>
        <v>125796.30000000008</v>
      </c>
      <c r="Q94" s="156"/>
      <c r="R94" s="157">
        <v>1</v>
      </c>
      <c r="S94" s="157">
        <v>12</v>
      </c>
      <c r="T94" s="157">
        <v>38</v>
      </c>
      <c r="U94" s="158">
        <v>40798.80000000001</v>
      </c>
      <c r="V94" s="158">
        <v>129196.20000000007</v>
      </c>
    </row>
    <row r="95" spans="1:26" s="157" customFormat="1">
      <c r="A95" s="101">
        <v>93</v>
      </c>
      <c r="B95" s="146">
        <v>0</v>
      </c>
      <c r="C95" s="147" t="s">
        <v>722</v>
      </c>
      <c r="D95" s="148">
        <v>150000</v>
      </c>
      <c r="E95" s="148">
        <f t="shared" si="64"/>
        <v>19995</v>
      </c>
      <c r="F95" s="149">
        <f t="shared" si="68"/>
        <v>169995</v>
      </c>
      <c r="G95" s="150">
        <v>50</v>
      </c>
      <c r="H95" s="159">
        <v>3399.9</v>
      </c>
      <c r="I95" s="152">
        <f t="shared" si="65"/>
        <v>399.9</v>
      </c>
      <c r="J95" s="152">
        <f t="shared" si="66"/>
        <v>3000</v>
      </c>
      <c r="K95" s="152">
        <f t="shared" si="58"/>
        <v>4398.8999999999996</v>
      </c>
      <c r="L95" s="152">
        <f t="shared" si="59"/>
        <v>15596.099999999999</v>
      </c>
      <c r="M95" s="153">
        <f t="shared" si="86"/>
        <v>11</v>
      </c>
      <c r="N95" s="153">
        <f t="shared" si="87"/>
        <v>39</v>
      </c>
      <c r="O95" s="154">
        <f t="shared" si="63"/>
        <v>37398.900000000009</v>
      </c>
      <c r="P95" s="155">
        <f t="shared" si="67"/>
        <v>132596.10000000006</v>
      </c>
      <c r="Q95" s="156"/>
      <c r="R95" s="157">
        <v>1</v>
      </c>
      <c r="S95" s="157">
        <v>10</v>
      </c>
      <c r="T95" s="157">
        <v>40</v>
      </c>
      <c r="U95" s="158">
        <v>33999.000000000007</v>
      </c>
      <c r="V95" s="158">
        <v>135996.00000000006</v>
      </c>
    </row>
    <row r="96" spans="1:26" s="157" customFormat="1">
      <c r="A96" s="101">
        <v>94</v>
      </c>
      <c r="B96" s="146">
        <v>0</v>
      </c>
      <c r="C96" s="147" t="s">
        <v>796</v>
      </c>
      <c r="D96" s="148">
        <v>150001</v>
      </c>
      <c r="E96" s="148">
        <f t="shared" ref="E96" si="88">D96*0.1333</f>
        <v>19995.133300000001</v>
      </c>
      <c r="F96" s="149">
        <f t="shared" ref="F96" si="89">G96*H96</f>
        <v>169995</v>
      </c>
      <c r="G96" s="150">
        <v>50</v>
      </c>
      <c r="H96" s="159">
        <v>3399.9</v>
      </c>
      <c r="I96" s="152">
        <f t="shared" ref="I96" si="90">E96/G96</f>
        <v>399.90266600000001</v>
      </c>
      <c r="J96" s="152">
        <f t="shared" ref="J96" si="91">D96/G96</f>
        <v>3000.02</v>
      </c>
      <c r="K96" s="152">
        <f t="shared" ref="K96" si="92">M96*I96</f>
        <v>4398.9293260000004</v>
      </c>
      <c r="L96" s="152">
        <f t="shared" ref="L96" si="93">I96*N96</f>
        <v>15596.203974</v>
      </c>
      <c r="M96" s="153">
        <f t="shared" si="86"/>
        <v>11</v>
      </c>
      <c r="N96" s="153">
        <f t="shared" si="87"/>
        <v>39</v>
      </c>
      <c r="O96" s="154">
        <f t="shared" ref="O96" si="94">U96+H96</f>
        <v>37398.900000000009</v>
      </c>
      <c r="P96" s="155">
        <f t="shared" ref="P96" si="95">V96-H96</f>
        <v>132596.10000000006</v>
      </c>
      <c r="Q96" s="156"/>
      <c r="R96" s="157">
        <v>1</v>
      </c>
      <c r="S96" s="157">
        <v>10</v>
      </c>
      <c r="T96" s="157">
        <v>40</v>
      </c>
      <c r="U96" s="158">
        <v>33999.000000000007</v>
      </c>
      <c r="V96" s="158">
        <v>135996.00000000006</v>
      </c>
    </row>
    <row r="97" spans="1:26" s="157" customFormat="1">
      <c r="A97" s="101">
        <v>95</v>
      </c>
      <c r="B97" s="146"/>
      <c r="C97" s="147" t="s">
        <v>728</v>
      </c>
      <c r="D97" s="148">
        <v>450000</v>
      </c>
      <c r="E97" s="148">
        <f t="shared" si="64"/>
        <v>59985</v>
      </c>
      <c r="F97" s="149">
        <f t="shared" si="68"/>
        <v>509985.00000000006</v>
      </c>
      <c r="G97" s="150">
        <v>50</v>
      </c>
      <c r="H97" s="159">
        <v>10199.700000000001</v>
      </c>
      <c r="I97" s="152">
        <f t="shared" si="65"/>
        <v>1199.7</v>
      </c>
      <c r="J97" s="152">
        <f t="shared" si="66"/>
        <v>9000</v>
      </c>
      <c r="K97" s="152">
        <f t="shared" si="58"/>
        <v>10797.300000000001</v>
      </c>
      <c r="L97" s="152">
        <f t="shared" si="59"/>
        <v>49187.700000000004</v>
      </c>
      <c r="M97" s="153">
        <f t="shared" si="86"/>
        <v>9</v>
      </c>
      <c r="N97" s="153">
        <f t="shared" si="87"/>
        <v>41</v>
      </c>
      <c r="O97" s="154">
        <f t="shared" si="63"/>
        <v>91797.299999999988</v>
      </c>
      <c r="P97" s="155">
        <f t="shared" si="67"/>
        <v>418187.6999999999</v>
      </c>
      <c r="Q97" s="156"/>
      <c r="R97" s="157">
        <v>1</v>
      </c>
      <c r="S97" s="157">
        <v>8</v>
      </c>
      <c r="T97" s="157">
        <v>42</v>
      </c>
      <c r="U97" s="158">
        <v>81597.599999999991</v>
      </c>
      <c r="V97" s="158">
        <v>428387.39999999991</v>
      </c>
    </row>
    <row r="98" spans="1:26" s="157" customFormat="1">
      <c r="A98" s="101">
        <v>96</v>
      </c>
      <c r="B98" s="146"/>
      <c r="C98" s="147" t="s">
        <v>738</v>
      </c>
      <c r="D98" s="148">
        <v>150000</v>
      </c>
      <c r="E98" s="148">
        <f t="shared" si="64"/>
        <v>19995</v>
      </c>
      <c r="F98" s="149">
        <f t="shared" si="68"/>
        <v>169995</v>
      </c>
      <c r="G98" s="150">
        <v>50</v>
      </c>
      <c r="H98" s="159">
        <v>3399.9</v>
      </c>
      <c r="I98" s="152">
        <f t="shared" si="65"/>
        <v>399.9</v>
      </c>
      <c r="J98" s="152">
        <f t="shared" si="66"/>
        <v>3000</v>
      </c>
      <c r="K98" s="152">
        <f t="shared" si="58"/>
        <v>1999.5</v>
      </c>
      <c r="L98" s="152">
        <f t="shared" si="59"/>
        <v>17995.5</v>
      </c>
      <c r="M98" s="153">
        <f t="shared" si="86"/>
        <v>5</v>
      </c>
      <c r="N98" s="153">
        <f t="shared" si="87"/>
        <v>45</v>
      </c>
      <c r="O98" s="154">
        <f t="shared" si="63"/>
        <v>16999.5</v>
      </c>
      <c r="P98" s="155">
        <f t="shared" si="67"/>
        <v>152995.50000000003</v>
      </c>
      <c r="Q98" s="156"/>
      <c r="R98" s="157">
        <v>1</v>
      </c>
      <c r="S98" s="157">
        <v>4</v>
      </c>
      <c r="T98" s="157">
        <v>46</v>
      </c>
      <c r="U98" s="158">
        <v>13599.6</v>
      </c>
      <c r="V98" s="158">
        <v>156395.40000000002</v>
      </c>
      <c r="X98" s="161">
        <f>SUM(H88:H98)</f>
        <v>54398.400000000016</v>
      </c>
    </row>
    <row r="99" spans="1:26" s="228" customFormat="1">
      <c r="A99" s="101">
        <v>97</v>
      </c>
      <c r="B99" s="218">
        <v>0</v>
      </c>
      <c r="C99" s="196" t="s">
        <v>492</v>
      </c>
      <c r="D99" s="219">
        <v>330000</v>
      </c>
      <c r="E99" s="219">
        <f>D99*0.1333</f>
        <v>43989</v>
      </c>
      <c r="F99" s="220">
        <f>G99*H99</f>
        <v>373989</v>
      </c>
      <c r="G99" s="245">
        <v>50</v>
      </c>
      <c r="H99" s="222">
        <v>7479.78</v>
      </c>
      <c r="I99" s="223">
        <f t="shared" si="65"/>
        <v>879.78</v>
      </c>
      <c r="J99" s="223">
        <f t="shared" si="66"/>
        <v>6600</v>
      </c>
      <c r="K99" s="223">
        <f t="shared" si="58"/>
        <v>20234.939999999999</v>
      </c>
      <c r="L99" s="223">
        <f t="shared" si="59"/>
        <v>23754.059999999998</v>
      </c>
      <c r="M99" s="224">
        <f t="shared" si="84"/>
        <v>23</v>
      </c>
      <c r="N99" s="224">
        <f t="shared" si="85"/>
        <v>27</v>
      </c>
      <c r="O99" s="225">
        <f t="shared" si="63"/>
        <v>172034.94</v>
      </c>
      <c r="P99" s="226">
        <f t="shared" si="67"/>
        <v>201954.05999999962</v>
      </c>
      <c r="Q99" s="227" t="s">
        <v>433</v>
      </c>
      <c r="R99" s="228">
        <v>1</v>
      </c>
      <c r="S99" s="228">
        <v>22</v>
      </c>
      <c r="T99" s="228">
        <v>28</v>
      </c>
      <c r="U99" s="229">
        <v>164555.16</v>
      </c>
      <c r="V99" s="229">
        <v>209433.83999999962</v>
      </c>
      <c r="Z99" s="228" t="s">
        <v>773</v>
      </c>
    </row>
    <row r="100" spans="1:26" s="228" customFormat="1">
      <c r="A100" s="101">
        <v>98</v>
      </c>
      <c r="B100" s="218">
        <v>0</v>
      </c>
      <c r="C100" s="196" t="s">
        <v>400</v>
      </c>
      <c r="D100" s="219">
        <v>330000</v>
      </c>
      <c r="E100" s="219">
        <f t="shared" si="64"/>
        <v>43989</v>
      </c>
      <c r="F100" s="220">
        <f t="shared" si="68"/>
        <v>373989</v>
      </c>
      <c r="G100" s="245">
        <v>50</v>
      </c>
      <c r="H100" s="222">
        <v>7479.78</v>
      </c>
      <c r="I100" s="223">
        <f t="shared" si="65"/>
        <v>879.78</v>
      </c>
      <c r="J100" s="223">
        <f t="shared" si="66"/>
        <v>6600</v>
      </c>
      <c r="K100" s="223">
        <f t="shared" si="58"/>
        <v>26393.399999999998</v>
      </c>
      <c r="L100" s="223">
        <f t="shared" si="59"/>
        <v>17595.599999999999</v>
      </c>
      <c r="M100" s="224">
        <f t="shared" si="84"/>
        <v>30</v>
      </c>
      <c r="N100" s="224">
        <f t="shared" si="85"/>
        <v>20</v>
      </c>
      <c r="O100" s="225">
        <f t="shared" si="63"/>
        <v>216913.62</v>
      </c>
      <c r="P100" s="226">
        <f t="shared" si="67"/>
        <v>157075.37999999963</v>
      </c>
      <c r="Q100" s="227"/>
      <c r="R100" s="228">
        <v>1</v>
      </c>
      <c r="S100" s="228">
        <v>29</v>
      </c>
      <c r="T100" s="228">
        <v>21</v>
      </c>
      <c r="U100" s="229">
        <v>209433.84</v>
      </c>
      <c r="V100" s="229">
        <v>164555.15999999963</v>
      </c>
    </row>
    <row r="101" spans="1:26" s="228" customFormat="1">
      <c r="A101" s="101">
        <v>99</v>
      </c>
      <c r="B101" s="218">
        <v>0</v>
      </c>
      <c r="C101" s="196" t="s">
        <v>237</v>
      </c>
      <c r="D101" s="219">
        <v>150000</v>
      </c>
      <c r="E101" s="219">
        <f t="shared" si="64"/>
        <v>19995</v>
      </c>
      <c r="F101" s="220">
        <f t="shared" si="68"/>
        <v>169882.5</v>
      </c>
      <c r="G101" s="221">
        <v>50</v>
      </c>
      <c r="H101" s="222">
        <v>3397.65</v>
      </c>
      <c r="I101" s="223">
        <f t="shared" si="65"/>
        <v>399.9</v>
      </c>
      <c r="J101" s="223">
        <f t="shared" si="66"/>
        <v>3000</v>
      </c>
      <c r="K101" s="223">
        <f t="shared" si="58"/>
        <v>20394.899999999998</v>
      </c>
      <c r="L101" s="223">
        <f t="shared" si="59"/>
        <v>0</v>
      </c>
      <c r="M101" s="224">
        <f t="shared" si="84"/>
        <v>51</v>
      </c>
      <c r="N101" s="224">
        <f t="shared" si="85"/>
        <v>0</v>
      </c>
      <c r="O101" s="225">
        <f t="shared" ref="O101:O128" si="96">U101+H101</f>
        <v>149597.99999999997</v>
      </c>
      <c r="P101" s="226">
        <f t="shared" si="67"/>
        <v>20399.500000000069</v>
      </c>
      <c r="Q101" s="227"/>
      <c r="R101" s="228">
        <v>1</v>
      </c>
      <c r="S101" s="228">
        <v>50</v>
      </c>
      <c r="T101" s="228">
        <v>1</v>
      </c>
      <c r="U101" s="229">
        <v>146200.34999999998</v>
      </c>
      <c r="V101" s="229">
        <v>23797.150000000071</v>
      </c>
    </row>
    <row r="102" spans="1:26" s="228" customFormat="1">
      <c r="A102" s="101">
        <v>100</v>
      </c>
      <c r="B102" s="218">
        <v>0</v>
      </c>
      <c r="C102" s="196" t="s">
        <v>435</v>
      </c>
      <c r="D102" s="219">
        <v>330000</v>
      </c>
      <c r="E102" s="219">
        <f t="shared" si="64"/>
        <v>43989</v>
      </c>
      <c r="F102" s="220">
        <f t="shared" si="68"/>
        <v>373989</v>
      </c>
      <c r="G102" s="221">
        <v>50</v>
      </c>
      <c r="H102" s="222">
        <v>7479.78</v>
      </c>
      <c r="I102" s="223">
        <f t="shared" si="65"/>
        <v>879.78</v>
      </c>
      <c r="J102" s="223">
        <f t="shared" si="66"/>
        <v>6600</v>
      </c>
      <c r="K102" s="223">
        <f t="shared" si="58"/>
        <v>26393.399999999998</v>
      </c>
      <c r="L102" s="223">
        <f t="shared" si="59"/>
        <v>17595.599999999999</v>
      </c>
      <c r="M102" s="224">
        <f t="shared" si="84"/>
        <v>30</v>
      </c>
      <c r="N102" s="224">
        <f t="shared" si="85"/>
        <v>20</v>
      </c>
      <c r="O102" s="225">
        <f t="shared" si="96"/>
        <v>224393.4</v>
      </c>
      <c r="P102" s="226">
        <f t="shared" si="67"/>
        <v>149595.59999999963</v>
      </c>
      <c r="Q102" s="227"/>
      <c r="R102" s="228">
        <v>1</v>
      </c>
      <c r="S102" s="228">
        <v>29</v>
      </c>
      <c r="T102" s="228">
        <v>21</v>
      </c>
      <c r="U102" s="229">
        <v>216913.62</v>
      </c>
      <c r="V102" s="230">
        <v>157075.37999999963</v>
      </c>
    </row>
    <row r="103" spans="1:26" s="228" customFormat="1">
      <c r="A103" s="101">
        <v>101</v>
      </c>
      <c r="B103" s="218">
        <v>0</v>
      </c>
      <c r="C103" s="196" t="s">
        <v>436</v>
      </c>
      <c r="D103" s="219">
        <v>150000</v>
      </c>
      <c r="E103" s="219">
        <f t="shared" ref="E103:E131" si="97">D103*0.1333</f>
        <v>19995</v>
      </c>
      <c r="F103" s="220">
        <f t="shared" si="68"/>
        <v>169995</v>
      </c>
      <c r="G103" s="221">
        <v>50</v>
      </c>
      <c r="H103" s="222">
        <v>3399.9</v>
      </c>
      <c r="I103" s="223">
        <f t="shared" si="65"/>
        <v>399.9</v>
      </c>
      <c r="J103" s="223">
        <f t="shared" si="66"/>
        <v>3000</v>
      </c>
      <c r="K103" s="223">
        <f t="shared" si="58"/>
        <v>11997</v>
      </c>
      <c r="L103" s="223">
        <f t="shared" si="59"/>
        <v>7998</v>
      </c>
      <c r="M103" s="224">
        <f t="shared" si="84"/>
        <v>30</v>
      </c>
      <c r="N103" s="224">
        <f t="shared" si="85"/>
        <v>20</v>
      </c>
      <c r="O103" s="225">
        <f t="shared" si="96"/>
        <v>101996.99999999996</v>
      </c>
      <c r="P103" s="226">
        <f t="shared" si="67"/>
        <v>67998.000000000175</v>
      </c>
      <c r="Q103" s="227"/>
      <c r="R103" s="228">
        <v>1</v>
      </c>
      <c r="S103" s="228">
        <v>29</v>
      </c>
      <c r="T103" s="228">
        <v>21</v>
      </c>
      <c r="U103" s="229">
        <v>98597.099999999962</v>
      </c>
      <c r="V103" s="229">
        <v>71397.900000000169</v>
      </c>
    </row>
    <row r="104" spans="1:26" s="228" customFormat="1">
      <c r="A104" s="101">
        <v>102</v>
      </c>
      <c r="B104" s="218">
        <v>0</v>
      </c>
      <c r="C104" s="196" t="s">
        <v>437</v>
      </c>
      <c r="D104" s="219">
        <v>150000</v>
      </c>
      <c r="E104" s="219">
        <f t="shared" si="97"/>
        <v>19995</v>
      </c>
      <c r="F104" s="220">
        <f t="shared" si="68"/>
        <v>169995</v>
      </c>
      <c r="G104" s="221">
        <v>50</v>
      </c>
      <c r="H104" s="222">
        <v>3399.9</v>
      </c>
      <c r="I104" s="223">
        <f t="shared" si="65"/>
        <v>399.9</v>
      </c>
      <c r="J104" s="223">
        <f t="shared" si="66"/>
        <v>3000</v>
      </c>
      <c r="K104" s="223">
        <f t="shared" si="58"/>
        <v>11997</v>
      </c>
      <c r="L104" s="223">
        <f t="shared" si="59"/>
        <v>7998</v>
      </c>
      <c r="M104" s="224">
        <f t="shared" si="84"/>
        <v>30</v>
      </c>
      <c r="N104" s="224">
        <f t="shared" si="85"/>
        <v>20</v>
      </c>
      <c r="O104" s="225">
        <f t="shared" si="96"/>
        <v>101951.99999999996</v>
      </c>
      <c r="P104" s="226">
        <f t="shared" si="67"/>
        <v>68043.000000000175</v>
      </c>
      <c r="Q104" s="227"/>
      <c r="R104" s="228">
        <v>1</v>
      </c>
      <c r="S104" s="228">
        <v>29</v>
      </c>
      <c r="T104" s="228">
        <v>21</v>
      </c>
      <c r="U104" s="229">
        <v>98552.099999999962</v>
      </c>
      <c r="V104" s="229">
        <v>71442.900000000169</v>
      </c>
    </row>
    <row r="105" spans="1:26" s="228" customFormat="1">
      <c r="A105" s="101">
        <v>103</v>
      </c>
      <c r="B105" s="218">
        <v>0</v>
      </c>
      <c r="C105" s="196" t="s">
        <v>438</v>
      </c>
      <c r="D105" s="219">
        <v>330000</v>
      </c>
      <c r="E105" s="219">
        <f t="shared" si="97"/>
        <v>43989</v>
      </c>
      <c r="F105" s="220">
        <f t="shared" si="68"/>
        <v>373989</v>
      </c>
      <c r="G105" s="221">
        <v>50</v>
      </c>
      <c r="H105" s="222">
        <v>7479.78</v>
      </c>
      <c r="I105" s="223">
        <f t="shared" si="65"/>
        <v>879.78</v>
      </c>
      <c r="J105" s="223">
        <f t="shared" si="66"/>
        <v>6600</v>
      </c>
      <c r="K105" s="223">
        <f t="shared" si="58"/>
        <v>26393.399999999998</v>
      </c>
      <c r="L105" s="223">
        <f t="shared" si="59"/>
        <v>17595.599999999999</v>
      </c>
      <c r="M105" s="224">
        <f t="shared" si="84"/>
        <v>30</v>
      </c>
      <c r="N105" s="224">
        <f t="shared" si="85"/>
        <v>20</v>
      </c>
      <c r="O105" s="225">
        <f t="shared" si="96"/>
        <v>224393.4</v>
      </c>
      <c r="P105" s="226">
        <f t="shared" si="67"/>
        <v>149595.59999999963</v>
      </c>
      <c r="Q105" s="227"/>
      <c r="R105" s="228">
        <v>1</v>
      </c>
      <c r="S105" s="228">
        <v>29</v>
      </c>
      <c r="T105" s="228">
        <v>21</v>
      </c>
      <c r="U105" s="229">
        <v>216913.62</v>
      </c>
      <c r="V105" s="229">
        <v>157075.37999999963</v>
      </c>
    </row>
    <row r="106" spans="1:26" s="228" customFormat="1">
      <c r="A106" s="101">
        <v>104</v>
      </c>
      <c r="B106" s="218">
        <v>0</v>
      </c>
      <c r="C106" s="196" t="s">
        <v>439</v>
      </c>
      <c r="D106" s="219">
        <v>330000</v>
      </c>
      <c r="E106" s="219">
        <f t="shared" si="97"/>
        <v>43989</v>
      </c>
      <c r="F106" s="220">
        <f t="shared" si="68"/>
        <v>373989</v>
      </c>
      <c r="G106" s="221">
        <v>50</v>
      </c>
      <c r="H106" s="222">
        <v>7479.78</v>
      </c>
      <c r="I106" s="223">
        <f t="shared" si="65"/>
        <v>879.78</v>
      </c>
      <c r="J106" s="223">
        <f t="shared" si="66"/>
        <v>6600</v>
      </c>
      <c r="K106" s="223">
        <f t="shared" si="58"/>
        <v>26393.399999999998</v>
      </c>
      <c r="L106" s="223">
        <f t="shared" si="59"/>
        <v>17595.599999999999</v>
      </c>
      <c r="M106" s="224">
        <f t="shared" si="84"/>
        <v>30</v>
      </c>
      <c r="N106" s="224">
        <f t="shared" si="85"/>
        <v>20</v>
      </c>
      <c r="O106" s="225">
        <f t="shared" si="96"/>
        <v>224393.4</v>
      </c>
      <c r="P106" s="226">
        <f t="shared" si="67"/>
        <v>149595.59999999963</v>
      </c>
      <c r="Q106" s="227"/>
      <c r="R106" s="228">
        <v>1</v>
      </c>
      <c r="S106" s="228">
        <v>29</v>
      </c>
      <c r="T106" s="228">
        <v>21</v>
      </c>
      <c r="U106" s="229">
        <v>216913.62</v>
      </c>
      <c r="V106" s="229">
        <v>157075.37999999963</v>
      </c>
    </row>
    <row r="107" spans="1:26" s="228" customFormat="1">
      <c r="A107" s="101">
        <v>105</v>
      </c>
      <c r="B107" s="218">
        <v>0</v>
      </c>
      <c r="C107" s="196" t="s">
        <v>440</v>
      </c>
      <c r="D107" s="219">
        <v>150000</v>
      </c>
      <c r="E107" s="219">
        <f t="shared" si="97"/>
        <v>19995</v>
      </c>
      <c r="F107" s="220">
        <f t="shared" si="68"/>
        <v>169995</v>
      </c>
      <c r="G107" s="221">
        <v>50</v>
      </c>
      <c r="H107" s="222">
        <v>3399.9</v>
      </c>
      <c r="I107" s="223">
        <f t="shared" si="65"/>
        <v>399.9</v>
      </c>
      <c r="J107" s="223">
        <f t="shared" si="66"/>
        <v>3000</v>
      </c>
      <c r="K107" s="223">
        <f t="shared" si="58"/>
        <v>11997</v>
      </c>
      <c r="L107" s="223">
        <f t="shared" si="59"/>
        <v>7998</v>
      </c>
      <c r="M107" s="224">
        <f t="shared" si="84"/>
        <v>30</v>
      </c>
      <c r="N107" s="224">
        <f t="shared" si="85"/>
        <v>20</v>
      </c>
      <c r="O107" s="225">
        <f t="shared" si="96"/>
        <v>101996.99999999996</v>
      </c>
      <c r="P107" s="226">
        <f t="shared" si="67"/>
        <v>67998.000000000175</v>
      </c>
      <c r="Q107" s="227"/>
      <c r="R107" s="228">
        <v>1</v>
      </c>
      <c r="S107" s="228">
        <v>29</v>
      </c>
      <c r="T107" s="228">
        <v>21</v>
      </c>
      <c r="U107" s="229">
        <v>98597.099999999962</v>
      </c>
      <c r="V107" s="230">
        <v>71397.900000000169</v>
      </c>
    </row>
    <row r="108" spans="1:26" s="248" customFormat="1" ht="13.5">
      <c r="A108" s="101">
        <v>106</v>
      </c>
      <c r="B108" s="218">
        <v>0</v>
      </c>
      <c r="C108" s="196" t="s">
        <v>444</v>
      </c>
      <c r="D108" s="219">
        <v>150000</v>
      </c>
      <c r="E108" s="219">
        <f t="shared" si="97"/>
        <v>19995</v>
      </c>
      <c r="F108" s="220">
        <f t="shared" si="68"/>
        <v>169995</v>
      </c>
      <c r="G108" s="221">
        <v>50</v>
      </c>
      <c r="H108" s="222">
        <v>3399.9</v>
      </c>
      <c r="I108" s="219">
        <f t="shared" si="65"/>
        <v>399.9</v>
      </c>
      <c r="J108" s="219">
        <f t="shared" si="66"/>
        <v>3000</v>
      </c>
      <c r="K108" s="219">
        <f t="shared" si="58"/>
        <v>11597.099999999999</v>
      </c>
      <c r="L108" s="219">
        <f t="shared" si="59"/>
        <v>8397.9</v>
      </c>
      <c r="M108" s="246">
        <f t="shared" si="84"/>
        <v>29</v>
      </c>
      <c r="N108" s="246">
        <f t="shared" si="85"/>
        <v>21</v>
      </c>
      <c r="O108" s="225">
        <f t="shared" si="96"/>
        <v>101996.99999999996</v>
      </c>
      <c r="P108" s="226">
        <f t="shared" si="67"/>
        <v>71397.900000000169</v>
      </c>
      <c r="Q108" s="247"/>
      <c r="R108" s="248">
        <v>1</v>
      </c>
      <c r="S108" s="248">
        <v>28</v>
      </c>
      <c r="T108" s="248">
        <v>22</v>
      </c>
      <c r="U108" s="249">
        <v>98597.099999999962</v>
      </c>
      <c r="V108" s="230">
        <v>74797.800000000163</v>
      </c>
    </row>
    <row r="109" spans="1:26" s="228" customFormat="1">
      <c r="A109" s="101">
        <v>107</v>
      </c>
      <c r="B109" s="218">
        <v>0</v>
      </c>
      <c r="C109" s="196" t="s">
        <v>445</v>
      </c>
      <c r="D109" s="219">
        <v>150000</v>
      </c>
      <c r="E109" s="219">
        <f t="shared" si="97"/>
        <v>19995</v>
      </c>
      <c r="F109" s="220">
        <f t="shared" si="68"/>
        <v>169995</v>
      </c>
      <c r="G109" s="221">
        <v>50</v>
      </c>
      <c r="H109" s="222">
        <v>3399.9</v>
      </c>
      <c r="I109" s="223">
        <f t="shared" si="65"/>
        <v>399.9</v>
      </c>
      <c r="J109" s="223">
        <f t="shared" si="66"/>
        <v>3000</v>
      </c>
      <c r="K109" s="223">
        <f t="shared" si="58"/>
        <v>11597.099999999999</v>
      </c>
      <c r="L109" s="223">
        <f t="shared" si="59"/>
        <v>8397.9</v>
      </c>
      <c r="M109" s="224">
        <f t="shared" si="84"/>
        <v>29</v>
      </c>
      <c r="N109" s="224">
        <f t="shared" si="85"/>
        <v>21</v>
      </c>
      <c r="O109" s="225">
        <f t="shared" si="96"/>
        <v>101996.99999999996</v>
      </c>
      <c r="P109" s="226">
        <f t="shared" si="67"/>
        <v>71397.900000000169</v>
      </c>
      <c r="Q109" s="227"/>
      <c r="R109" s="228">
        <v>1</v>
      </c>
      <c r="S109" s="228">
        <v>28</v>
      </c>
      <c r="T109" s="228">
        <v>22</v>
      </c>
      <c r="U109" s="229">
        <v>98597.099999999962</v>
      </c>
      <c r="V109" s="230">
        <v>74797.800000000163</v>
      </c>
    </row>
    <row r="110" spans="1:26" s="228" customFormat="1">
      <c r="A110" s="101">
        <v>108</v>
      </c>
      <c r="B110" s="218">
        <v>0</v>
      </c>
      <c r="C110" s="196" t="s">
        <v>495</v>
      </c>
      <c r="D110" s="219">
        <v>150000</v>
      </c>
      <c r="E110" s="219">
        <f t="shared" si="97"/>
        <v>19995</v>
      </c>
      <c r="F110" s="220">
        <f t="shared" si="68"/>
        <v>169995</v>
      </c>
      <c r="G110" s="221">
        <v>50</v>
      </c>
      <c r="H110" s="222">
        <v>3399.9</v>
      </c>
      <c r="I110" s="223">
        <f t="shared" si="65"/>
        <v>399.9</v>
      </c>
      <c r="J110" s="223">
        <f t="shared" si="66"/>
        <v>3000</v>
      </c>
      <c r="K110" s="223">
        <f t="shared" si="58"/>
        <v>10797.3</v>
      </c>
      <c r="L110" s="223">
        <f t="shared" si="59"/>
        <v>9197.6999999999989</v>
      </c>
      <c r="M110" s="224">
        <f t="shared" si="84"/>
        <v>27</v>
      </c>
      <c r="N110" s="224">
        <f t="shared" si="85"/>
        <v>23</v>
      </c>
      <c r="O110" s="225">
        <f t="shared" si="96"/>
        <v>95197.199999999968</v>
      </c>
      <c r="P110" s="226">
        <f t="shared" si="67"/>
        <v>57118.38</v>
      </c>
      <c r="Q110" s="227"/>
      <c r="R110" s="228">
        <v>1</v>
      </c>
      <c r="S110" s="228">
        <v>26</v>
      </c>
      <c r="T110" s="228">
        <v>24</v>
      </c>
      <c r="U110" s="229">
        <v>91797.299999999974</v>
      </c>
      <c r="V110" s="230">
        <v>60518.28</v>
      </c>
    </row>
    <row r="111" spans="1:26" s="228" customFormat="1">
      <c r="A111" s="101">
        <v>109</v>
      </c>
      <c r="B111" s="218"/>
      <c r="C111" s="196" t="s">
        <v>694</v>
      </c>
      <c r="D111" s="219">
        <v>330000</v>
      </c>
      <c r="E111" s="219">
        <f t="shared" si="97"/>
        <v>43989</v>
      </c>
      <c r="F111" s="220">
        <f t="shared" si="68"/>
        <v>373989</v>
      </c>
      <c r="G111" s="221">
        <v>50</v>
      </c>
      <c r="H111" s="222">
        <v>7479.78</v>
      </c>
      <c r="I111" s="223">
        <f t="shared" si="65"/>
        <v>879.78</v>
      </c>
      <c r="J111" s="223">
        <f t="shared" si="66"/>
        <v>6600</v>
      </c>
      <c r="K111" s="223">
        <f t="shared" si="58"/>
        <v>15836.039999999999</v>
      </c>
      <c r="L111" s="223">
        <f t="shared" si="59"/>
        <v>28152.959999999999</v>
      </c>
      <c r="M111" s="224">
        <f t="shared" si="84"/>
        <v>18</v>
      </c>
      <c r="N111" s="224">
        <f t="shared" si="85"/>
        <v>32</v>
      </c>
      <c r="O111" s="225">
        <f t="shared" si="96"/>
        <v>134636.04</v>
      </c>
      <c r="P111" s="226">
        <f t="shared" si="67"/>
        <v>239352.95999999961</v>
      </c>
      <c r="Q111" s="227"/>
      <c r="R111" s="228">
        <v>1</v>
      </c>
      <c r="S111" s="228">
        <v>17</v>
      </c>
      <c r="T111" s="228">
        <v>33</v>
      </c>
      <c r="U111" s="229">
        <v>127156.26</v>
      </c>
      <c r="V111" s="230">
        <v>246832.73999999961</v>
      </c>
    </row>
    <row r="112" spans="1:26" s="228" customFormat="1">
      <c r="A112" s="101">
        <v>110</v>
      </c>
      <c r="B112" s="218"/>
      <c r="C112" s="196" t="s">
        <v>695</v>
      </c>
      <c r="D112" s="219">
        <v>150000</v>
      </c>
      <c r="E112" s="219">
        <f t="shared" si="97"/>
        <v>19995</v>
      </c>
      <c r="F112" s="220">
        <f t="shared" si="68"/>
        <v>169995</v>
      </c>
      <c r="G112" s="221">
        <v>50</v>
      </c>
      <c r="H112" s="222">
        <v>3399.9</v>
      </c>
      <c r="I112" s="223">
        <f t="shared" si="65"/>
        <v>399.9</v>
      </c>
      <c r="J112" s="223">
        <f t="shared" si="66"/>
        <v>3000</v>
      </c>
      <c r="K112" s="223">
        <f t="shared" si="58"/>
        <v>7198.2</v>
      </c>
      <c r="L112" s="223">
        <f t="shared" si="59"/>
        <v>12796.8</v>
      </c>
      <c r="M112" s="224">
        <f t="shared" si="84"/>
        <v>18</v>
      </c>
      <c r="N112" s="224">
        <f t="shared" si="85"/>
        <v>32</v>
      </c>
      <c r="O112" s="225">
        <f t="shared" si="96"/>
        <v>61198.200000000019</v>
      </c>
      <c r="P112" s="226">
        <f t="shared" si="67"/>
        <v>108796.8000000001</v>
      </c>
      <c r="Q112" s="227"/>
      <c r="R112" s="228">
        <v>1</v>
      </c>
      <c r="S112" s="228">
        <v>17</v>
      </c>
      <c r="T112" s="228">
        <v>33</v>
      </c>
      <c r="U112" s="229">
        <v>57798.300000000017</v>
      </c>
      <c r="V112" s="230">
        <v>112196.7000000001</v>
      </c>
    </row>
    <row r="113" spans="1:32" s="228" customFormat="1">
      <c r="A113" s="101">
        <v>111</v>
      </c>
      <c r="B113" s="218"/>
      <c r="C113" s="196" t="s">
        <v>544</v>
      </c>
      <c r="D113" s="219">
        <v>150000</v>
      </c>
      <c r="E113" s="219">
        <f t="shared" si="97"/>
        <v>19995</v>
      </c>
      <c r="F113" s="220">
        <f t="shared" si="68"/>
        <v>169995</v>
      </c>
      <c r="G113" s="221">
        <v>50</v>
      </c>
      <c r="H113" s="222">
        <v>3399.9</v>
      </c>
      <c r="I113" s="223">
        <f t="shared" si="65"/>
        <v>399.9</v>
      </c>
      <c r="J113" s="223">
        <f t="shared" si="66"/>
        <v>3000</v>
      </c>
      <c r="K113" s="223">
        <f t="shared" si="58"/>
        <v>7198.2</v>
      </c>
      <c r="L113" s="223">
        <f t="shared" si="59"/>
        <v>12796.8</v>
      </c>
      <c r="M113" s="224">
        <f t="shared" si="84"/>
        <v>18</v>
      </c>
      <c r="N113" s="224">
        <f t="shared" si="85"/>
        <v>32</v>
      </c>
      <c r="O113" s="225">
        <f t="shared" si="96"/>
        <v>61198.200000000019</v>
      </c>
      <c r="P113" s="226">
        <f t="shared" si="67"/>
        <v>108796.8000000001</v>
      </c>
      <c r="Q113" s="227"/>
      <c r="R113" s="228">
        <v>1</v>
      </c>
      <c r="S113" s="228">
        <v>17</v>
      </c>
      <c r="T113" s="228">
        <v>33</v>
      </c>
      <c r="U113" s="229">
        <v>57798.300000000017</v>
      </c>
      <c r="V113" s="230">
        <v>112196.7000000001</v>
      </c>
    </row>
    <row r="114" spans="1:32" s="228" customFormat="1">
      <c r="A114" s="101">
        <v>112</v>
      </c>
      <c r="B114" s="218"/>
      <c r="C114" s="196" t="s">
        <v>707</v>
      </c>
      <c r="D114" s="219">
        <v>150000</v>
      </c>
      <c r="E114" s="219">
        <f t="shared" si="97"/>
        <v>19995</v>
      </c>
      <c r="F114" s="220">
        <f t="shared" si="68"/>
        <v>169995</v>
      </c>
      <c r="G114" s="221">
        <v>50</v>
      </c>
      <c r="H114" s="222">
        <v>3399.9</v>
      </c>
      <c r="I114" s="223">
        <f t="shared" si="65"/>
        <v>399.9</v>
      </c>
      <c r="J114" s="223">
        <f t="shared" si="66"/>
        <v>3000</v>
      </c>
      <c r="K114" s="223">
        <f t="shared" si="58"/>
        <v>5598.5999999999995</v>
      </c>
      <c r="L114" s="223">
        <f t="shared" si="59"/>
        <v>14396.4</v>
      </c>
      <c r="M114" s="224">
        <f t="shared" si="84"/>
        <v>14</v>
      </c>
      <c r="N114" s="224">
        <f t="shared" si="85"/>
        <v>36</v>
      </c>
      <c r="O114" s="225">
        <f t="shared" si="96"/>
        <v>47598.600000000013</v>
      </c>
      <c r="P114" s="226">
        <f t="shared" si="67"/>
        <v>122396.40000000008</v>
      </c>
      <c r="Q114" s="227"/>
      <c r="R114" s="228">
        <v>1</v>
      </c>
      <c r="S114" s="228">
        <v>13</v>
      </c>
      <c r="T114" s="228">
        <v>37</v>
      </c>
      <c r="U114" s="229">
        <v>44198.700000000012</v>
      </c>
      <c r="V114" s="230">
        <v>125796.30000000008</v>
      </c>
    </row>
    <row r="115" spans="1:32" s="228" customFormat="1">
      <c r="A115" s="101">
        <v>113</v>
      </c>
      <c r="B115" s="218"/>
      <c r="C115" s="196" t="s">
        <v>721</v>
      </c>
      <c r="D115" s="219">
        <v>150000</v>
      </c>
      <c r="E115" s="219">
        <f t="shared" si="97"/>
        <v>19995</v>
      </c>
      <c r="F115" s="220">
        <f t="shared" si="68"/>
        <v>169995</v>
      </c>
      <c r="G115" s="221">
        <v>50</v>
      </c>
      <c r="H115" s="222">
        <v>3399.9</v>
      </c>
      <c r="I115" s="223">
        <f t="shared" si="65"/>
        <v>399.9</v>
      </c>
      <c r="J115" s="223">
        <f t="shared" si="66"/>
        <v>3000</v>
      </c>
      <c r="K115" s="223">
        <f t="shared" si="58"/>
        <v>4798.7999999999993</v>
      </c>
      <c r="L115" s="223">
        <f t="shared" si="59"/>
        <v>15196.199999999999</v>
      </c>
      <c r="M115" s="224">
        <f t="shared" si="84"/>
        <v>12</v>
      </c>
      <c r="N115" s="224">
        <f t="shared" si="85"/>
        <v>38</v>
      </c>
      <c r="O115" s="225">
        <f t="shared" si="96"/>
        <v>40798.80000000001</v>
      </c>
      <c r="P115" s="226">
        <f t="shared" ref="P115:P140" si="98">V115-H115</f>
        <v>129196.20000000007</v>
      </c>
      <c r="Q115" s="227"/>
      <c r="R115" s="228">
        <v>1</v>
      </c>
      <c r="S115" s="228">
        <v>11</v>
      </c>
      <c r="T115" s="228">
        <v>39</v>
      </c>
      <c r="U115" s="229">
        <v>37398.900000000009</v>
      </c>
      <c r="V115" s="230">
        <v>132596.10000000006</v>
      </c>
    </row>
    <row r="116" spans="1:32" s="228" customFormat="1">
      <c r="A116" s="101">
        <v>114</v>
      </c>
      <c r="B116" s="218"/>
      <c r="C116" s="196" t="s">
        <v>755</v>
      </c>
      <c r="D116" s="219">
        <v>150000</v>
      </c>
      <c r="E116" s="219">
        <f t="shared" ref="E116:E121" si="99">D116*0.1333</f>
        <v>19995</v>
      </c>
      <c r="F116" s="220">
        <f t="shared" ref="F116:F121" si="100">G116*H116</f>
        <v>169995</v>
      </c>
      <c r="G116" s="221">
        <v>50</v>
      </c>
      <c r="H116" s="222">
        <v>3399.9</v>
      </c>
      <c r="I116" s="223">
        <f t="shared" si="65"/>
        <v>399.9</v>
      </c>
      <c r="J116" s="223">
        <f t="shared" si="66"/>
        <v>3000</v>
      </c>
      <c r="K116" s="223">
        <f t="shared" ref="K116:K140" si="101">M116*I116</f>
        <v>4798.7999999999993</v>
      </c>
      <c r="L116" s="223">
        <f t="shared" ref="L116:L140" si="102">I116*N116</f>
        <v>15196.199999999999</v>
      </c>
      <c r="M116" s="224">
        <f t="shared" ref="M116:M121" si="103">S116+R116</f>
        <v>12</v>
      </c>
      <c r="N116" s="224">
        <f t="shared" ref="N116:N121" si="104">T116-R116</f>
        <v>38</v>
      </c>
      <c r="O116" s="225">
        <f t="shared" si="96"/>
        <v>40798.80000000001</v>
      </c>
      <c r="P116" s="226">
        <f t="shared" si="98"/>
        <v>129196.20000000007</v>
      </c>
      <c r="Q116" s="227"/>
      <c r="R116" s="228">
        <v>1</v>
      </c>
      <c r="S116" s="228">
        <v>11</v>
      </c>
      <c r="T116" s="228">
        <v>39</v>
      </c>
      <c r="U116" s="229">
        <v>37398.900000000009</v>
      </c>
      <c r="V116" s="230">
        <v>132596.10000000006</v>
      </c>
    </row>
    <row r="117" spans="1:32" s="228" customFormat="1">
      <c r="A117" s="101">
        <v>115</v>
      </c>
      <c r="B117" s="218"/>
      <c r="C117" s="196" t="s">
        <v>723</v>
      </c>
      <c r="D117" s="219">
        <v>150000</v>
      </c>
      <c r="E117" s="219">
        <f t="shared" si="99"/>
        <v>19995</v>
      </c>
      <c r="F117" s="220">
        <f t="shared" si="100"/>
        <v>169995</v>
      </c>
      <c r="G117" s="221">
        <v>50</v>
      </c>
      <c r="H117" s="222">
        <v>3399.9</v>
      </c>
      <c r="I117" s="223">
        <f t="shared" si="65"/>
        <v>399.9</v>
      </c>
      <c r="J117" s="223">
        <f t="shared" si="66"/>
        <v>3000</v>
      </c>
      <c r="K117" s="223">
        <f t="shared" si="101"/>
        <v>4798.7999999999993</v>
      </c>
      <c r="L117" s="223">
        <f t="shared" si="102"/>
        <v>15196.199999999999</v>
      </c>
      <c r="M117" s="224">
        <f t="shared" si="103"/>
        <v>12</v>
      </c>
      <c r="N117" s="224">
        <f t="shared" si="104"/>
        <v>38</v>
      </c>
      <c r="O117" s="225">
        <f t="shared" si="96"/>
        <v>40798.80000000001</v>
      </c>
      <c r="P117" s="226">
        <f t="shared" si="98"/>
        <v>129196.20000000007</v>
      </c>
      <c r="Q117" s="227"/>
      <c r="R117" s="228">
        <v>1</v>
      </c>
      <c r="S117" s="228">
        <v>11</v>
      </c>
      <c r="T117" s="228">
        <v>39</v>
      </c>
      <c r="U117" s="229">
        <v>37398.900000000009</v>
      </c>
      <c r="V117" s="230">
        <v>132596.10000000006</v>
      </c>
    </row>
    <row r="118" spans="1:32" s="228" customFormat="1">
      <c r="A118" s="101">
        <v>116</v>
      </c>
      <c r="B118" s="218"/>
      <c r="C118" s="196" t="s">
        <v>729</v>
      </c>
      <c r="D118" s="219">
        <v>150000</v>
      </c>
      <c r="E118" s="219">
        <f t="shared" si="99"/>
        <v>19995</v>
      </c>
      <c r="F118" s="220">
        <f t="shared" si="100"/>
        <v>169995</v>
      </c>
      <c r="G118" s="221">
        <v>50</v>
      </c>
      <c r="H118" s="222">
        <v>3399.9</v>
      </c>
      <c r="I118" s="223">
        <f t="shared" si="65"/>
        <v>399.9</v>
      </c>
      <c r="J118" s="223">
        <f t="shared" si="66"/>
        <v>3000</v>
      </c>
      <c r="K118" s="223">
        <f t="shared" si="101"/>
        <v>10797.3</v>
      </c>
      <c r="L118" s="223">
        <f t="shared" si="102"/>
        <v>9597.5999999999985</v>
      </c>
      <c r="M118" s="224">
        <f t="shared" si="103"/>
        <v>27</v>
      </c>
      <c r="N118" s="224">
        <f t="shared" si="104"/>
        <v>24</v>
      </c>
      <c r="O118" s="225">
        <f t="shared" si="96"/>
        <v>88397.399999999965</v>
      </c>
      <c r="P118" s="226">
        <f t="shared" si="98"/>
        <v>81597.600000000049</v>
      </c>
      <c r="Q118" s="227"/>
      <c r="R118" s="228">
        <v>1</v>
      </c>
      <c r="S118" s="228">
        <v>26</v>
      </c>
      <c r="T118" s="228">
        <v>25</v>
      </c>
      <c r="U118" s="229">
        <v>84997.499999999971</v>
      </c>
      <c r="V118" s="230">
        <v>84997.500000000044</v>
      </c>
    </row>
    <row r="119" spans="1:32" s="228" customFormat="1">
      <c r="A119" s="101">
        <v>117</v>
      </c>
      <c r="B119" s="218"/>
      <c r="C119" s="196" t="s">
        <v>785</v>
      </c>
      <c r="D119" s="219">
        <v>450000</v>
      </c>
      <c r="E119" s="219">
        <f t="shared" si="99"/>
        <v>59985</v>
      </c>
      <c r="F119" s="220">
        <f t="shared" si="100"/>
        <v>424987.5</v>
      </c>
      <c r="G119" s="221">
        <v>50</v>
      </c>
      <c r="H119" s="222">
        <v>8499.75</v>
      </c>
      <c r="I119" s="223">
        <f t="shared" si="65"/>
        <v>1199.7</v>
      </c>
      <c r="J119" s="223">
        <f t="shared" si="66"/>
        <v>9000</v>
      </c>
      <c r="K119" s="223">
        <f t="shared" si="101"/>
        <v>2399.4</v>
      </c>
      <c r="L119" s="223">
        <f t="shared" si="102"/>
        <v>57585.600000000006</v>
      </c>
      <c r="M119" s="224">
        <f t="shared" si="103"/>
        <v>2</v>
      </c>
      <c r="N119" s="224">
        <f t="shared" si="104"/>
        <v>48</v>
      </c>
      <c r="O119" s="225">
        <f t="shared" si="96"/>
        <v>16999.5</v>
      </c>
      <c r="P119" s="226">
        <f t="shared" si="98"/>
        <v>492985.5</v>
      </c>
      <c r="Q119" s="227"/>
      <c r="R119" s="228">
        <v>1</v>
      </c>
      <c r="S119" s="228">
        <v>1</v>
      </c>
      <c r="T119" s="228">
        <v>49</v>
      </c>
      <c r="U119" s="229">
        <v>8499.75</v>
      </c>
      <c r="V119" s="230">
        <v>501485.25</v>
      </c>
    </row>
    <row r="120" spans="1:32" s="228" customFormat="1">
      <c r="A120" s="101">
        <v>118</v>
      </c>
      <c r="B120" s="218"/>
      <c r="C120" s="196" t="s">
        <v>739</v>
      </c>
      <c r="D120" s="219">
        <v>330000</v>
      </c>
      <c r="E120" s="219">
        <f t="shared" si="99"/>
        <v>43989</v>
      </c>
      <c r="F120" s="220">
        <f t="shared" si="100"/>
        <v>373989</v>
      </c>
      <c r="G120" s="221">
        <v>50</v>
      </c>
      <c r="H120" s="222">
        <v>7479.78</v>
      </c>
      <c r="I120" s="223">
        <f t="shared" si="65"/>
        <v>879.78</v>
      </c>
      <c r="J120" s="223">
        <f t="shared" si="66"/>
        <v>6600</v>
      </c>
      <c r="K120" s="223">
        <f t="shared" si="101"/>
        <v>4398.8999999999996</v>
      </c>
      <c r="L120" s="223">
        <f t="shared" si="102"/>
        <v>39590.1</v>
      </c>
      <c r="M120" s="224">
        <f t="shared" si="103"/>
        <v>5</v>
      </c>
      <c r="N120" s="224">
        <f t="shared" si="104"/>
        <v>45</v>
      </c>
      <c r="O120" s="225">
        <f t="shared" si="96"/>
        <v>37398.9</v>
      </c>
      <c r="P120" s="226">
        <f t="shared" si="98"/>
        <v>336590.09999999986</v>
      </c>
      <c r="Q120" s="227"/>
      <c r="R120" s="228">
        <v>1</v>
      </c>
      <c r="S120" s="228">
        <v>4</v>
      </c>
      <c r="T120" s="228">
        <v>46</v>
      </c>
      <c r="U120" s="229">
        <v>29919.119999999999</v>
      </c>
      <c r="V120" s="230">
        <v>344069.87999999989</v>
      </c>
    </row>
    <row r="121" spans="1:32" s="248" customFormat="1">
      <c r="A121" s="101">
        <v>119</v>
      </c>
      <c r="B121" s="218"/>
      <c r="C121" s="196" t="s">
        <v>756</v>
      </c>
      <c r="D121" s="219">
        <v>500000</v>
      </c>
      <c r="E121" s="219">
        <f t="shared" si="99"/>
        <v>66650</v>
      </c>
      <c r="F121" s="220">
        <f t="shared" si="100"/>
        <v>509985.00000000006</v>
      </c>
      <c r="G121" s="221">
        <v>50</v>
      </c>
      <c r="H121" s="222">
        <v>10199.700000000001</v>
      </c>
      <c r="I121" s="219">
        <f>E121/G121</f>
        <v>1333</v>
      </c>
      <c r="J121" s="219">
        <f>D121/G121</f>
        <v>10000</v>
      </c>
      <c r="K121" s="219">
        <f>M121*I121</f>
        <v>63984</v>
      </c>
      <c r="L121" s="219">
        <f>I121*N121</f>
        <v>3999</v>
      </c>
      <c r="M121" s="224">
        <f t="shared" si="103"/>
        <v>48</v>
      </c>
      <c r="N121" s="224">
        <f t="shared" si="104"/>
        <v>3</v>
      </c>
      <c r="O121" s="225">
        <f>U121+H121</f>
        <v>20399.400000000001</v>
      </c>
      <c r="P121" s="226">
        <f>V121-H121</f>
        <v>438587.1</v>
      </c>
      <c r="Q121" s="247"/>
      <c r="S121" s="248">
        <v>48</v>
      </c>
      <c r="T121" s="248">
        <v>3</v>
      </c>
      <c r="U121" s="249">
        <v>10199.700000000001</v>
      </c>
      <c r="V121" s="230">
        <v>448786.8</v>
      </c>
      <c r="X121" s="250">
        <f>SUM(H99:H121)</f>
        <v>118654.25999999997</v>
      </c>
      <c r="Y121" s="249">
        <v>120356.51</v>
      </c>
      <c r="Z121" s="250"/>
      <c r="AB121" s="248">
        <v>52358.46</v>
      </c>
      <c r="AD121" s="248">
        <v>1</v>
      </c>
      <c r="AE121" s="254">
        <v>54398.400000000001</v>
      </c>
      <c r="AF121" s="228" t="s">
        <v>772</v>
      </c>
    </row>
    <row r="122" spans="1:32" s="166" customFormat="1">
      <c r="A122" s="101">
        <v>120</v>
      </c>
      <c r="B122" s="133">
        <v>0</v>
      </c>
      <c r="C122" s="137" t="s">
        <v>260</v>
      </c>
      <c r="D122" s="134">
        <v>330000</v>
      </c>
      <c r="E122" s="134">
        <f t="shared" si="97"/>
        <v>43989</v>
      </c>
      <c r="F122" s="135">
        <f t="shared" si="68"/>
        <v>373989</v>
      </c>
      <c r="G122" s="162">
        <v>50</v>
      </c>
      <c r="H122" s="91">
        <v>7479.78</v>
      </c>
      <c r="I122" s="136">
        <f t="shared" si="65"/>
        <v>879.78</v>
      </c>
      <c r="J122" s="136">
        <f t="shared" si="66"/>
        <v>6600</v>
      </c>
      <c r="K122" s="136">
        <f t="shared" si="101"/>
        <v>36950.76</v>
      </c>
      <c r="L122" s="136">
        <f t="shared" si="102"/>
        <v>7918.0199999999995</v>
      </c>
      <c r="M122" s="163">
        <f t="shared" si="84"/>
        <v>42</v>
      </c>
      <c r="N122" s="163">
        <f t="shared" si="85"/>
        <v>9</v>
      </c>
      <c r="O122" s="164">
        <f t="shared" si="96"/>
        <v>306670.98000000016</v>
      </c>
      <c r="P122" s="97">
        <f t="shared" si="98"/>
        <v>67318.019999999815</v>
      </c>
      <c r="Q122" s="165"/>
      <c r="R122" s="166">
        <v>1</v>
      </c>
      <c r="S122" s="166">
        <v>41</v>
      </c>
      <c r="T122" s="166">
        <v>10</v>
      </c>
      <c r="U122" s="167">
        <v>299191.20000000013</v>
      </c>
      <c r="V122" s="167">
        <v>74797.799999999814</v>
      </c>
      <c r="Z122" s="166" t="s">
        <v>774</v>
      </c>
      <c r="AB122" s="166">
        <v>54398.400000000001</v>
      </c>
      <c r="AD122" s="228">
        <v>2</v>
      </c>
      <c r="AE122" s="254">
        <v>15979.53</v>
      </c>
      <c r="AF122" s="228" t="s">
        <v>801</v>
      </c>
    </row>
    <row r="123" spans="1:32" s="166" customFormat="1">
      <c r="A123" s="101">
        <v>121</v>
      </c>
      <c r="B123" s="133">
        <v>0</v>
      </c>
      <c r="C123" s="137" t="s">
        <v>458</v>
      </c>
      <c r="D123" s="134">
        <v>150000</v>
      </c>
      <c r="E123" s="134">
        <f t="shared" si="97"/>
        <v>19995</v>
      </c>
      <c r="F123" s="135">
        <f t="shared" ref="F123:F133" si="105">G123*H123</f>
        <v>169995</v>
      </c>
      <c r="G123" s="162">
        <v>50</v>
      </c>
      <c r="H123" s="91">
        <v>3399.9</v>
      </c>
      <c r="I123" s="136">
        <f t="shared" si="65"/>
        <v>399.9</v>
      </c>
      <c r="J123" s="136">
        <f t="shared" si="66"/>
        <v>3000</v>
      </c>
      <c r="K123" s="136">
        <f t="shared" si="101"/>
        <v>9997.5</v>
      </c>
      <c r="L123" s="136">
        <f t="shared" si="102"/>
        <v>9997.5</v>
      </c>
      <c r="M123" s="163">
        <f t="shared" si="84"/>
        <v>25</v>
      </c>
      <c r="N123" s="163">
        <f t="shared" si="85"/>
        <v>25</v>
      </c>
      <c r="O123" s="164">
        <f t="shared" si="96"/>
        <v>84997.499999999985</v>
      </c>
      <c r="P123" s="97">
        <f t="shared" si="98"/>
        <v>84997.500000000146</v>
      </c>
      <c r="Q123" s="165"/>
      <c r="R123" s="166">
        <v>1</v>
      </c>
      <c r="S123" s="166">
        <v>24</v>
      </c>
      <c r="T123" s="166">
        <v>26</v>
      </c>
      <c r="U123" s="167">
        <v>81597.599999999991</v>
      </c>
      <c r="V123" s="167">
        <v>88397.40000000014</v>
      </c>
      <c r="AB123" s="166">
        <v>123756.42</v>
      </c>
      <c r="AD123" s="248">
        <v>3</v>
      </c>
      <c r="AE123" s="254">
        <v>32485.78</v>
      </c>
      <c r="AF123" s="228" t="s">
        <v>769</v>
      </c>
    </row>
    <row r="124" spans="1:32" s="166" customFormat="1">
      <c r="A124" s="101">
        <v>122</v>
      </c>
      <c r="B124" s="133">
        <v>0</v>
      </c>
      <c r="C124" s="137" t="s">
        <v>183</v>
      </c>
      <c r="D124" s="134">
        <v>150000</v>
      </c>
      <c r="E124" s="134">
        <f t="shared" si="97"/>
        <v>19995</v>
      </c>
      <c r="F124" s="135">
        <f t="shared" si="105"/>
        <v>169995</v>
      </c>
      <c r="G124" s="162">
        <v>50</v>
      </c>
      <c r="H124" s="91">
        <v>3399.9</v>
      </c>
      <c r="I124" s="136">
        <f t="shared" si="65"/>
        <v>399.9</v>
      </c>
      <c r="J124" s="136">
        <f t="shared" si="66"/>
        <v>3000</v>
      </c>
      <c r="K124" s="136">
        <f t="shared" si="101"/>
        <v>20394.899999999998</v>
      </c>
      <c r="L124" s="136">
        <f t="shared" si="102"/>
        <v>0</v>
      </c>
      <c r="M124" s="163">
        <f t="shared" si="84"/>
        <v>51</v>
      </c>
      <c r="N124" s="163">
        <f t="shared" si="85"/>
        <v>0</v>
      </c>
      <c r="O124" s="164">
        <f t="shared" si="96"/>
        <v>149595.59999999989</v>
      </c>
      <c r="P124" s="97">
        <f t="shared" si="98"/>
        <v>20399.400000000096</v>
      </c>
      <c r="Q124" s="165"/>
      <c r="R124" s="166">
        <v>1</v>
      </c>
      <c r="S124" s="166">
        <v>50</v>
      </c>
      <c r="T124" s="166">
        <v>1</v>
      </c>
      <c r="U124" s="167">
        <v>146195.6999999999</v>
      </c>
      <c r="V124" s="167">
        <v>23799.300000000097</v>
      </c>
      <c r="AD124" s="228">
        <v>4</v>
      </c>
      <c r="AE124" s="254">
        <v>53718.42</v>
      </c>
      <c r="AF124" s="228" t="s">
        <v>765</v>
      </c>
    </row>
    <row r="125" spans="1:32" s="166" customFormat="1">
      <c r="A125" s="101">
        <v>123</v>
      </c>
      <c r="B125" s="133">
        <v>0</v>
      </c>
      <c r="C125" s="137" t="s">
        <v>459</v>
      </c>
      <c r="D125" s="134">
        <v>150000</v>
      </c>
      <c r="E125" s="134">
        <f t="shared" si="97"/>
        <v>19995</v>
      </c>
      <c r="F125" s="135">
        <f t="shared" si="105"/>
        <v>169995</v>
      </c>
      <c r="G125" s="178">
        <v>50</v>
      </c>
      <c r="H125" s="91">
        <v>3399.9</v>
      </c>
      <c r="I125" s="136">
        <f t="shared" si="65"/>
        <v>399.9</v>
      </c>
      <c r="J125" s="136">
        <f t="shared" si="66"/>
        <v>3000</v>
      </c>
      <c r="K125" s="136">
        <f t="shared" si="101"/>
        <v>9997.5</v>
      </c>
      <c r="L125" s="136">
        <f t="shared" si="102"/>
        <v>9997.5</v>
      </c>
      <c r="M125" s="163">
        <f t="shared" si="84"/>
        <v>25</v>
      </c>
      <c r="N125" s="163">
        <f t="shared" ref="N125:N140" si="106">T125-R125</f>
        <v>25</v>
      </c>
      <c r="O125" s="164">
        <f t="shared" si="96"/>
        <v>84997.499999999985</v>
      </c>
      <c r="P125" s="97">
        <f t="shared" si="98"/>
        <v>84997.500000000146</v>
      </c>
      <c r="Q125" s="165"/>
      <c r="R125" s="166">
        <v>1</v>
      </c>
      <c r="S125" s="166">
        <v>24</v>
      </c>
      <c r="T125" s="166">
        <v>26</v>
      </c>
      <c r="U125" s="167">
        <v>81597.599999999991</v>
      </c>
      <c r="V125" s="167">
        <v>88397.40000000014</v>
      </c>
      <c r="AD125" s="248">
        <v>5</v>
      </c>
      <c r="AE125" s="254">
        <v>17679.48</v>
      </c>
      <c r="AF125" s="228" t="s">
        <v>332</v>
      </c>
    </row>
    <row r="126" spans="1:32" s="166" customFormat="1">
      <c r="A126" s="101">
        <v>124</v>
      </c>
      <c r="B126" s="179" t="s">
        <v>433</v>
      </c>
      <c r="C126" s="137" t="s">
        <v>446</v>
      </c>
      <c r="D126" s="134">
        <v>150000</v>
      </c>
      <c r="E126" s="134">
        <f t="shared" si="97"/>
        <v>19995</v>
      </c>
      <c r="F126" s="135">
        <f t="shared" si="105"/>
        <v>169995</v>
      </c>
      <c r="G126" s="178">
        <v>50</v>
      </c>
      <c r="H126" s="91">
        <v>3399.9</v>
      </c>
      <c r="I126" s="136">
        <f t="shared" si="65"/>
        <v>399.9</v>
      </c>
      <c r="J126" s="136">
        <f t="shared" si="66"/>
        <v>3000</v>
      </c>
      <c r="K126" s="136">
        <f t="shared" si="101"/>
        <v>11597.099999999999</v>
      </c>
      <c r="L126" s="136">
        <f t="shared" si="102"/>
        <v>8397.9</v>
      </c>
      <c r="M126" s="163">
        <f t="shared" ref="M126:M140" si="107">S126+R126</f>
        <v>29</v>
      </c>
      <c r="N126" s="163">
        <f t="shared" si="106"/>
        <v>21</v>
      </c>
      <c r="O126" s="164">
        <f t="shared" si="96"/>
        <v>101996.99999999996</v>
      </c>
      <c r="P126" s="97">
        <f t="shared" si="98"/>
        <v>71397.900000000169</v>
      </c>
      <c r="Q126" s="165"/>
      <c r="R126" s="166">
        <v>1</v>
      </c>
      <c r="S126" s="166">
        <v>28</v>
      </c>
      <c r="T126" s="166">
        <v>22</v>
      </c>
      <c r="U126" s="167">
        <v>98597.099999999962</v>
      </c>
      <c r="V126" s="167">
        <v>74797.800000000163</v>
      </c>
      <c r="AD126" s="228">
        <v>6</v>
      </c>
      <c r="AE126" s="254">
        <v>65258.81</v>
      </c>
      <c r="AF126" s="228" t="s">
        <v>771</v>
      </c>
    </row>
    <row r="127" spans="1:32" s="241" customFormat="1">
      <c r="A127" s="101">
        <v>125</v>
      </c>
      <c r="B127" s="232"/>
      <c r="C127" s="233" t="s">
        <v>781</v>
      </c>
      <c r="D127" s="234">
        <v>250000</v>
      </c>
      <c r="E127" s="234">
        <f t="shared" si="97"/>
        <v>33325</v>
      </c>
      <c r="F127" s="235">
        <f t="shared" si="105"/>
        <v>258331.2</v>
      </c>
      <c r="G127" s="236">
        <v>15</v>
      </c>
      <c r="H127" s="237">
        <v>17222.080000000002</v>
      </c>
      <c r="I127" s="136">
        <f t="shared" si="65"/>
        <v>2221.6666666666665</v>
      </c>
      <c r="J127" s="238">
        <f t="shared" si="66"/>
        <v>16666.666666666668</v>
      </c>
      <c r="K127" s="238">
        <f t="shared" si="101"/>
        <v>11108.333333333332</v>
      </c>
      <c r="L127" s="136">
        <f t="shared" si="102"/>
        <v>22216.666666666664</v>
      </c>
      <c r="M127" s="163">
        <f t="shared" si="107"/>
        <v>5</v>
      </c>
      <c r="N127" s="163">
        <f t="shared" si="106"/>
        <v>10</v>
      </c>
      <c r="O127" s="239">
        <v>17222.080000000002</v>
      </c>
      <c r="P127" s="97">
        <f t="shared" si="98"/>
        <v>223887.03999999998</v>
      </c>
      <c r="Q127" s="240"/>
      <c r="R127" s="241">
        <v>1</v>
      </c>
      <c r="S127" s="166">
        <v>4</v>
      </c>
      <c r="T127" s="241">
        <v>11</v>
      </c>
      <c r="U127" s="242">
        <v>17222.080000000002</v>
      </c>
      <c r="V127" s="242">
        <v>241109.12</v>
      </c>
      <c r="AD127" s="248">
        <v>7</v>
      </c>
      <c r="AE127" s="254">
        <v>94279.71</v>
      </c>
      <c r="AF127" s="228" t="s">
        <v>338</v>
      </c>
    </row>
    <row r="128" spans="1:32" s="166" customFormat="1">
      <c r="A128" s="101">
        <v>126</v>
      </c>
      <c r="B128" s="179"/>
      <c r="C128" s="137" t="s">
        <v>579</v>
      </c>
      <c r="D128" s="134">
        <v>150000</v>
      </c>
      <c r="E128" s="134">
        <f t="shared" si="97"/>
        <v>19995</v>
      </c>
      <c r="F128" s="135">
        <f>G128*H128</f>
        <v>169995</v>
      </c>
      <c r="G128" s="178">
        <v>50</v>
      </c>
      <c r="H128" s="91">
        <v>3399.9</v>
      </c>
      <c r="I128" s="136">
        <f t="shared" si="65"/>
        <v>399.9</v>
      </c>
      <c r="J128" s="136">
        <f t="shared" si="66"/>
        <v>3000</v>
      </c>
      <c r="K128" s="136">
        <f>M128*I128</f>
        <v>399.9</v>
      </c>
      <c r="L128" s="136">
        <f t="shared" si="102"/>
        <v>19595.099999999999</v>
      </c>
      <c r="M128" s="163">
        <v>1</v>
      </c>
      <c r="N128" s="163">
        <v>49</v>
      </c>
      <c r="O128" s="164">
        <f t="shared" si="96"/>
        <v>10199.700000000001</v>
      </c>
      <c r="P128" s="97">
        <f>V128-H128</f>
        <v>159795.30000000002</v>
      </c>
      <c r="Q128" s="165"/>
      <c r="R128" s="166">
        <v>1</v>
      </c>
      <c r="S128" s="166">
        <v>1</v>
      </c>
      <c r="T128" s="166">
        <v>49</v>
      </c>
      <c r="U128" s="167">
        <v>6799.8</v>
      </c>
      <c r="V128" s="167">
        <v>163195.20000000001</v>
      </c>
      <c r="AD128" s="228">
        <v>8</v>
      </c>
      <c r="AE128" s="254">
        <v>7479.78</v>
      </c>
      <c r="AF128" s="228" t="s">
        <v>799</v>
      </c>
    </row>
    <row r="129" spans="1:32" s="166" customFormat="1">
      <c r="A129" s="101">
        <v>127</v>
      </c>
      <c r="B129" s="179"/>
      <c r="C129" s="137" t="s">
        <v>496</v>
      </c>
      <c r="D129" s="134">
        <v>150000</v>
      </c>
      <c r="E129" s="134">
        <f>D129*0.1333</f>
        <v>19995</v>
      </c>
      <c r="F129" s="135">
        <f>G129*H129</f>
        <v>169995</v>
      </c>
      <c r="G129" s="162">
        <v>50</v>
      </c>
      <c r="H129" s="91">
        <v>3399.9</v>
      </c>
      <c r="I129" s="136">
        <f t="shared" si="65"/>
        <v>399.9</v>
      </c>
      <c r="J129" s="136">
        <f t="shared" si="66"/>
        <v>3000</v>
      </c>
      <c r="K129" s="136">
        <f t="shared" si="101"/>
        <v>7198.2</v>
      </c>
      <c r="L129" s="136">
        <f t="shared" si="102"/>
        <v>-7198.2</v>
      </c>
      <c r="M129" s="163">
        <f>S129+R129</f>
        <v>18</v>
      </c>
      <c r="N129" s="163">
        <f>T129-R129</f>
        <v>-18</v>
      </c>
      <c r="O129" s="164">
        <f>F129-P129</f>
        <v>92197.199999999953</v>
      </c>
      <c r="P129" s="97">
        <f t="shared" si="98"/>
        <v>77797.800000000047</v>
      </c>
      <c r="Q129" s="180"/>
      <c r="R129" s="166">
        <v>1</v>
      </c>
      <c r="S129" s="166">
        <v>17</v>
      </c>
      <c r="T129" s="166">
        <v>-17</v>
      </c>
      <c r="U129" s="167">
        <v>88797.299999999959</v>
      </c>
      <c r="V129" s="167">
        <v>81197.700000000041</v>
      </c>
      <c r="W129" s="168"/>
      <c r="X129" s="121">
        <f>SUM(H122:H129)</f>
        <v>45101.260000000009</v>
      </c>
      <c r="AD129" s="248">
        <v>9</v>
      </c>
      <c r="AE129" s="255">
        <v>45745.38</v>
      </c>
      <c r="AF129" s="228" t="s">
        <v>786</v>
      </c>
    </row>
    <row r="130" spans="1:32" s="157" customFormat="1">
      <c r="A130" s="101">
        <v>128</v>
      </c>
      <c r="B130" s="181"/>
      <c r="C130" s="147" t="s">
        <v>261</v>
      </c>
      <c r="D130" s="148">
        <v>330000</v>
      </c>
      <c r="E130" s="148">
        <f t="shared" si="97"/>
        <v>43989</v>
      </c>
      <c r="F130" s="149">
        <f t="shared" si="105"/>
        <v>373989</v>
      </c>
      <c r="G130" s="150">
        <v>50</v>
      </c>
      <c r="H130" s="159">
        <v>7479.78</v>
      </c>
      <c r="I130" s="152">
        <f t="shared" si="65"/>
        <v>879.78</v>
      </c>
      <c r="J130" s="152">
        <f t="shared" si="66"/>
        <v>6600</v>
      </c>
      <c r="K130" s="152">
        <f t="shared" si="101"/>
        <v>36070.979999999996</v>
      </c>
      <c r="L130" s="152">
        <f t="shared" si="102"/>
        <v>8797.7999999999993</v>
      </c>
      <c r="M130" s="153">
        <f t="shared" si="107"/>
        <v>41</v>
      </c>
      <c r="N130" s="153">
        <f t="shared" si="106"/>
        <v>10</v>
      </c>
      <c r="O130" s="154">
        <f t="shared" ref="O130:O140" si="108">U130+H130</f>
        <v>299191.20000000013</v>
      </c>
      <c r="P130" s="155">
        <f t="shared" si="98"/>
        <v>74797.799999999756</v>
      </c>
      <c r="Q130" s="156"/>
      <c r="R130" s="157">
        <v>1</v>
      </c>
      <c r="S130" s="157">
        <v>40</v>
      </c>
      <c r="T130" s="157">
        <v>11</v>
      </c>
      <c r="U130" s="158">
        <v>291711.4200000001</v>
      </c>
      <c r="V130" s="158">
        <v>82277.579999999754</v>
      </c>
      <c r="Z130" s="157" t="s">
        <v>775</v>
      </c>
      <c r="AD130" s="228">
        <v>10</v>
      </c>
      <c r="AE130" s="254">
        <v>31379.18</v>
      </c>
      <c r="AF130" s="228" t="s">
        <v>762</v>
      </c>
    </row>
    <row r="131" spans="1:32" s="157" customFormat="1">
      <c r="A131" s="101">
        <v>129</v>
      </c>
      <c r="B131" s="181"/>
      <c r="C131" s="174" t="s">
        <v>389</v>
      </c>
      <c r="D131" s="148">
        <v>150000</v>
      </c>
      <c r="E131" s="148">
        <f t="shared" si="97"/>
        <v>19995</v>
      </c>
      <c r="F131" s="149">
        <f t="shared" si="105"/>
        <v>169995</v>
      </c>
      <c r="G131" s="150">
        <v>50</v>
      </c>
      <c r="H131" s="159">
        <v>3399.9</v>
      </c>
      <c r="I131" s="152">
        <f t="shared" si="65"/>
        <v>399.9</v>
      </c>
      <c r="J131" s="152">
        <f t="shared" si="66"/>
        <v>3000</v>
      </c>
      <c r="K131" s="152">
        <f t="shared" si="101"/>
        <v>15196.199999999999</v>
      </c>
      <c r="L131" s="152">
        <f t="shared" si="102"/>
        <v>5198.7</v>
      </c>
      <c r="M131" s="153">
        <f t="shared" si="107"/>
        <v>38</v>
      </c>
      <c r="N131" s="153">
        <f t="shared" si="106"/>
        <v>13</v>
      </c>
      <c r="O131" s="154">
        <f t="shared" si="108"/>
        <v>125796.2999999999</v>
      </c>
      <c r="P131" s="155">
        <f t="shared" si="98"/>
        <v>44198.700000000164</v>
      </c>
      <c r="Q131" s="156"/>
      <c r="R131" s="157">
        <v>1</v>
      </c>
      <c r="S131" s="157">
        <v>37</v>
      </c>
      <c r="T131" s="157">
        <v>14</v>
      </c>
      <c r="U131" s="158">
        <v>122396.39999999991</v>
      </c>
      <c r="V131" s="158">
        <v>47598.600000000166</v>
      </c>
      <c r="AD131" s="248">
        <v>11</v>
      </c>
      <c r="AE131" s="254">
        <v>31332.75</v>
      </c>
      <c r="AF131" s="228" t="s">
        <v>352</v>
      </c>
    </row>
    <row r="132" spans="1:32" s="157" customFormat="1">
      <c r="A132" s="101">
        <v>130</v>
      </c>
      <c r="B132" s="181"/>
      <c r="C132" s="147" t="s">
        <v>417</v>
      </c>
      <c r="D132" s="148">
        <v>150000</v>
      </c>
      <c r="E132" s="148">
        <f t="shared" ref="E132:E140" si="109">D132*0.1333</f>
        <v>19995</v>
      </c>
      <c r="F132" s="149">
        <f t="shared" si="105"/>
        <v>169995</v>
      </c>
      <c r="G132" s="150">
        <v>50</v>
      </c>
      <c r="H132" s="159">
        <v>3399.9</v>
      </c>
      <c r="I132" s="152">
        <f t="shared" si="65"/>
        <v>399.9</v>
      </c>
      <c r="J132" s="152">
        <f t="shared" si="66"/>
        <v>3000</v>
      </c>
      <c r="K132" s="152">
        <f t="shared" si="101"/>
        <v>11997</v>
      </c>
      <c r="L132" s="152">
        <f t="shared" si="102"/>
        <v>7998</v>
      </c>
      <c r="M132" s="153">
        <f t="shared" si="107"/>
        <v>30</v>
      </c>
      <c r="N132" s="153">
        <f t="shared" si="106"/>
        <v>20</v>
      </c>
      <c r="O132" s="154">
        <f t="shared" si="108"/>
        <v>105396.89999999995</v>
      </c>
      <c r="P132" s="155">
        <f t="shared" si="98"/>
        <v>67998.000000000175</v>
      </c>
      <c r="Q132" s="156"/>
      <c r="R132" s="157">
        <v>1</v>
      </c>
      <c r="S132" s="157">
        <v>29</v>
      </c>
      <c r="T132" s="157">
        <v>21</v>
      </c>
      <c r="U132" s="158">
        <v>101996.99999999996</v>
      </c>
      <c r="V132" s="158">
        <v>71397.900000000169</v>
      </c>
      <c r="AD132" s="228">
        <v>12</v>
      </c>
      <c r="AE132" s="254">
        <v>21759.360000000001</v>
      </c>
      <c r="AF132" s="228" t="s">
        <v>787</v>
      </c>
    </row>
    <row r="133" spans="1:32" s="157" customFormat="1">
      <c r="A133" s="101">
        <v>131</v>
      </c>
      <c r="B133" s="181"/>
      <c r="C133" s="147" t="s">
        <v>740</v>
      </c>
      <c r="D133" s="148">
        <v>330000</v>
      </c>
      <c r="E133" s="148">
        <f t="shared" si="109"/>
        <v>43989</v>
      </c>
      <c r="F133" s="149">
        <f t="shared" si="105"/>
        <v>373989</v>
      </c>
      <c r="G133" s="150">
        <v>50</v>
      </c>
      <c r="H133" s="159">
        <v>7479.78</v>
      </c>
      <c r="I133" s="152">
        <f t="shared" si="65"/>
        <v>879.78</v>
      </c>
      <c r="J133" s="152">
        <f t="shared" si="66"/>
        <v>6600</v>
      </c>
      <c r="K133" s="152">
        <f t="shared" si="101"/>
        <v>4398.8999999999996</v>
      </c>
      <c r="L133" s="152">
        <f t="shared" si="102"/>
        <v>39590.1</v>
      </c>
      <c r="M133" s="153">
        <f t="shared" si="107"/>
        <v>5</v>
      </c>
      <c r="N133" s="153">
        <f t="shared" si="106"/>
        <v>45</v>
      </c>
      <c r="O133" s="154">
        <f t="shared" si="108"/>
        <v>37398.9</v>
      </c>
      <c r="P133" s="155">
        <f t="shared" si="98"/>
        <v>336590.09999999986</v>
      </c>
      <c r="Q133" s="156"/>
      <c r="R133" s="157">
        <v>1</v>
      </c>
      <c r="S133" s="157">
        <v>4</v>
      </c>
      <c r="T133" s="157">
        <v>46</v>
      </c>
      <c r="U133" s="158">
        <v>29919.119999999999</v>
      </c>
      <c r="V133" s="158">
        <v>344069.87999999989</v>
      </c>
      <c r="X133" s="161">
        <f>SUM(H130:H133)</f>
        <v>21759.360000000001</v>
      </c>
      <c r="AD133" s="248">
        <v>13</v>
      </c>
      <c r="AE133" s="254">
        <v>144693.41</v>
      </c>
      <c r="AF133" s="228" t="s">
        <v>764</v>
      </c>
    </row>
    <row r="134" spans="1:32" s="166" customFormat="1">
      <c r="A134" s="101">
        <v>132</v>
      </c>
      <c r="B134" s="179"/>
      <c r="C134" s="137" t="s">
        <v>724</v>
      </c>
      <c r="D134" s="134">
        <v>150000</v>
      </c>
      <c r="E134" s="134">
        <f t="shared" si="109"/>
        <v>19995</v>
      </c>
      <c r="F134" s="135">
        <f t="shared" ref="F134:F140" si="110">G134*H134</f>
        <v>169995</v>
      </c>
      <c r="G134" s="162">
        <v>50</v>
      </c>
      <c r="H134" s="91">
        <v>3399.9</v>
      </c>
      <c r="I134" s="136">
        <f t="shared" si="65"/>
        <v>399.9</v>
      </c>
      <c r="J134" s="136">
        <f t="shared" si="66"/>
        <v>3000</v>
      </c>
      <c r="K134" s="136">
        <f t="shared" si="101"/>
        <v>4398.8999999999996</v>
      </c>
      <c r="L134" s="136">
        <f t="shared" si="102"/>
        <v>15596.099999999999</v>
      </c>
      <c r="M134" s="163">
        <f t="shared" si="107"/>
        <v>11</v>
      </c>
      <c r="N134" s="163">
        <f t="shared" si="106"/>
        <v>39</v>
      </c>
      <c r="O134" s="164">
        <f t="shared" si="108"/>
        <v>37398.900000000009</v>
      </c>
      <c r="P134" s="97">
        <f t="shared" si="98"/>
        <v>132596.10000000006</v>
      </c>
      <c r="Q134" s="165"/>
      <c r="R134" s="166">
        <v>1</v>
      </c>
      <c r="S134" s="166">
        <v>10</v>
      </c>
      <c r="T134" s="166">
        <v>40</v>
      </c>
      <c r="U134" s="167">
        <v>33999.000000000007</v>
      </c>
      <c r="V134" s="167">
        <v>135996.00000000006</v>
      </c>
      <c r="AD134" s="166">
        <v>14</v>
      </c>
      <c r="AE134" s="168">
        <v>73024.58</v>
      </c>
      <c r="AF134" s="166" t="s">
        <v>767</v>
      </c>
    </row>
    <row r="135" spans="1:32" s="166" customFormat="1">
      <c r="A135" s="101">
        <v>133</v>
      </c>
      <c r="B135" s="179"/>
      <c r="C135" s="137" t="s">
        <v>745</v>
      </c>
      <c r="D135" s="134">
        <v>150000</v>
      </c>
      <c r="E135" s="134">
        <f t="shared" si="109"/>
        <v>19995</v>
      </c>
      <c r="F135" s="135">
        <f t="shared" si="110"/>
        <v>339990</v>
      </c>
      <c r="G135" s="162">
        <v>50</v>
      </c>
      <c r="H135" s="91">
        <v>6799.8</v>
      </c>
      <c r="I135" s="136">
        <f t="shared" si="65"/>
        <v>399.9</v>
      </c>
      <c r="J135" s="136">
        <f t="shared" si="66"/>
        <v>3000</v>
      </c>
      <c r="K135" s="136">
        <f t="shared" si="101"/>
        <v>1599.6</v>
      </c>
      <c r="L135" s="136">
        <f t="shared" si="102"/>
        <v>18395.399999999998</v>
      </c>
      <c r="M135" s="163">
        <f t="shared" si="107"/>
        <v>4</v>
      </c>
      <c r="N135" s="163">
        <f t="shared" si="106"/>
        <v>46</v>
      </c>
      <c r="O135" s="164">
        <f t="shared" si="108"/>
        <v>16999.5</v>
      </c>
      <c r="P135" s="97">
        <f t="shared" si="98"/>
        <v>152995.50000000003</v>
      </c>
      <c r="Q135" s="165"/>
      <c r="R135" s="166">
        <v>1</v>
      </c>
      <c r="S135" s="166">
        <v>3</v>
      </c>
      <c r="T135" s="166">
        <v>47</v>
      </c>
      <c r="U135" s="167">
        <v>10199.700000000001</v>
      </c>
      <c r="V135" s="167">
        <v>159795.30000000002</v>
      </c>
      <c r="X135" s="138">
        <f>SUM(H134:H135)</f>
        <v>10199.700000000001</v>
      </c>
      <c r="Z135" s="166" t="s">
        <v>784</v>
      </c>
      <c r="AD135" s="248">
        <v>15</v>
      </c>
      <c r="AE135" s="254">
        <v>80497.83</v>
      </c>
      <c r="AF135" s="228" t="s">
        <v>768</v>
      </c>
    </row>
    <row r="136" spans="1:32" s="157" customFormat="1">
      <c r="A136" s="101">
        <v>134</v>
      </c>
      <c r="B136" s="181"/>
      <c r="C136" s="147" t="s">
        <v>419</v>
      </c>
      <c r="D136" s="148">
        <v>330000</v>
      </c>
      <c r="E136" s="148">
        <f t="shared" si="109"/>
        <v>43989</v>
      </c>
      <c r="F136" s="149">
        <f t="shared" si="110"/>
        <v>373989</v>
      </c>
      <c r="G136" s="177">
        <v>50</v>
      </c>
      <c r="H136" s="159">
        <v>7479.78</v>
      </c>
      <c r="I136" s="152">
        <f t="shared" si="65"/>
        <v>879.78</v>
      </c>
      <c r="J136" s="152">
        <f t="shared" si="66"/>
        <v>6600</v>
      </c>
      <c r="K136" s="152">
        <f t="shared" si="101"/>
        <v>26393.399999999998</v>
      </c>
      <c r="L136" s="152">
        <f t="shared" si="102"/>
        <v>17595.599999999999</v>
      </c>
      <c r="M136" s="153">
        <f t="shared" si="107"/>
        <v>30</v>
      </c>
      <c r="N136" s="153">
        <f t="shared" si="106"/>
        <v>20</v>
      </c>
      <c r="O136" s="154">
        <f t="shared" si="108"/>
        <v>224393.4</v>
      </c>
      <c r="P136" s="155">
        <f t="shared" si="98"/>
        <v>149595.59999999963</v>
      </c>
      <c r="Q136" s="156"/>
      <c r="R136" s="157">
        <v>1</v>
      </c>
      <c r="S136" s="157">
        <v>29</v>
      </c>
      <c r="T136" s="157">
        <v>21</v>
      </c>
      <c r="U136" s="158">
        <v>216913.62</v>
      </c>
      <c r="V136" s="158">
        <v>157075.37999999963</v>
      </c>
      <c r="AD136" s="228">
        <v>16</v>
      </c>
      <c r="AE136" s="254">
        <v>100977.03</v>
      </c>
      <c r="AF136" s="228" t="s">
        <v>770</v>
      </c>
    </row>
    <row r="137" spans="1:32" s="157" customFormat="1">
      <c r="A137" s="101">
        <v>135</v>
      </c>
      <c r="B137" s="181"/>
      <c r="C137" s="147" t="s">
        <v>705</v>
      </c>
      <c r="D137" s="148">
        <v>450000</v>
      </c>
      <c r="E137" s="148">
        <f t="shared" si="109"/>
        <v>59985</v>
      </c>
      <c r="F137" s="149">
        <f t="shared" si="110"/>
        <v>509985.00000000006</v>
      </c>
      <c r="G137" s="177">
        <v>50</v>
      </c>
      <c r="H137" s="182">
        <v>10199.700000000001</v>
      </c>
      <c r="I137" s="152">
        <f t="shared" ref="I137:I140" si="111">E137/G137</f>
        <v>1199.7</v>
      </c>
      <c r="J137" s="152">
        <f t="shared" ref="J137:J140" si="112">D137/G137</f>
        <v>9000</v>
      </c>
      <c r="K137" s="152">
        <f t="shared" si="101"/>
        <v>17995.5</v>
      </c>
      <c r="L137" s="152">
        <f t="shared" si="102"/>
        <v>41989.5</v>
      </c>
      <c r="M137" s="153">
        <f t="shared" si="107"/>
        <v>15</v>
      </c>
      <c r="N137" s="153">
        <f t="shared" si="106"/>
        <v>35</v>
      </c>
      <c r="O137" s="154">
        <f t="shared" si="108"/>
        <v>152995.5</v>
      </c>
      <c r="P137" s="155">
        <f t="shared" si="98"/>
        <v>356989.49999999983</v>
      </c>
      <c r="Q137" s="156"/>
      <c r="R137" s="157">
        <v>1</v>
      </c>
      <c r="S137" s="157">
        <v>14</v>
      </c>
      <c r="T137" s="157">
        <v>36</v>
      </c>
      <c r="U137" s="158">
        <v>142795.79999999999</v>
      </c>
      <c r="V137" s="158">
        <v>367189.19999999984</v>
      </c>
      <c r="X137" s="161">
        <f>SUM(H136:H137)</f>
        <v>17679.48</v>
      </c>
      <c r="Z137" s="157" t="s">
        <v>332</v>
      </c>
      <c r="AD137" s="248">
        <v>17</v>
      </c>
      <c r="AE137" s="254">
        <v>118654.26</v>
      </c>
      <c r="AF137" s="228" t="s">
        <v>773</v>
      </c>
    </row>
    <row r="138" spans="1:32">
      <c r="A138" s="101">
        <v>136</v>
      </c>
      <c r="B138" s="80"/>
      <c r="C138" s="34" t="s">
        <v>702</v>
      </c>
      <c r="D138" s="17">
        <v>450000</v>
      </c>
      <c r="E138" s="17">
        <f t="shared" si="109"/>
        <v>59985</v>
      </c>
      <c r="F138" s="18">
        <f t="shared" si="110"/>
        <v>509985.99999999994</v>
      </c>
      <c r="G138" s="22">
        <v>50</v>
      </c>
      <c r="H138" s="100">
        <v>10199.719999999999</v>
      </c>
      <c r="I138" s="11">
        <f t="shared" si="111"/>
        <v>1199.7</v>
      </c>
      <c r="J138" s="11">
        <f t="shared" si="112"/>
        <v>9000</v>
      </c>
      <c r="K138" s="11">
        <f t="shared" si="101"/>
        <v>19195.2</v>
      </c>
      <c r="L138" s="11">
        <f t="shared" si="102"/>
        <v>40789.800000000003</v>
      </c>
      <c r="M138" s="27">
        <f t="shared" si="107"/>
        <v>16</v>
      </c>
      <c r="N138" s="27">
        <f t="shared" si="106"/>
        <v>34</v>
      </c>
      <c r="O138" s="28">
        <f t="shared" si="108"/>
        <v>173394.99999999997</v>
      </c>
      <c r="P138" s="97">
        <f t="shared" si="98"/>
        <v>346789.7</v>
      </c>
      <c r="Q138" s="30"/>
      <c r="R138">
        <v>1</v>
      </c>
      <c r="S138">
        <v>15</v>
      </c>
      <c r="T138">
        <v>35</v>
      </c>
      <c r="U138" s="5">
        <v>163195.27999999997</v>
      </c>
      <c r="V138" s="5">
        <v>356989.42</v>
      </c>
      <c r="Z138" t="s">
        <v>355</v>
      </c>
      <c r="AD138" s="228">
        <v>18</v>
      </c>
      <c r="AE138" s="254">
        <v>45101.26</v>
      </c>
      <c r="AF138" s="228" t="s">
        <v>788</v>
      </c>
    </row>
    <row r="139" spans="1:32">
      <c r="A139" s="101">
        <v>137</v>
      </c>
      <c r="B139" s="80"/>
      <c r="C139" s="34" t="s">
        <v>455</v>
      </c>
      <c r="D139" s="17">
        <v>330000</v>
      </c>
      <c r="E139" s="17">
        <f t="shared" si="109"/>
        <v>43989</v>
      </c>
      <c r="F139" s="18">
        <f t="shared" si="110"/>
        <v>373989</v>
      </c>
      <c r="G139" s="23">
        <v>50</v>
      </c>
      <c r="H139" s="89">
        <v>7479.78</v>
      </c>
      <c r="I139" s="11">
        <f t="shared" si="111"/>
        <v>879.78</v>
      </c>
      <c r="J139" s="11">
        <f t="shared" si="112"/>
        <v>6600</v>
      </c>
      <c r="K139" s="11">
        <f t="shared" si="101"/>
        <v>23754.059999999998</v>
      </c>
      <c r="L139" s="11">
        <f t="shared" si="102"/>
        <v>20234.939999999999</v>
      </c>
      <c r="M139" s="27">
        <f t="shared" si="107"/>
        <v>27</v>
      </c>
      <c r="N139" s="27">
        <f t="shared" si="106"/>
        <v>23</v>
      </c>
      <c r="O139" s="28">
        <f t="shared" si="108"/>
        <v>209433.84</v>
      </c>
      <c r="P139" s="97">
        <f t="shared" si="98"/>
        <v>172034.93999999962</v>
      </c>
      <c r="Q139" s="29"/>
      <c r="R139">
        <v>1</v>
      </c>
      <c r="S139">
        <v>26</v>
      </c>
      <c r="T139">
        <v>24</v>
      </c>
      <c r="U139" s="5">
        <v>201954.06</v>
      </c>
      <c r="V139" s="5">
        <v>179514.71999999962</v>
      </c>
      <c r="AD139" s="248">
        <v>19</v>
      </c>
      <c r="AE139" s="254">
        <v>10199.700000000001</v>
      </c>
      <c r="AF139" s="228" t="s">
        <v>784</v>
      </c>
    </row>
    <row r="140" spans="1:32">
      <c r="A140" s="101">
        <v>138</v>
      </c>
      <c r="B140" s="80"/>
      <c r="C140" s="34" t="s">
        <v>725</v>
      </c>
      <c r="D140" s="17">
        <v>150000</v>
      </c>
      <c r="E140" s="17">
        <f t="shared" si="109"/>
        <v>19995</v>
      </c>
      <c r="F140" s="18">
        <f t="shared" si="110"/>
        <v>169995</v>
      </c>
      <c r="G140" s="23">
        <v>50</v>
      </c>
      <c r="H140" s="89">
        <v>3399.9</v>
      </c>
      <c r="I140" s="11">
        <f t="shared" si="111"/>
        <v>399.9</v>
      </c>
      <c r="J140" s="11">
        <f t="shared" si="112"/>
        <v>3000</v>
      </c>
      <c r="K140" s="11">
        <f t="shared" si="101"/>
        <v>4398.8999999999996</v>
      </c>
      <c r="L140" s="11">
        <f t="shared" si="102"/>
        <v>15596.099999999999</v>
      </c>
      <c r="M140" s="27">
        <f t="shared" si="107"/>
        <v>11</v>
      </c>
      <c r="N140" s="27">
        <f t="shared" si="106"/>
        <v>39</v>
      </c>
      <c r="O140" s="28">
        <f t="shared" si="108"/>
        <v>37398.900000000009</v>
      </c>
      <c r="P140" s="97">
        <f t="shared" si="98"/>
        <v>132596.10000000006</v>
      </c>
      <c r="Q140" s="29"/>
      <c r="R140">
        <v>1</v>
      </c>
      <c r="S140">
        <v>10</v>
      </c>
      <c r="T140">
        <v>40</v>
      </c>
      <c r="U140" s="5">
        <v>33999.000000000007</v>
      </c>
      <c r="V140" s="5">
        <v>135996.00000000006</v>
      </c>
      <c r="X140" s="161">
        <f>SUM(H138:H140)</f>
        <v>21079.4</v>
      </c>
      <c r="AD140" s="228">
        <v>20</v>
      </c>
      <c r="AE140" s="254">
        <v>21079.4</v>
      </c>
      <c r="AF140" s="228" t="s">
        <v>355</v>
      </c>
    </row>
    <row r="141" spans="1:32">
      <c r="A141" s="257" t="s">
        <v>163</v>
      </c>
      <c r="B141" s="258"/>
      <c r="C141" s="258"/>
      <c r="D141" s="258"/>
      <c r="E141" s="258"/>
      <c r="F141" s="259"/>
      <c r="G141" s="45"/>
      <c r="H141" s="90">
        <f>SUM(H3:H140)</f>
        <v>1045244.6500000019</v>
      </c>
      <c r="I141" s="11"/>
      <c r="J141" s="11"/>
      <c r="K141" s="11"/>
      <c r="L141" s="11"/>
      <c r="M141" s="29"/>
      <c r="N141" s="30"/>
      <c r="O141" s="28">
        <f>SUM(O3:O140)</f>
        <v>20008860.199999996</v>
      </c>
      <c r="P141" s="98">
        <f>SUM(P3:P140)</f>
        <v>30758542.639999993</v>
      </c>
      <c r="Q141" s="30"/>
      <c r="U141" s="5">
        <v>33236523.09000003</v>
      </c>
      <c r="V141" s="5">
        <v>26096986.569999974</v>
      </c>
      <c r="AE141" s="49">
        <f>AE140+AE139+AE138+AE137+AE136+AE135+AE133+AE132+AE131+AE130+AE129+AE128+AE127+AE126+AE125+AE124+AE123+AE122+AE121+AE134</f>
        <v>1065724.0500000003</v>
      </c>
    </row>
    <row r="142" spans="1:32">
      <c r="H142" s="94">
        <v>1045244.65</v>
      </c>
      <c r="I142" s="11"/>
      <c r="J142" s="11"/>
      <c r="K142" s="86"/>
      <c r="L142" s="86"/>
    </row>
    <row r="143" spans="1:32">
      <c r="H143" s="95">
        <f>H142-H141</f>
        <v>-1.862645149230957E-9</v>
      </c>
      <c r="I143" s="11"/>
      <c r="J143" s="11"/>
      <c r="K143" s="86"/>
      <c r="L143" s="86"/>
    </row>
    <row r="144" spans="1:32">
      <c r="I144" s="37"/>
      <c r="J144" s="37"/>
      <c r="K144" s="37"/>
      <c r="L144" s="37"/>
    </row>
    <row r="147" spans="1:24" s="157" customFormat="1">
      <c r="A147" s="101">
        <v>35</v>
      </c>
      <c r="B147" s="146"/>
      <c r="C147" s="196" t="s">
        <v>760</v>
      </c>
      <c r="D147" s="148">
        <v>500000</v>
      </c>
      <c r="E147" s="148">
        <f>D147*0.1333</f>
        <v>66650</v>
      </c>
      <c r="F147" s="149">
        <f>G147*H147</f>
        <v>509985.00000000006</v>
      </c>
      <c r="G147" s="150">
        <v>50</v>
      </c>
      <c r="H147" s="159">
        <v>10199.700000000001</v>
      </c>
      <c r="I147" s="152">
        <f>E147/G147</f>
        <v>1333</v>
      </c>
      <c r="J147" s="152">
        <f>D147/G147</f>
        <v>10000</v>
      </c>
      <c r="K147" s="152">
        <f>M147*I147</f>
        <v>3999</v>
      </c>
      <c r="L147" s="152">
        <f>I147*N147</f>
        <v>65317</v>
      </c>
      <c r="M147" s="153">
        <f>S147+R147</f>
        <v>3</v>
      </c>
      <c r="N147" s="153">
        <v>49</v>
      </c>
      <c r="O147" s="154">
        <f>U147+H147</f>
        <v>20399.400000000001</v>
      </c>
      <c r="P147" s="155">
        <v>505225.67</v>
      </c>
      <c r="Q147" s="156"/>
      <c r="R147" s="157">
        <v>1</v>
      </c>
      <c r="S147" s="157">
        <v>2</v>
      </c>
      <c r="T147" s="157">
        <v>49</v>
      </c>
      <c r="U147" s="158">
        <v>10199.700000000001</v>
      </c>
      <c r="V147" s="160">
        <v>505225.67</v>
      </c>
      <c r="X147" s="161">
        <f>SUM(H14:H147)</f>
        <v>3037476.3400000022</v>
      </c>
    </row>
    <row r="151" spans="1:24" s="166" customFormat="1">
      <c r="A151" s="101">
        <v>156</v>
      </c>
      <c r="B151" s="179"/>
      <c r="C151" s="137" t="s">
        <v>246</v>
      </c>
      <c r="D151" s="134">
        <v>330000</v>
      </c>
      <c r="E151" s="134">
        <f>D151*0.1333</f>
        <v>43989</v>
      </c>
      <c r="F151" s="135">
        <f>G151*H151</f>
        <v>373989</v>
      </c>
      <c r="G151" s="178">
        <v>50</v>
      </c>
      <c r="H151" s="91">
        <v>7479.78</v>
      </c>
      <c r="I151" s="136">
        <f>E151/G151</f>
        <v>879.78</v>
      </c>
      <c r="J151" s="136">
        <f>D151/G151</f>
        <v>6600</v>
      </c>
      <c r="K151" s="136">
        <f>M151*I151</f>
        <v>39590.1</v>
      </c>
      <c r="L151" s="136">
        <f>I151*N151</f>
        <v>5278.68</v>
      </c>
      <c r="M151" s="163">
        <f>S151+R151</f>
        <v>45</v>
      </c>
      <c r="N151" s="163">
        <f>T151-R151</f>
        <v>6</v>
      </c>
      <c r="O151" s="164">
        <f>U151+H151</f>
        <v>329110.32000000024</v>
      </c>
      <c r="P151" s="97">
        <f>V151-H151</f>
        <v>44878.679999999877</v>
      </c>
      <c r="Q151" s="165" t="s">
        <v>748</v>
      </c>
      <c r="R151" s="166">
        <v>1</v>
      </c>
      <c r="S151" s="166">
        <v>44</v>
      </c>
      <c r="T151" s="166">
        <v>7</v>
      </c>
      <c r="U151" s="167">
        <v>321630.54000000021</v>
      </c>
      <c r="V151" s="167">
        <v>52358.459999999875</v>
      </c>
      <c r="W151" s="166" t="s">
        <v>776</v>
      </c>
    </row>
    <row r="156" spans="1:24">
      <c r="B156" s="194">
        <v>0</v>
      </c>
      <c r="C156" s="216" t="s">
        <v>451</v>
      </c>
      <c r="D156" s="184">
        <v>330000</v>
      </c>
      <c r="E156" s="184">
        <f>D156*0.1333</f>
        <v>43989</v>
      </c>
      <c r="F156" s="185">
        <f t="shared" ref="F156:F161" si="113">G156*H156</f>
        <v>296994.5</v>
      </c>
      <c r="G156" s="195">
        <v>25</v>
      </c>
      <c r="H156" s="186">
        <v>11879.78</v>
      </c>
      <c r="I156" s="187">
        <f>E156/G156</f>
        <v>1759.56</v>
      </c>
      <c r="J156" s="187">
        <f>D156/G156</f>
        <v>13200</v>
      </c>
      <c r="K156" s="187">
        <f>M156*I156</f>
        <v>47508.119999999995</v>
      </c>
      <c r="L156" s="187">
        <f>I156*N156</f>
        <v>40469.879999999997</v>
      </c>
      <c r="M156" s="188">
        <f>S156+R156</f>
        <v>27</v>
      </c>
      <c r="N156" s="188">
        <f>T156-R156</f>
        <v>23</v>
      </c>
      <c r="O156" s="189">
        <f>U156+H156</f>
        <v>320754.06000000011</v>
      </c>
      <c r="P156" s="190">
        <f>V156-H156</f>
        <v>35639.339999999909</v>
      </c>
      <c r="Q156" s="191"/>
      <c r="R156" s="192">
        <v>1</v>
      </c>
      <c r="S156" s="192">
        <v>26</v>
      </c>
      <c r="T156" s="192">
        <v>24</v>
      </c>
      <c r="U156" s="193">
        <v>308874.28000000009</v>
      </c>
      <c r="V156" s="193">
        <v>47519.119999999908</v>
      </c>
    </row>
    <row r="157" spans="1:24">
      <c r="B157" s="146">
        <v>0</v>
      </c>
      <c r="C157" s="147" t="s">
        <v>210</v>
      </c>
      <c r="D157" s="148">
        <v>330000</v>
      </c>
      <c r="E157" s="148">
        <f>D157*0.1333</f>
        <v>43989</v>
      </c>
      <c r="F157" s="149">
        <f t="shared" si="113"/>
        <v>934996.99999999988</v>
      </c>
      <c r="G157" s="150">
        <v>50</v>
      </c>
      <c r="H157" s="159">
        <v>18699.939999999999</v>
      </c>
      <c r="I157" s="152">
        <f>E157/G157</f>
        <v>879.78</v>
      </c>
      <c r="J157" s="152">
        <f>D157/G157</f>
        <v>6600</v>
      </c>
      <c r="K157" s="152">
        <f>M157*I157</f>
        <v>39590.1</v>
      </c>
      <c r="L157" s="152">
        <f>I157*N157</f>
        <v>5278.68</v>
      </c>
      <c r="M157" s="153">
        <f>S157+R157</f>
        <v>45</v>
      </c>
      <c r="N157" s="153">
        <f>T157-R157</f>
        <v>6</v>
      </c>
      <c r="O157" s="154">
        <f>U157+H157</f>
        <v>340330.48000000021</v>
      </c>
      <c r="P157" s="155">
        <f>V157-H157</f>
        <v>33658.519999999873</v>
      </c>
      <c r="Q157" s="156" t="s">
        <v>746</v>
      </c>
      <c r="R157" s="157">
        <v>1</v>
      </c>
      <c r="S157" s="157">
        <v>44</v>
      </c>
      <c r="T157" s="157">
        <v>7</v>
      </c>
      <c r="U157" s="158">
        <v>321630.54000000021</v>
      </c>
      <c r="V157" s="158">
        <v>52358.459999999875</v>
      </c>
      <c r="W157" t="s">
        <v>351</v>
      </c>
    </row>
    <row r="158" spans="1:24" s="143" customFormat="1">
      <c r="A158" s="101">
        <v>129</v>
      </c>
      <c r="B158" s="102">
        <v>0</v>
      </c>
      <c r="C158" s="116" t="s">
        <v>454</v>
      </c>
      <c r="D158" s="104">
        <v>330000</v>
      </c>
      <c r="E158" s="104">
        <f>D158*0.1333</f>
        <v>43989</v>
      </c>
      <c r="F158" s="105">
        <f t="shared" si="113"/>
        <v>0</v>
      </c>
      <c r="G158" s="176">
        <v>24</v>
      </c>
      <c r="H158" s="118">
        <v>0</v>
      </c>
      <c r="I158" s="107">
        <v>0</v>
      </c>
      <c r="J158" s="107">
        <v>0</v>
      </c>
      <c r="K158" s="107">
        <v>0</v>
      </c>
      <c r="L158" s="107">
        <f>I158*N158</f>
        <v>0</v>
      </c>
      <c r="M158" s="140">
        <f>S158+R158</f>
        <v>27</v>
      </c>
      <c r="N158" s="140">
        <v>0</v>
      </c>
      <c r="O158" s="141">
        <v>0</v>
      </c>
      <c r="P158" s="110">
        <v>0</v>
      </c>
      <c r="Q158" s="142" t="s">
        <v>746</v>
      </c>
      <c r="R158" s="143">
        <v>1</v>
      </c>
      <c r="S158" s="143">
        <v>26</v>
      </c>
      <c r="T158" s="143">
        <v>0</v>
      </c>
      <c r="U158" s="144">
        <v>0</v>
      </c>
      <c r="V158" s="145">
        <v>0</v>
      </c>
    </row>
    <row r="159" spans="1:24" s="157" customFormat="1">
      <c r="A159" s="101">
        <v>31</v>
      </c>
      <c r="B159" s="146"/>
      <c r="C159" s="147" t="s">
        <v>727</v>
      </c>
      <c r="D159" s="148">
        <v>450000</v>
      </c>
      <c r="E159" s="148">
        <f>D159*0.09</f>
        <v>40500</v>
      </c>
      <c r="F159" s="149">
        <f t="shared" si="113"/>
        <v>478800</v>
      </c>
      <c r="G159" s="150">
        <v>24</v>
      </c>
      <c r="H159" s="159">
        <v>19950</v>
      </c>
      <c r="I159" s="152">
        <f>E159/G159</f>
        <v>1687.5</v>
      </c>
      <c r="J159" s="152">
        <f>D159/G159</f>
        <v>18750</v>
      </c>
      <c r="K159" s="152">
        <f>M159*I159</f>
        <v>15187.5</v>
      </c>
      <c r="L159" s="152">
        <f>I159*N159</f>
        <v>69187.5</v>
      </c>
      <c r="M159" s="153">
        <f>S159+R159</f>
        <v>9</v>
      </c>
      <c r="N159" s="153">
        <f>T159-R159</f>
        <v>41</v>
      </c>
      <c r="O159" s="154">
        <f>U159+H159</f>
        <v>179550</v>
      </c>
      <c r="P159" s="155">
        <f>V159-H159</f>
        <v>299250</v>
      </c>
      <c r="Q159" s="156"/>
      <c r="R159" s="157">
        <v>1</v>
      </c>
      <c r="S159" s="157">
        <v>8</v>
      </c>
      <c r="T159" s="157">
        <v>42</v>
      </c>
      <c r="U159" s="158">
        <v>159600</v>
      </c>
      <c r="V159" s="158">
        <v>319200</v>
      </c>
      <c r="W159" s="157" t="s">
        <v>783</v>
      </c>
    </row>
    <row r="160" spans="1:24" s="157" customFormat="1">
      <c r="A160" s="101">
        <v>28</v>
      </c>
      <c r="B160" s="146">
        <v>0</v>
      </c>
      <c r="C160" s="147" t="s">
        <v>690</v>
      </c>
      <c r="D160" s="148">
        <v>450000</v>
      </c>
      <c r="E160" s="148">
        <f t="shared" ref="E160" si="114">D160*0.09</f>
        <v>40500</v>
      </c>
      <c r="F160" s="149">
        <f t="shared" si="113"/>
        <v>0</v>
      </c>
      <c r="G160" s="150">
        <v>50</v>
      </c>
      <c r="H160" s="159">
        <v>0</v>
      </c>
      <c r="I160" s="152">
        <f t="shared" ref="I160" si="115">E160/G160</f>
        <v>810</v>
      </c>
      <c r="J160" s="152">
        <f t="shared" ref="J160" si="116">D160/G160</f>
        <v>9000</v>
      </c>
      <c r="K160" s="152">
        <f t="shared" ref="K160" si="117">M160*I160</f>
        <v>14580</v>
      </c>
      <c r="L160" s="152">
        <f t="shared" ref="L160" si="118">I160*N160</f>
        <v>25920</v>
      </c>
      <c r="M160" s="153">
        <f t="shared" ref="M160" si="119">S160+R160</f>
        <v>18</v>
      </c>
      <c r="N160" s="153">
        <f t="shared" ref="N160" si="120">T160-R160</f>
        <v>32</v>
      </c>
      <c r="O160" s="154">
        <f t="shared" ref="O160" si="121">U160+H160</f>
        <v>0</v>
      </c>
      <c r="P160" s="155">
        <f t="shared" ref="P160" si="122">V160-H160</f>
        <v>0</v>
      </c>
      <c r="Q160" s="156" t="s">
        <v>748</v>
      </c>
      <c r="R160" s="157">
        <v>1</v>
      </c>
      <c r="S160" s="157">
        <v>17</v>
      </c>
      <c r="T160" s="157">
        <v>33</v>
      </c>
      <c r="U160" s="158">
        <v>0</v>
      </c>
      <c r="V160" s="158">
        <v>0</v>
      </c>
    </row>
    <row r="161" spans="1:32" s="192" customFormat="1">
      <c r="A161" s="251">
        <v>131</v>
      </c>
      <c r="B161" s="194"/>
      <c r="C161" s="183" t="s">
        <v>498</v>
      </c>
      <c r="D161" s="184">
        <v>150000</v>
      </c>
      <c r="E161" s="184">
        <f>D161*0.1333</f>
        <v>19995</v>
      </c>
      <c r="F161" s="185">
        <f t="shared" si="113"/>
        <v>169995</v>
      </c>
      <c r="G161" s="252">
        <v>25</v>
      </c>
      <c r="H161" s="186">
        <v>6799.8</v>
      </c>
      <c r="I161" s="187">
        <f>E161/G161</f>
        <v>799.8</v>
      </c>
      <c r="J161" s="187">
        <f>D161/G161</f>
        <v>6000</v>
      </c>
      <c r="K161" s="187">
        <f>M161*I161</f>
        <v>16795.8</v>
      </c>
      <c r="L161" s="187">
        <f>I161*N161</f>
        <v>23194.199999999997</v>
      </c>
      <c r="M161" s="188">
        <f>S161+R161</f>
        <v>21</v>
      </c>
      <c r="N161" s="188">
        <f>T161-R161</f>
        <v>29</v>
      </c>
      <c r="O161" s="189">
        <f>U161+H161</f>
        <v>142795.80000000002</v>
      </c>
      <c r="P161" s="190">
        <f>V161-H161</f>
        <v>26699.200000000015</v>
      </c>
      <c r="Q161" s="191"/>
      <c r="R161" s="192">
        <v>1</v>
      </c>
      <c r="S161" s="192">
        <v>20</v>
      </c>
      <c r="T161" s="192">
        <v>30</v>
      </c>
      <c r="U161" s="193">
        <v>135996.00000000003</v>
      </c>
      <c r="V161" s="253">
        <v>33499.000000000015</v>
      </c>
      <c r="W161" s="192" t="s">
        <v>773</v>
      </c>
    </row>
    <row r="162" spans="1:32" s="166" customFormat="1">
      <c r="A162" s="101">
        <v>38</v>
      </c>
      <c r="B162" s="133">
        <v>0</v>
      </c>
      <c r="C162" s="137" t="s">
        <v>201</v>
      </c>
      <c r="D162" s="134">
        <v>330000</v>
      </c>
      <c r="E162" s="134">
        <f>D162*0.1333</f>
        <v>43989</v>
      </c>
      <c r="F162" s="135">
        <f>G162*H162</f>
        <v>1121967</v>
      </c>
      <c r="G162" s="162">
        <v>50</v>
      </c>
      <c r="H162" s="91">
        <v>22439.34</v>
      </c>
      <c r="I162" s="136">
        <f>E162/G162</f>
        <v>879.78</v>
      </c>
      <c r="J162" s="136">
        <f>D162/G162</f>
        <v>6600</v>
      </c>
      <c r="K162" s="136">
        <f>M162*I162</f>
        <v>38710.32</v>
      </c>
      <c r="L162" s="136">
        <f>I162*N162</f>
        <v>6158.46</v>
      </c>
      <c r="M162" s="163">
        <f>S162+R162</f>
        <v>44</v>
      </c>
      <c r="N162" s="163">
        <f>T162-R162</f>
        <v>7</v>
      </c>
      <c r="O162" s="164">
        <f>U162+H162</f>
        <v>336590.10000000021</v>
      </c>
      <c r="P162" s="97">
        <f>V162-H162</f>
        <v>0</v>
      </c>
      <c r="Q162" s="165"/>
      <c r="R162" s="166">
        <v>1</v>
      </c>
      <c r="S162" s="166">
        <v>43</v>
      </c>
      <c r="T162" s="166">
        <v>8</v>
      </c>
      <c r="U162" s="167">
        <v>314150.76000000018</v>
      </c>
      <c r="V162" s="167">
        <v>22439.34</v>
      </c>
    </row>
    <row r="163" spans="1:32" s="157" customFormat="1">
      <c r="A163" s="101">
        <v>163</v>
      </c>
      <c r="B163" s="181"/>
      <c r="C163" s="147" t="s">
        <v>253</v>
      </c>
      <c r="D163" s="148">
        <v>330000</v>
      </c>
      <c r="E163" s="148">
        <f>D163*0.1333</f>
        <v>43989</v>
      </c>
      <c r="F163" s="149">
        <f>G163*H163</f>
        <v>373989</v>
      </c>
      <c r="G163" s="177">
        <v>50</v>
      </c>
      <c r="H163" s="159">
        <v>7479.78</v>
      </c>
      <c r="I163" s="152">
        <f>E163/G163</f>
        <v>879.78</v>
      </c>
      <c r="J163" s="152">
        <f>D163/G163</f>
        <v>6600</v>
      </c>
      <c r="K163" s="152">
        <f>M163*I163</f>
        <v>45748.56</v>
      </c>
      <c r="L163" s="152">
        <f>I163*N163</f>
        <v>-879.78</v>
      </c>
      <c r="M163" s="153">
        <f>S163+R163</f>
        <v>52</v>
      </c>
      <c r="N163" s="153">
        <f>T163-R163</f>
        <v>-1</v>
      </c>
      <c r="O163" s="154">
        <f>U163+H163</f>
        <v>329110.32000000024</v>
      </c>
      <c r="P163" s="155">
        <f>V163-H163</f>
        <v>44878.679999999877</v>
      </c>
      <c r="Q163" s="156"/>
      <c r="R163" s="157">
        <v>1</v>
      </c>
      <c r="S163" s="157">
        <v>51</v>
      </c>
      <c r="T163" s="157">
        <v>0</v>
      </c>
      <c r="U163" s="158">
        <v>321630.54000000021</v>
      </c>
      <c r="V163" s="158">
        <v>52358.459999999875</v>
      </c>
      <c r="AD163" s="157">
        <v>12</v>
      </c>
      <c r="AE163" s="243">
        <v>32485.78</v>
      </c>
      <c r="AF163" s="157" t="s">
        <v>769</v>
      </c>
    </row>
    <row r="164" spans="1:32" s="228" customFormat="1">
      <c r="A164" s="217">
        <v>119</v>
      </c>
      <c r="B164" s="218">
        <v>0</v>
      </c>
      <c r="C164" s="196" t="s">
        <v>236</v>
      </c>
      <c r="D164" s="219">
        <v>150000</v>
      </c>
      <c r="E164" s="219">
        <f>D164*0.1333</f>
        <v>19995</v>
      </c>
      <c r="F164" s="220">
        <f>G164*H164</f>
        <v>169910</v>
      </c>
      <c r="G164" s="221">
        <v>50</v>
      </c>
      <c r="H164" s="222">
        <v>3398.2</v>
      </c>
      <c r="I164" s="223">
        <f>E164/G164</f>
        <v>399.9</v>
      </c>
      <c r="J164" s="223">
        <f>D164/G164</f>
        <v>3000</v>
      </c>
      <c r="K164" s="223">
        <f>M164*I164</f>
        <v>17995.5</v>
      </c>
      <c r="L164" s="223">
        <f>I164*N164</f>
        <v>2399.3999999999996</v>
      </c>
      <c r="M164" s="224">
        <f>S164+R164</f>
        <v>45</v>
      </c>
      <c r="N164" s="224">
        <f>T164-R164</f>
        <v>6</v>
      </c>
      <c r="O164" s="225">
        <f>U164+H164</f>
        <v>149598.14999999991</v>
      </c>
      <c r="P164" s="226">
        <f>V164-H164</f>
        <v>0</v>
      </c>
      <c r="Q164" s="227"/>
      <c r="R164" s="228">
        <v>1</v>
      </c>
      <c r="S164" s="228">
        <v>44</v>
      </c>
      <c r="T164" s="228">
        <v>7</v>
      </c>
      <c r="U164" s="229">
        <v>146199.9499999999</v>
      </c>
      <c r="V164" s="229">
        <v>3398.2</v>
      </c>
    </row>
    <row r="165" spans="1:32" s="166" customFormat="1">
      <c r="A165" s="101">
        <v>160</v>
      </c>
      <c r="B165" s="179"/>
      <c r="C165" s="137" t="s">
        <v>418</v>
      </c>
      <c r="D165" s="134">
        <v>150000</v>
      </c>
      <c r="E165" s="134">
        <f>D165*0.1333</f>
        <v>19995</v>
      </c>
      <c r="F165" s="135">
        <f>G165*H165</f>
        <v>0</v>
      </c>
      <c r="G165" s="162">
        <v>50</v>
      </c>
      <c r="H165" s="91"/>
      <c r="I165" s="136"/>
      <c r="J165" s="136"/>
      <c r="K165" s="136"/>
      <c r="L165" s="136"/>
      <c r="M165" s="163"/>
      <c r="N165" s="163"/>
      <c r="O165" s="164"/>
      <c r="P165" s="97" t="s">
        <v>748</v>
      </c>
      <c r="Q165" s="165" t="s">
        <v>748</v>
      </c>
      <c r="R165" s="166">
        <v>1</v>
      </c>
      <c r="S165" s="166">
        <v>29</v>
      </c>
      <c r="T165" s="166">
        <v>21</v>
      </c>
      <c r="U165" s="167">
        <v>0</v>
      </c>
      <c r="V165" s="167">
        <v>0</v>
      </c>
      <c r="AD165" s="166">
        <v>9</v>
      </c>
      <c r="AE165" s="168">
        <v>22439.34</v>
      </c>
      <c r="AF165" s="166" t="s">
        <v>351</v>
      </c>
    </row>
    <row r="166" spans="1:32" s="157" customFormat="1">
      <c r="A166" s="101">
        <v>87</v>
      </c>
      <c r="B166" s="146">
        <v>0</v>
      </c>
      <c r="C166" s="147" t="s">
        <v>225</v>
      </c>
      <c r="D166" s="148">
        <v>330000</v>
      </c>
      <c r="E166" s="148">
        <f t="shared" ref="E166" si="123">D166*0.1333</f>
        <v>43989</v>
      </c>
      <c r="F166" s="149">
        <f t="shared" ref="F166" si="124">G166*H166</f>
        <v>0</v>
      </c>
      <c r="G166" s="150">
        <v>50</v>
      </c>
      <c r="H166" s="159">
        <v>0</v>
      </c>
      <c r="I166" s="152">
        <f t="shared" ref="I166" si="125">E166/G166</f>
        <v>879.78</v>
      </c>
      <c r="J166" s="152">
        <f t="shared" ref="J166" si="126">D166/G166</f>
        <v>6600</v>
      </c>
      <c r="K166" s="152">
        <f t="shared" ref="K166" si="127">M166*I166</f>
        <v>44868.78</v>
      </c>
      <c r="L166" s="152">
        <f t="shared" ref="L166" si="128">I166*N166</f>
        <v>0</v>
      </c>
      <c r="M166" s="153">
        <f t="shared" ref="M166" si="129">S166+R166</f>
        <v>51</v>
      </c>
      <c r="N166" s="153">
        <f t="shared" ref="N166" si="130">T166-R166</f>
        <v>0</v>
      </c>
      <c r="O166" s="154">
        <f t="shared" ref="O166" si="131">U166+H166</f>
        <v>314150.76000000018</v>
      </c>
      <c r="P166" s="155">
        <f t="shared" ref="P166" si="132">V166-H166</f>
        <v>59838.239999999874</v>
      </c>
      <c r="Q166" s="156" t="s">
        <v>746</v>
      </c>
      <c r="R166" s="157">
        <v>1</v>
      </c>
      <c r="S166" s="157">
        <v>50</v>
      </c>
      <c r="T166" s="157">
        <v>1</v>
      </c>
      <c r="U166" s="158">
        <v>314150.76000000018</v>
      </c>
      <c r="V166" s="158">
        <v>59838.239999999874</v>
      </c>
    </row>
    <row r="167" spans="1:32" s="157" customFormat="1">
      <c r="A167" s="101">
        <v>80</v>
      </c>
      <c r="B167" s="146">
        <v>0</v>
      </c>
      <c r="C167" s="147" t="s">
        <v>221</v>
      </c>
      <c r="D167" s="148">
        <v>330000</v>
      </c>
      <c r="E167" s="148">
        <f>D167*0.1333</f>
        <v>43989</v>
      </c>
      <c r="F167" s="149">
        <f>G167*H167</f>
        <v>0</v>
      </c>
      <c r="G167" s="150">
        <v>50</v>
      </c>
      <c r="H167" s="159">
        <v>0</v>
      </c>
      <c r="I167" s="152">
        <f>E167/G167</f>
        <v>879.78</v>
      </c>
      <c r="J167" s="152">
        <f>D167/G167</f>
        <v>6600</v>
      </c>
      <c r="K167" s="152">
        <f>M167*I167</f>
        <v>44868.78</v>
      </c>
      <c r="L167" s="152">
        <f>I167*N167</f>
        <v>0</v>
      </c>
      <c r="M167" s="153">
        <f>S167+R167</f>
        <v>51</v>
      </c>
      <c r="N167" s="153">
        <f>T167-R167</f>
        <v>0</v>
      </c>
      <c r="O167" s="154">
        <f>U167+H167</f>
        <v>321630.54000000021</v>
      </c>
      <c r="P167" s="155">
        <f>V167-H167</f>
        <v>52358.459999999875</v>
      </c>
      <c r="Q167" s="156" t="s">
        <v>746</v>
      </c>
      <c r="R167" s="157">
        <v>1</v>
      </c>
      <c r="S167" s="157">
        <v>50</v>
      </c>
      <c r="T167" s="157">
        <v>1</v>
      </c>
      <c r="U167" s="158">
        <v>321630.54000000021</v>
      </c>
      <c r="V167" s="158">
        <v>52358.459999999875</v>
      </c>
    </row>
    <row r="168" spans="1:32" s="157" customFormat="1">
      <c r="A168" s="101">
        <v>81</v>
      </c>
      <c r="B168" s="146">
        <v>0</v>
      </c>
      <c r="C168" s="147" t="s">
        <v>222</v>
      </c>
      <c r="D168" s="148">
        <v>330000</v>
      </c>
      <c r="E168" s="148">
        <f>D168*0.1333</f>
        <v>43989</v>
      </c>
      <c r="F168" s="149">
        <f>G168*H168</f>
        <v>0</v>
      </c>
      <c r="G168" s="150">
        <v>50</v>
      </c>
      <c r="H168" s="159">
        <v>0</v>
      </c>
      <c r="I168" s="152">
        <f>E168/G168</f>
        <v>879.78</v>
      </c>
      <c r="J168" s="152">
        <f>D168/G168</f>
        <v>6600</v>
      </c>
      <c r="K168" s="152">
        <f>M168*I168</f>
        <v>44868.78</v>
      </c>
      <c r="L168" s="152">
        <f>I168*N168</f>
        <v>0</v>
      </c>
      <c r="M168" s="153">
        <f>S168+R168</f>
        <v>51</v>
      </c>
      <c r="N168" s="153">
        <f>T168-R168</f>
        <v>0</v>
      </c>
      <c r="O168" s="154">
        <f>U168+H168</f>
        <v>321630.54000000021</v>
      </c>
      <c r="P168" s="155">
        <f>V168-H168</f>
        <v>52358.459999999875</v>
      </c>
      <c r="Q168" s="156" t="s">
        <v>746</v>
      </c>
      <c r="R168" s="157">
        <v>1</v>
      </c>
      <c r="S168" s="157">
        <v>50</v>
      </c>
      <c r="T168" s="157">
        <v>1</v>
      </c>
      <c r="U168" s="158">
        <v>321630.54000000021</v>
      </c>
      <c r="V168" s="158">
        <v>52358.459999999875</v>
      </c>
    </row>
    <row r="169" spans="1:32" s="157" customFormat="1">
      <c r="A169" s="101">
        <v>84</v>
      </c>
      <c r="B169" s="146">
        <v>0</v>
      </c>
      <c r="C169" s="147" t="s">
        <v>223</v>
      </c>
      <c r="D169" s="148">
        <v>330000</v>
      </c>
      <c r="E169" s="148">
        <f>D169*0.1333</f>
        <v>43989</v>
      </c>
      <c r="F169" s="149">
        <f>G169*H169</f>
        <v>0</v>
      </c>
      <c r="G169" s="150">
        <v>50</v>
      </c>
      <c r="H169" s="159">
        <v>0</v>
      </c>
      <c r="I169" s="152">
        <f>E169/G169</f>
        <v>879.78</v>
      </c>
      <c r="J169" s="152">
        <f>D169/G169</f>
        <v>6600</v>
      </c>
      <c r="K169" s="152">
        <f>M169*I169</f>
        <v>44868.78</v>
      </c>
      <c r="L169" s="152">
        <f>I169*N169</f>
        <v>0</v>
      </c>
      <c r="M169" s="153">
        <f>S169+R169</f>
        <v>51</v>
      </c>
      <c r="N169" s="153">
        <f>T169-R169</f>
        <v>0</v>
      </c>
      <c r="O169" s="154">
        <f>U169+H169</f>
        <v>321630.54000000021</v>
      </c>
      <c r="P169" s="155">
        <f>V169-H169</f>
        <v>52358.459999999875</v>
      </c>
      <c r="Q169" s="156" t="s">
        <v>746</v>
      </c>
      <c r="R169" s="157">
        <v>1</v>
      </c>
      <c r="S169" s="157">
        <v>50</v>
      </c>
      <c r="T169" s="157">
        <v>1</v>
      </c>
      <c r="U169" s="158">
        <v>321630.54000000021</v>
      </c>
      <c r="V169" s="158">
        <v>52358.459999999875</v>
      </c>
    </row>
    <row r="170" spans="1:32" s="166" customFormat="1">
      <c r="A170" s="101">
        <v>56</v>
      </c>
      <c r="B170" s="133">
        <v>0</v>
      </c>
      <c r="C170" s="137" t="s">
        <v>258</v>
      </c>
      <c r="D170" s="134">
        <v>500000</v>
      </c>
      <c r="E170" s="134">
        <f>D170*0.1333</f>
        <v>66650</v>
      </c>
      <c r="F170" s="135">
        <f>G170*H170</f>
        <v>0</v>
      </c>
      <c r="G170" s="162">
        <v>50</v>
      </c>
      <c r="H170" s="91">
        <v>0</v>
      </c>
      <c r="I170" s="136">
        <f>E170/G170</f>
        <v>1333</v>
      </c>
      <c r="J170" s="136">
        <f>D170/G170</f>
        <v>10000</v>
      </c>
      <c r="K170" s="136">
        <f>M170*I170</f>
        <v>67983</v>
      </c>
      <c r="L170" s="136">
        <f>I170*N170</f>
        <v>0</v>
      </c>
      <c r="M170" s="163">
        <f>S170+R170</f>
        <v>51</v>
      </c>
      <c r="N170" s="163">
        <f>T170-R170</f>
        <v>0</v>
      </c>
      <c r="O170" s="164">
        <f>U170+H170</f>
        <v>487319</v>
      </c>
      <c r="P170" s="97">
        <f>V170-H170</f>
        <v>0</v>
      </c>
      <c r="Q170" s="156" t="s">
        <v>746</v>
      </c>
      <c r="R170" s="166">
        <v>1</v>
      </c>
      <c r="S170" s="166">
        <v>50</v>
      </c>
      <c r="T170" s="166">
        <v>1</v>
      </c>
      <c r="U170" s="167">
        <v>487319</v>
      </c>
      <c r="V170" s="167">
        <v>0</v>
      </c>
      <c r="Z170" s="166" t="s">
        <v>766</v>
      </c>
    </row>
    <row r="171" spans="1:32" s="166" customFormat="1">
      <c r="A171" s="101">
        <v>57</v>
      </c>
      <c r="B171" s="133">
        <v>0</v>
      </c>
      <c r="C171" s="137" t="s">
        <v>209</v>
      </c>
      <c r="D171" s="134">
        <v>330000</v>
      </c>
      <c r="E171" s="134">
        <f>D171*0.1333</f>
        <v>43989</v>
      </c>
      <c r="F171" s="135">
        <f>G171*H171</f>
        <v>0</v>
      </c>
      <c r="G171" s="162">
        <v>50</v>
      </c>
      <c r="H171" s="91">
        <v>0</v>
      </c>
      <c r="I171" s="136">
        <f>E171/G171</f>
        <v>879.78</v>
      </c>
      <c r="J171" s="136">
        <f>D171/G171</f>
        <v>6600</v>
      </c>
      <c r="K171" s="136">
        <f>M171*I171</f>
        <v>44868.78</v>
      </c>
      <c r="L171" s="136">
        <f>I171*N171</f>
        <v>0</v>
      </c>
      <c r="M171" s="163">
        <f>S171+R171</f>
        <v>51</v>
      </c>
      <c r="N171" s="163">
        <f>T171-R171</f>
        <v>0</v>
      </c>
      <c r="O171" s="164">
        <f>U171+H171</f>
        <v>321630.54000000021</v>
      </c>
      <c r="P171" s="97">
        <f>V171-H171</f>
        <v>0</v>
      </c>
      <c r="Q171" s="156" t="s">
        <v>746</v>
      </c>
      <c r="R171" s="166">
        <v>1</v>
      </c>
      <c r="S171" s="166">
        <v>50</v>
      </c>
      <c r="T171" s="166">
        <v>1</v>
      </c>
      <c r="U171" s="167">
        <v>321630.54000000021</v>
      </c>
      <c r="V171" s="167">
        <v>0</v>
      </c>
    </row>
    <row r="172" spans="1:32" s="157" customFormat="1">
      <c r="A172" s="101">
        <v>52</v>
      </c>
      <c r="B172" s="146">
        <v>0</v>
      </c>
      <c r="C172" s="147" t="s">
        <v>206</v>
      </c>
      <c r="D172" s="148">
        <v>450000</v>
      </c>
      <c r="E172" s="148">
        <f t="shared" ref="E172" si="133">D172*0.1333</f>
        <v>59985</v>
      </c>
      <c r="F172" s="149">
        <f t="shared" ref="F172" si="134">G172*H172</f>
        <v>510085.00000000006</v>
      </c>
      <c r="G172" s="150">
        <v>50</v>
      </c>
      <c r="H172" s="159">
        <v>10201.700000000001</v>
      </c>
      <c r="I172" s="152">
        <f t="shared" ref="I172" si="135">E172/G172</f>
        <v>1199.7</v>
      </c>
      <c r="J172" s="152">
        <f t="shared" ref="J172" si="136">D172/G172</f>
        <v>9000</v>
      </c>
      <c r="K172" s="152">
        <f t="shared" ref="K172" si="137">M172*I172</f>
        <v>61184.700000000004</v>
      </c>
      <c r="L172" s="152">
        <f t="shared" ref="L172" si="138">I172*N172</f>
        <v>0</v>
      </c>
      <c r="M172" s="153">
        <f t="shared" ref="M172" si="139">S172+R172</f>
        <v>51</v>
      </c>
      <c r="N172" s="153">
        <f t="shared" ref="N172" si="140">T172-R172</f>
        <v>0</v>
      </c>
      <c r="O172" s="154">
        <f t="shared" ref="O172" si="141">U172+H172</f>
        <v>448788.8000000004</v>
      </c>
      <c r="P172" s="155">
        <f t="shared" ref="P172" si="142">V172-H172</f>
        <v>61196.199999999706</v>
      </c>
      <c r="Q172" s="156" t="s">
        <v>746</v>
      </c>
      <c r="R172" s="157">
        <v>1</v>
      </c>
      <c r="S172" s="157">
        <v>50</v>
      </c>
      <c r="T172" s="157">
        <v>1</v>
      </c>
      <c r="U172" s="158">
        <v>438587.10000000038</v>
      </c>
      <c r="V172" s="158">
        <v>71397.899999999703</v>
      </c>
    </row>
    <row r="173" spans="1:32" s="157" customFormat="1">
      <c r="A173" s="101">
        <v>60</v>
      </c>
      <c r="B173" s="146">
        <v>0</v>
      </c>
      <c r="C173" s="147" t="s">
        <v>211</v>
      </c>
      <c r="D173" s="148">
        <v>330000</v>
      </c>
      <c r="E173" s="148">
        <f t="shared" ref="E173:E184" si="143">D173*0.1333</f>
        <v>43989</v>
      </c>
      <c r="F173" s="149">
        <f>G173*H173</f>
        <v>373989</v>
      </c>
      <c r="G173" s="150">
        <v>50</v>
      </c>
      <c r="H173" s="159">
        <v>7479.78</v>
      </c>
      <c r="I173" s="152">
        <f t="shared" ref="I173:I201" si="144">E173/G173</f>
        <v>879.78</v>
      </c>
      <c r="J173" s="152">
        <f t="shared" ref="J173:J201" si="145">D173/G173</f>
        <v>6600</v>
      </c>
      <c r="K173" s="152">
        <f t="shared" ref="K173:K201" si="146">M173*I173</f>
        <v>44868.78</v>
      </c>
      <c r="L173" s="152">
        <f t="shared" ref="L173:L201" si="147">I173*N173</f>
        <v>0</v>
      </c>
      <c r="M173" s="153">
        <f t="shared" ref="M173:M201" si="148">S173+R173</f>
        <v>51</v>
      </c>
      <c r="N173" s="153">
        <f t="shared" ref="N173:N201" si="149">T173-R173</f>
        <v>0</v>
      </c>
      <c r="O173" s="154">
        <f t="shared" ref="O173:O201" si="150">U173+H173</f>
        <v>329110.32000000024</v>
      </c>
      <c r="P173" s="155">
        <f t="shared" ref="P173:P201" si="151">V173-H173</f>
        <v>44878.679999999877</v>
      </c>
      <c r="Q173" s="156" t="s">
        <v>746</v>
      </c>
      <c r="R173" s="157">
        <v>1</v>
      </c>
      <c r="S173" s="157">
        <v>50</v>
      </c>
      <c r="T173" s="157">
        <v>1</v>
      </c>
      <c r="U173" s="158">
        <v>321630.54000000021</v>
      </c>
      <c r="V173" s="158">
        <v>52358.459999999875</v>
      </c>
    </row>
    <row r="174" spans="1:32" s="157" customFormat="1">
      <c r="A174" s="101">
        <v>61</v>
      </c>
      <c r="B174" s="146">
        <v>0</v>
      </c>
      <c r="C174" s="147" t="s">
        <v>212</v>
      </c>
      <c r="D174" s="148">
        <v>330000</v>
      </c>
      <c r="E174" s="148">
        <f t="shared" si="143"/>
        <v>43989</v>
      </c>
      <c r="F174" s="149">
        <f>G174*H174</f>
        <v>373989</v>
      </c>
      <c r="G174" s="150">
        <v>50</v>
      </c>
      <c r="H174" s="159">
        <v>7479.78</v>
      </c>
      <c r="I174" s="152">
        <f t="shared" si="144"/>
        <v>879.78</v>
      </c>
      <c r="J174" s="152">
        <f t="shared" si="145"/>
        <v>6600</v>
      </c>
      <c r="K174" s="152">
        <f t="shared" si="146"/>
        <v>44868.78</v>
      </c>
      <c r="L174" s="152">
        <f t="shared" si="147"/>
        <v>0</v>
      </c>
      <c r="M174" s="153">
        <f t="shared" si="148"/>
        <v>51</v>
      </c>
      <c r="N174" s="153">
        <f t="shared" si="149"/>
        <v>0</v>
      </c>
      <c r="O174" s="154">
        <f t="shared" si="150"/>
        <v>329110.32000000024</v>
      </c>
      <c r="P174" s="155">
        <f t="shared" si="151"/>
        <v>44878.679999999877</v>
      </c>
      <c r="Q174" s="156" t="s">
        <v>746</v>
      </c>
      <c r="R174" s="157">
        <v>1</v>
      </c>
      <c r="S174" s="157">
        <v>50</v>
      </c>
      <c r="T174" s="157">
        <v>1</v>
      </c>
      <c r="U174" s="158">
        <v>321630.54000000021</v>
      </c>
      <c r="V174" s="158">
        <v>52358.459999999875</v>
      </c>
    </row>
    <row r="175" spans="1:32" s="143" customFormat="1">
      <c r="A175" s="101">
        <v>71</v>
      </c>
      <c r="B175" s="102">
        <v>0</v>
      </c>
      <c r="C175" s="116" t="s">
        <v>217</v>
      </c>
      <c r="D175" s="104">
        <v>330000</v>
      </c>
      <c r="E175" s="104">
        <f t="shared" si="143"/>
        <v>43989</v>
      </c>
      <c r="F175" s="105">
        <f>G175*H175</f>
        <v>373989</v>
      </c>
      <c r="G175" s="139">
        <v>50</v>
      </c>
      <c r="H175" s="118">
        <v>7479.78</v>
      </c>
      <c r="I175" s="107">
        <f t="shared" si="144"/>
        <v>879.78</v>
      </c>
      <c r="J175" s="107">
        <f t="shared" si="145"/>
        <v>6600</v>
      </c>
      <c r="K175" s="107">
        <f t="shared" si="146"/>
        <v>44868.78</v>
      </c>
      <c r="L175" s="107">
        <f t="shared" si="147"/>
        <v>0</v>
      </c>
      <c r="M175" s="140">
        <f t="shared" si="148"/>
        <v>51</v>
      </c>
      <c r="N175" s="140">
        <f t="shared" si="149"/>
        <v>0</v>
      </c>
      <c r="O175" s="141">
        <f t="shared" si="150"/>
        <v>329110.32000000024</v>
      </c>
      <c r="P175" s="110">
        <f t="shared" si="151"/>
        <v>44878.679999999877</v>
      </c>
      <c r="Q175" s="156" t="s">
        <v>746</v>
      </c>
      <c r="R175" s="143">
        <v>1</v>
      </c>
      <c r="S175" s="143">
        <v>50</v>
      </c>
      <c r="T175" s="143">
        <v>1</v>
      </c>
      <c r="U175" s="144">
        <v>321630.54000000021</v>
      </c>
      <c r="V175" s="144">
        <v>52358.459999999875</v>
      </c>
    </row>
    <row r="176" spans="1:32" s="143" customFormat="1">
      <c r="A176" s="101">
        <v>14</v>
      </c>
      <c r="B176" s="102">
        <v>0</v>
      </c>
      <c r="C176" s="116" t="s">
        <v>191</v>
      </c>
      <c r="D176" s="104">
        <v>330000</v>
      </c>
      <c r="E176" s="104">
        <f t="shared" si="143"/>
        <v>43989</v>
      </c>
      <c r="F176" s="105">
        <f>D176+E176</f>
        <v>373989</v>
      </c>
      <c r="G176" s="139">
        <v>50</v>
      </c>
      <c r="H176" s="118">
        <v>0</v>
      </c>
      <c r="I176" s="107">
        <f t="shared" si="144"/>
        <v>879.78</v>
      </c>
      <c r="J176" s="107">
        <f t="shared" si="145"/>
        <v>6600</v>
      </c>
      <c r="K176" s="107">
        <f t="shared" si="146"/>
        <v>44868.78</v>
      </c>
      <c r="L176" s="107">
        <f t="shared" si="147"/>
        <v>0</v>
      </c>
      <c r="M176" s="140">
        <f t="shared" si="148"/>
        <v>51</v>
      </c>
      <c r="N176" s="140">
        <f t="shared" si="149"/>
        <v>0</v>
      </c>
      <c r="O176" s="141">
        <f t="shared" si="150"/>
        <v>321630.54000000021</v>
      </c>
      <c r="P176" s="110">
        <f t="shared" si="151"/>
        <v>52358.459999999875</v>
      </c>
      <c r="Q176" s="156" t="s">
        <v>746</v>
      </c>
      <c r="R176" s="143">
        <v>1</v>
      </c>
      <c r="S176" s="143">
        <v>50</v>
      </c>
      <c r="T176" s="143">
        <v>1</v>
      </c>
      <c r="U176" s="144">
        <v>321630.54000000021</v>
      </c>
      <c r="V176" s="144">
        <v>52358.459999999875</v>
      </c>
    </row>
    <row r="177" spans="1:32" s="112" customFormat="1">
      <c r="A177" s="101">
        <v>2</v>
      </c>
      <c r="B177" s="102">
        <v>0</v>
      </c>
      <c r="C177" s="116" t="s">
        <v>184</v>
      </c>
      <c r="D177" s="104">
        <v>450000</v>
      </c>
      <c r="E177" s="104">
        <f t="shared" si="143"/>
        <v>59985</v>
      </c>
      <c r="F177" s="105">
        <f>D177+E177</f>
        <v>509985</v>
      </c>
      <c r="G177" s="117">
        <v>50</v>
      </c>
      <c r="H177" s="118">
        <v>10199.700000000001</v>
      </c>
      <c r="I177" s="107">
        <f t="shared" si="144"/>
        <v>1199.7</v>
      </c>
      <c r="J177" s="107">
        <f t="shared" si="145"/>
        <v>9000</v>
      </c>
      <c r="K177" s="107">
        <f t="shared" si="146"/>
        <v>61184.700000000004</v>
      </c>
      <c r="L177" s="107">
        <f t="shared" si="147"/>
        <v>0</v>
      </c>
      <c r="M177" s="108">
        <f t="shared" si="148"/>
        <v>51</v>
      </c>
      <c r="N177" s="108">
        <f t="shared" si="149"/>
        <v>0</v>
      </c>
      <c r="O177" s="109">
        <f t="shared" si="150"/>
        <v>448786.80000000045</v>
      </c>
      <c r="P177" s="110">
        <f t="shared" si="151"/>
        <v>61198.19999999959</v>
      </c>
      <c r="Q177" s="156" t="s">
        <v>746</v>
      </c>
      <c r="R177" s="112">
        <v>1</v>
      </c>
      <c r="S177" s="112">
        <v>50</v>
      </c>
      <c r="T177" s="112">
        <v>1</v>
      </c>
      <c r="U177" s="120">
        <v>438587.10000000044</v>
      </c>
      <c r="V177" s="120">
        <v>71397.899999999587</v>
      </c>
      <c r="W177" s="121"/>
    </row>
    <row r="178" spans="1:32" s="112" customFormat="1">
      <c r="A178" s="101">
        <v>4</v>
      </c>
      <c r="B178" s="102">
        <v>0</v>
      </c>
      <c r="C178" s="116" t="s">
        <v>447</v>
      </c>
      <c r="D178" s="104">
        <v>330000</v>
      </c>
      <c r="E178" s="104">
        <f t="shared" si="143"/>
        <v>43989</v>
      </c>
      <c r="F178" s="105">
        <f>D178+E178</f>
        <v>373989</v>
      </c>
      <c r="G178" s="117">
        <v>50</v>
      </c>
      <c r="H178" s="118">
        <v>7479.78</v>
      </c>
      <c r="I178" s="107">
        <f t="shared" si="144"/>
        <v>879.78</v>
      </c>
      <c r="J178" s="107">
        <f t="shared" si="145"/>
        <v>6600</v>
      </c>
      <c r="K178" s="107">
        <f t="shared" si="146"/>
        <v>23754.059999999998</v>
      </c>
      <c r="L178" s="107">
        <f t="shared" si="147"/>
        <v>20234.939999999999</v>
      </c>
      <c r="M178" s="108">
        <f t="shared" si="148"/>
        <v>27</v>
      </c>
      <c r="N178" s="108">
        <f t="shared" si="149"/>
        <v>23</v>
      </c>
      <c r="O178" s="109">
        <f t="shared" si="150"/>
        <v>201954.06</v>
      </c>
      <c r="P178" s="110">
        <f t="shared" si="151"/>
        <v>172034.93999999962</v>
      </c>
      <c r="Q178" s="156" t="s">
        <v>746</v>
      </c>
      <c r="R178" s="112">
        <v>1</v>
      </c>
      <c r="S178" s="112">
        <v>26</v>
      </c>
      <c r="T178" s="112">
        <v>24</v>
      </c>
      <c r="U178" s="120">
        <v>194474.28</v>
      </c>
      <c r="V178" s="120">
        <v>179514.71999999962</v>
      </c>
    </row>
    <row r="179" spans="1:32" s="166" customFormat="1">
      <c r="A179" s="101">
        <v>101</v>
      </c>
      <c r="B179" s="133">
        <v>0</v>
      </c>
      <c r="C179" s="137" t="s">
        <v>227</v>
      </c>
      <c r="D179" s="134">
        <v>330000</v>
      </c>
      <c r="E179" s="134">
        <f t="shared" si="143"/>
        <v>43989</v>
      </c>
      <c r="F179" s="135">
        <f>G179*H179</f>
        <v>0</v>
      </c>
      <c r="G179" s="162">
        <v>50</v>
      </c>
      <c r="H179" s="91">
        <v>0</v>
      </c>
      <c r="I179" s="136">
        <f t="shared" si="144"/>
        <v>879.78</v>
      </c>
      <c r="J179" s="136">
        <f t="shared" si="145"/>
        <v>6600</v>
      </c>
      <c r="K179" s="136">
        <f t="shared" si="146"/>
        <v>44868.78</v>
      </c>
      <c r="L179" s="136">
        <f t="shared" si="147"/>
        <v>0</v>
      </c>
      <c r="M179" s="163">
        <f t="shared" si="148"/>
        <v>51</v>
      </c>
      <c r="N179" s="163">
        <f t="shared" si="149"/>
        <v>0</v>
      </c>
      <c r="O179" s="164">
        <f t="shared" si="150"/>
        <v>321633.95000000036</v>
      </c>
      <c r="P179" s="97">
        <f t="shared" si="151"/>
        <v>52355.049999999625</v>
      </c>
      <c r="Q179" s="156" t="s">
        <v>746</v>
      </c>
      <c r="R179" s="166">
        <v>1</v>
      </c>
      <c r="S179" s="166">
        <v>50</v>
      </c>
      <c r="T179" s="166">
        <v>1</v>
      </c>
      <c r="U179" s="167">
        <v>321633.95000000036</v>
      </c>
      <c r="V179" s="167">
        <v>52355.049999999625</v>
      </c>
    </row>
    <row r="180" spans="1:32" s="166" customFormat="1">
      <c r="A180" s="101">
        <v>102</v>
      </c>
      <c r="B180" s="133">
        <v>0</v>
      </c>
      <c r="C180" s="137" t="s">
        <v>228</v>
      </c>
      <c r="D180" s="134">
        <v>330000</v>
      </c>
      <c r="E180" s="134">
        <f t="shared" si="143"/>
        <v>43989</v>
      </c>
      <c r="F180" s="135">
        <f>G180*H180</f>
        <v>0</v>
      </c>
      <c r="G180" s="162">
        <v>50</v>
      </c>
      <c r="H180" s="91">
        <v>0</v>
      </c>
      <c r="I180" s="136">
        <f t="shared" si="144"/>
        <v>879.78</v>
      </c>
      <c r="J180" s="136">
        <f t="shared" si="145"/>
        <v>6600</v>
      </c>
      <c r="K180" s="136">
        <f t="shared" si="146"/>
        <v>44868.78</v>
      </c>
      <c r="L180" s="136">
        <f t="shared" si="147"/>
        <v>0</v>
      </c>
      <c r="M180" s="163">
        <f t="shared" si="148"/>
        <v>51</v>
      </c>
      <c r="N180" s="163">
        <f t="shared" si="149"/>
        <v>0</v>
      </c>
      <c r="O180" s="164">
        <f t="shared" si="150"/>
        <v>321630.54000000021</v>
      </c>
      <c r="P180" s="97">
        <f t="shared" si="151"/>
        <v>52358.459999999875</v>
      </c>
      <c r="Q180" s="156" t="s">
        <v>746</v>
      </c>
      <c r="R180" s="166">
        <v>1</v>
      </c>
      <c r="S180" s="166">
        <v>50</v>
      </c>
      <c r="T180" s="166">
        <v>1</v>
      </c>
      <c r="U180" s="167">
        <v>321630.54000000021</v>
      </c>
      <c r="V180" s="167">
        <v>52358.459999999875</v>
      </c>
    </row>
    <row r="181" spans="1:32" s="192" customFormat="1">
      <c r="A181" s="101">
        <v>17</v>
      </c>
      <c r="B181" s="194">
        <v>0</v>
      </c>
      <c r="C181" s="183" t="s">
        <v>192</v>
      </c>
      <c r="D181" s="184">
        <v>450000</v>
      </c>
      <c r="E181" s="184">
        <f t="shared" si="143"/>
        <v>59985</v>
      </c>
      <c r="F181" s="185">
        <f>D181+E181</f>
        <v>509985</v>
      </c>
      <c r="G181" s="195">
        <v>50</v>
      </c>
      <c r="H181" s="186">
        <v>10199.299999999999</v>
      </c>
      <c r="I181" s="187">
        <f t="shared" si="144"/>
        <v>1199.7</v>
      </c>
      <c r="J181" s="187">
        <f t="shared" si="145"/>
        <v>9000</v>
      </c>
      <c r="K181" s="187">
        <f t="shared" si="146"/>
        <v>61184.700000000004</v>
      </c>
      <c r="L181" s="187">
        <f t="shared" si="147"/>
        <v>0</v>
      </c>
      <c r="M181" s="188">
        <f t="shared" si="148"/>
        <v>51</v>
      </c>
      <c r="N181" s="188">
        <f t="shared" si="149"/>
        <v>0</v>
      </c>
      <c r="O181" s="189">
        <f t="shared" si="150"/>
        <v>448786.7400000004</v>
      </c>
      <c r="P181" s="190">
        <f t="shared" si="151"/>
        <v>61198.259999999675</v>
      </c>
      <c r="Q181" s="156" t="s">
        <v>746</v>
      </c>
      <c r="R181" s="192">
        <v>1</v>
      </c>
      <c r="S181" s="192">
        <v>50</v>
      </c>
      <c r="T181" s="192">
        <v>1</v>
      </c>
      <c r="U181" s="193">
        <v>438587.44000000041</v>
      </c>
      <c r="V181" s="193">
        <v>71397.559999999678</v>
      </c>
      <c r="X181" s="231">
        <f>H181</f>
        <v>10199.299999999999</v>
      </c>
      <c r="Z181" s="192" t="s">
        <v>763</v>
      </c>
    </row>
    <row r="182" spans="1:32" s="157" customFormat="1">
      <c r="A182" s="101">
        <v>18</v>
      </c>
      <c r="B182" s="146">
        <v>0</v>
      </c>
      <c r="C182" s="147" t="s">
        <v>193</v>
      </c>
      <c r="D182" s="148">
        <v>500000</v>
      </c>
      <c r="E182" s="148">
        <f t="shared" si="143"/>
        <v>66650</v>
      </c>
      <c r="F182" s="149">
        <f>D182+E182</f>
        <v>566650</v>
      </c>
      <c r="G182" s="150">
        <v>50</v>
      </c>
      <c r="H182" s="159">
        <v>0</v>
      </c>
      <c r="I182" s="152">
        <f t="shared" si="144"/>
        <v>1333</v>
      </c>
      <c r="J182" s="152">
        <f t="shared" si="145"/>
        <v>10000</v>
      </c>
      <c r="K182" s="152">
        <f t="shared" si="146"/>
        <v>67983</v>
      </c>
      <c r="L182" s="152">
        <f t="shared" si="147"/>
        <v>0</v>
      </c>
      <c r="M182" s="153">
        <f t="shared" si="148"/>
        <v>51</v>
      </c>
      <c r="N182" s="153">
        <f t="shared" si="149"/>
        <v>0</v>
      </c>
      <c r="O182" s="154">
        <f t="shared" si="150"/>
        <v>487319</v>
      </c>
      <c r="P182" s="155">
        <f t="shared" si="151"/>
        <v>79331</v>
      </c>
      <c r="Q182" s="156" t="s">
        <v>746</v>
      </c>
      <c r="R182" s="157">
        <v>1</v>
      </c>
      <c r="S182" s="157">
        <v>50</v>
      </c>
      <c r="T182" s="157">
        <v>1</v>
      </c>
      <c r="U182" s="158">
        <v>487319</v>
      </c>
      <c r="V182" s="158">
        <v>79331</v>
      </c>
      <c r="Z182" s="157" t="s">
        <v>764</v>
      </c>
    </row>
    <row r="183" spans="1:32" s="157" customFormat="1">
      <c r="A183" s="101">
        <v>19</v>
      </c>
      <c r="B183" s="146">
        <v>0</v>
      </c>
      <c r="C183" s="147" t="s">
        <v>194</v>
      </c>
      <c r="D183" s="148">
        <v>500000</v>
      </c>
      <c r="E183" s="148">
        <f t="shared" si="143"/>
        <v>66650</v>
      </c>
      <c r="F183" s="149">
        <f>D183+E183</f>
        <v>566650</v>
      </c>
      <c r="G183" s="150">
        <v>50</v>
      </c>
      <c r="H183" s="159">
        <v>0</v>
      </c>
      <c r="I183" s="152">
        <f t="shared" si="144"/>
        <v>1333</v>
      </c>
      <c r="J183" s="152">
        <f t="shared" si="145"/>
        <v>10000</v>
      </c>
      <c r="K183" s="152">
        <f t="shared" si="146"/>
        <v>67983</v>
      </c>
      <c r="L183" s="152">
        <f t="shared" si="147"/>
        <v>0</v>
      </c>
      <c r="M183" s="153">
        <f t="shared" si="148"/>
        <v>51</v>
      </c>
      <c r="N183" s="153">
        <f t="shared" si="149"/>
        <v>0</v>
      </c>
      <c r="O183" s="154">
        <f t="shared" si="150"/>
        <v>487319</v>
      </c>
      <c r="P183" s="155">
        <f t="shared" si="151"/>
        <v>79331</v>
      </c>
      <c r="Q183" s="156" t="s">
        <v>746</v>
      </c>
      <c r="R183" s="157">
        <v>1</v>
      </c>
      <c r="S183" s="157">
        <v>50</v>
      </c>
      <c r="T183" s="157">
        <v>1</v>
      </c>
      <c r="U183" s="158">
        <v>487319</v>
      </c>
      <c r="V183" s="158">
        <v>79331</v>
      </c>
    </row>
    <row r="184" spans="1:32" s="157" customFormat="1">
      <c r="A184" s="101">
        <v>20</v>
      </c>
      <c r="B184" s="146">
        <v>0</v>
      </c>
      <c r="C184" s="147" t="s">
        <v>195</v>
      </c>
      <c r="D184" s="148">
        <v>500000</v>
      </c>
      <c r="E184" s="148">
        <f t="shared" si="143"/>
        <v>66650</v>
      </c>
      <c r="F184" s="149">
        <f>D184+E184</f>
        <v>566650</v>
      </c>
      <c r="G184" s="150">
        <v>50</v>
      </c>
      <c r="H184" s="159">
        <v>0</v>
      </c>
      <c r="I184" s="152">
        <f t="shared" si="144"/>
        <v>1333</v>
      </c>
      <c r="J184" s="152">
        <f t="shared" si="145"/>
        <v>10000</v>
      </c>
      <c r="K184" s="152">
        <f t="shared" si="146"/>
        <v>67983</v>
      </c>
      <c r="L184" s="152">
        <f t="shared" si="147"/>
        <v>0</v>
      </c>
      <c r="M184" s="153">
        <f t="shared" si="148"/>
        <v>51</v>
      </c>
      <c r="N184" s="153">
        <f t="shared" si="149"/>
        <v>0</v>
      </c>
      <c r="O184" s="154">
        <f t="shared" si="150"/>
        <v>487319</v>
      </c>
      <c r="P184" s="155">
        <f t="shared" si="151"/>
        <v>79331</v>
      </c>
      <c r="Q184" s="156" t="s">
        <v>746</v>
      </c>
      <c r="R184" s="157">
        <v>1</v>
      </c>
      <c r="S184" s="157">
        <v>50</v>
      </c>
      <c r="T184" s="157">
        <v>1</v>
      </c>
      <c r="U184" s="158">
        <v>487319</v>
      </c>
      <c r="V184" s="158">
        <v>79331</v>
      </c>
    </row>
    <row r="185" spans="1:32" s="157" customFormat="1">
      <c r="A185" s="101">
        <v>24</v>
      </c>
      <c r="B185" s="146">
        <v>0</v>
      </c>
      <c r="C185" s="147" t="s">
        <v>687</v>
      </c>
      <c r="D185" s="148">
        <v>500000</v>
      </c>
      <c r="E185" s="148">
        <f>D185*0.09</f>
        <v>45000</v>
      </c>
      <c r="F185" s="149">
        <f t="shared" ref="F185:F201" si="152">G185*H185</f>
        <v>0</v>
      </c>
      <c r="G185" s="150">
        <v>25</v>
      </c>
      <c r="H185" s="159">
        <v>0</v>
      </c>
      <c r="I185" s="152">
        <f t="shared" si="144"/>
        <v>1800</v>
      </c>
      <c r="J185" s="152">
        <f t="shared" si="145"/>
        <v>20000</v>
      </c>
      <c r="K185" s="152">
        <f t="shared" si="146"/>
        <v>91800</v>
      </c>
      <c r="L185" s="152">
        <f t="shared" si="147"/>
        <v>0</v>
      </c>
      <c r="M185" s="153">
        <f t="shared" si="148"/>
        <v>51</v>
      </c>
      <c r="N185" s="153">
        <f t="shared" si="149"/>
        <v>0</v>
      </c>
      <c r="O185" s="154">
        <f t="shared" si="150"/>
        <v>376822</v>
      </c>
      <c r="P185" s="155">
        <f t="shared" si="151"/>
        <v>177328</v>
      </c>
      <c r="Q185" s="156" t="s">
        <v>746</v>
      </c>
      <c r="R185" s="157">
        <v>1</v>
      </c>
      <c r="S185" s="157">
        <v>50</v>
      </c>
      <c r="T185" s="157">
        <v>1</v>
      </c>
      <c r="U185" s="158">
        <v>376822</v>
      </c>
      <c r="V185" s="158">
        <v>177328</v>
      </c>
    </row>
    <row r="186" spans="1:32" s="157" customFormat="1">
      <c r="A186" s="101">
        <v>165</v>
      </c>
      <c r="B186" s="181"/>
      <c r="C186" s="147" t="s">
        <v>254</v>
      </c>
      <c r="D186" s="148">
        <v>150000</v>
      </c>
      <c r="E186" s="148">
        <f t="shared" ref="E186:E201" si="153">D186*0.1333</f>
        <v>19995</v>
      </c>
      <c r="F186" s="149">
        <f t="shared" si="152"/>
        <v>0</v>
      </c>
      <c r="G186" s="177">
        <v>50</v>
      </c>
      <c r="H186" s="159">
        <v>0</v>
      </c>
      <c r="I186" s="152">
        <f t="shared" si="144"/>
        <v>399.9</v>
      </c>
      <c r="J186" s="152">
        <f t="shared" si="145"/>
        <v>3000</v>
      </c>
      <c r="K186" s="152">
        <f t="shared" si="146"/>
        <v>20394.899999999998</v>
      </c>
      <c r="L186" s="152">
        <f t="shared" si="147"/>
        <v>0</v>
      </c>
      <c r="M186" s="153">
        <f t="shared" si="148"/>
        <v>51</v>
      </c>
      <c r="N186" s="153">
        <f t="shared" si="149"/>
        <v>0</v>
      </c>
      <c r="O186" s="154">
        <f t="shared" si="150"/>
        <v>146195.6999999999</v>
      </c>
      <c r="P186" s="155">
        <f t="shared" si="151"/>
        <v>23799.300000000097</v>
      </c>
      <c r="Q186" s="156" t="s">
        <v>746</v>
      </c>
      <c r="R186" s="157">
        <v>1</v>
      </c>
      <c r="S186" s="157">
        <v>50</v>
      </c>
      <c r="T186" s="157">
        <v>1</v>
      </c>
      <c r="U186" s="158">
        <v>146195.6999999999</v>
      </c>
      <c r="V186" s="158">
        <v>23799.300000000097</v>
      </c>
      <c r="AD186" s="157">
        <v>14</v>
      </c>
      <c r="AE186" s="243">
        <v>80228.490000000005</v>
      </c>
      <c r="AF186" s="157" t="s">
        <v>771</v>
      </c>
    </row>
    <row r="187" spans="1:32" s="157" customFormat="1">
      <c r="A187" s="101">
        <v>166</v>
      </c>
      <c r="B187" s="181"/>
      <c r="C187" s="147" t="s">
        <v>255</v>
      </c>
      <c r="D187" s="148">
        <v>150000</v>
      </c>
      <c r="E187" s="148">
        <f t="shared" si="153"/>
        <v>19995</v>
      </c>
      <c r="F187" s="149">
        <f t="shared" si="152"/>
        <v>0</v>
      </c>
      <c r="G187" s="177">
        <v>50</v>
      </c>
      <c r="H187" s="159">
        <v>0</v>
      </c>
      <c r="I187" s="152">
        <f t="shared" si="144"/>
        <v>399.9</v>
      </c>
      <c r="J187" s="152">
        <f t="shared" si="145"/>
        <v>3000</v>
      </c>
      <c r="K187" s="152">
        <f t="shared" si="146"/>
        <v>20394.899999999998</v>
      </c>
      <c r="L187" s="152">
        <f t="shared" si="147"/>
        <v>0</v>
      </c>
      <c r="M187" s="153">
        <f t="shared" si="148"/>
        <v>51</v>
      </c>
      <c r="N187" s="153">
        <f t="shared" si="149"/>
        <v>0</v>
      </c>
      <c r="O187" s="154">
        <f t="shared" si="150"/>
        <v>146195.6999999999</v>
      </c>
      <c r="P187" s="155">
        <f t="shared" si="151"/>
        <v>23799.300000000097</v>
      </c>
      <c r="Q187" s="156" t="s">
        <v>746</v>
      </c>
      <c r="R187" s="157">
        <v>1</v>
      </c>
      <c r="S187" s="157">
        <v>50</v>
      </c>
      <c r="T187" s="157">
        <v>1</v>
      </c>
      <c r="U187" s="158">
        <v>146195.6999999999</v>
      </c>
      <c r="V187" s="158">
        <v>23799.300000000097</v>
      </c>
      <c r="AD187" s="157">
        <v>15</v>
      </c>
      <c r="AE187" s="243">
        <v>48278.69</v>
      </c>
      <c r="AF187" s="157" t="s">
        <v>772</v>
      </c>
    </row>
    <row r="188" spans="1:32" s="166" customFormat="1">
      <c r="A188" s="101">
        <v>145</v>
      </c>
      <c r="B188" s="133">
        <v>0</v>
      </c>
      <c r="C188" s="137" t="s">
        <v>238</v>
      </c>
      <c r="D188" s="134">
        <v>150000</v>
      </c>
      <c r="E188" s="134">
        <f t="shared" si="153"/>
        <v>19995</v>
      </c>
      <c r="F188" s="135">
        <f t="shared" si="152"/>
        <v>0</v>
      </c>
      <c r="G188" s="178">
        <v>50</v>
      </c>
      <c r="H188" s="91">
        <v>0</v>
      </c>
      <c r="I188" s="136">
        <f t="shared" si="144"/>
        <v>399.9</v>
      </c>
      <c r="J188" s="136">
        <f t="shared" si="145"/>
        <v>3000</v>
      </c>
      <c r="K188" s="136">
        <f t="shared" si="146"/>
        <v>20394.899999999998</v>
      </c>
      <c r="L188" s="136">
        <f t="shared" si="147"/>
        <v>0</v>
      </c>
      <c r="M188" s="163">
        <f t="shared" si="148"/>
        <v>51</v>
      </c>
      <c r="N188" s="163">
        <f t="shared" si="149"/>
        <v>0</v>
      </c>
      <c r="O188" s="164">
        <f t="shared" si="150"/>
        <v>146195.6999999999</v>
      </c>
      <c r="P188" s="97">
        <f t="shared" si="151"/>
        <v>23799.300000000097</v>
      </c>
      <c r="Q188" s="156" t="s">
        <v>746</v>
      </c>
      <c r="R188" s="166">
        <v>1</v>
      </c>
      <c r="S188" s="166">
        <v>50</v>
      </c>
      <c r="T188" s="166">
        <v>1</v>
      </c>
      <c r="U188" s="167">
        <v>146195.6999999999</v>
      </c>
      <c r="V188" s="167">
        <v>23799.300000000097</v>
      </c>
    </row>
    <row r="189" spans="1:32" s="166" customFormat="1">
      <c r="A189" s="101">
        <v>147</v>
      </c>
      <c r="B189" s="133">
        <v>0</v>
      </c>
      <c r="C189" s="137" t="s">
        <v>239</v>
      </c>
      <c r="D189" s="134">
        <v>150000</v>
      </c>
      <c r="E189" s="134">
        <f t="shared" si="153"/>
        <v>19995</v>
      </c>
      <c r="F189" s="135">
        <f t="shared" si="152"/>
        <v>0</v>
      </c>
      <c r="G189" s="178">
        <v>50</v>
      </c>
      <c r="H189" s="91">
        <v>0</v>
      </c>
      <c r="I189" s="136">
        <f t="shared" si="144"/>
        <v>399.9</v>
      </c>
      <c r="J189" s="136">
        <f t="shared" si="145"/>
        <v>3000</v>
      </c>
      <c r="K189" s="136">
        <f t="shared" si="146"/>
        <v>20394.899999999998</v>
      </c>
      <c r="L189" s="136">
        <f t="shared" si="147"/>
        <v>0</v>
      </c>
      <c r="M189" s="163">
        <f t="shared" si="148"/>
        <v>51</v>
      </c>
      <c r="N189" s="163">
        <f t="shared" si="149"/>
        <v>0</v>
      </c>
      <c r="O189" s="164">
        <f t="shared" si="150"/>
        <v>146195.6999999999</v>
      </c>
      <c r="P189" s="97">
        <f t="shared" si="151"/>
        <v>23799.300000000097</v>
      </c>
      <c r="Q189" s="156" t="s">
        <v>746</v>
      </c>
      <c r="R189" s="166">
        <v>1</v>
      </c>
      <c r="S189" s="166">
        <v>50</v>
      </c>
      <c r="T189" s="166">
        <v>1</v>
      </c>
      <c r="U189" s="167">
        <v>146195.6999999999</v>
      </c>
      <c r="V189" s="167">
        <v>23799.300000000097</v>
      </c>
    </row>
    <row r="190" spans="1:32" s="166" customFormat="1">
      <c r="A190" s="101">
        <v>36</v>
      </c>
      <c r="B190" s="133">
        <v>0</v>
      </c>
      <c r="C190" s="137" t="s">
        <v>199</v>
      </c>
      <c r="D190" s="134">
        <v>330000</v>
      </c>
      <c r="E190" s="134">
        <f t="shared" si="153"/>
        <v>43989</v>
      </c>
      <c r="F190" s="135">
        <f t="shared" si="152"/>
        <v>0</v>
      </c>
      <c r="G190" s="162">
        <v>50</v>
      </c>
      <c r="H190" s="91">
        <v>0</v>
      </c>
      <c r="I190" s="136">
        <f t="shared" si="144"/>
        <v>879.78</v>
      </c>
      <c r="J190" s="136">
        <f t="shared" si="145"/>
        <v>6600</v>
      </c>
      <c r="K190" s="136">
        <f t="shared" si="146"/>
        <v>44868.78</v>
      </c>
      <c r="L190" s="136">
        <f t="shared" si="147"/>
        <v>0</v>
      </c>
      <c r="M190" s="163">
        <f t="shared" si="148"/>
        <v>51</v>
      </c>
      <c r="N190" s="163">
        <f t="shared" si="149"/>
        <v>0</v>
      </c>
      <c r="O190" s="164">
        <f t="shared" si="150"/>
        <v>321630.54000000021</v>
      </c>
      <c r="P190" s="97">
        <f t="shared" si="151"/>
        <v>52358.459999999875</v>
      </c>
      <c r="Q190" s="156" t="s">
        <v>746</v>
      </c>
      <c r="R190" s="166">
        <v>1</v>
      </c>
      <c r="S190" s="166">
        <v>50</v>
      </c>
      <c r="T190" s="166">
        <v>1</v>
      </c>
      <c r="U190" s="167">
        <v>321630.54000000021</v>
      </c>
      <c r="V190" s="167">
        <v>52358.459999999875</v>
      </c>
    </row>
    <row r="191" spans="1:32" s="166" customFormat="1">
      <c r="A191" s="101">
        <v>37</v>
      </c>
      <c r="B191" s="133">
        <v>0</v>
      </c>
      <c r="C191" s="137" t="s">
        <v>200</v>
      </c>
      <c r="D191" s="134">
        <v>330000</v>
      </c>
      <c r="E191" s="134">
        <f t="shared" si="153"/>
        <v>43989</v>
      </c>
      <c r="F191" s="135">
        <f t="shared" si="152"/>
        <v>0</v>
      </c>
      <c r="G191" s="162">
        <v>50</v>
      </c>
      <c r="H191" s="91">
        <v>0</v>
      </c>
      <c r="I191" s="136">
        <f t="shared" si="144"/>
        <v>879.78</v>
      </c>
      <c r="J191" s="136">
        <f t="shared" si="145"/>
        <v>6600</v>
      </c>
      <c r="K191" s="136">
        <f t="shared" si="146"/>
        <v>44868.78</v>
      </c>
      <c r="L191" s="136">
        <f t="shared" si="147"/>
        <v>0</v>
      </c>
      <c r="M191" s="163">
        <f t="shared" si="148"/>
        <v>51</v>
      </c>
      <c r="N191" s="163">
        <f t="shared" si="149"/>
        <v>0</v>
      </c>
      <c r="O191" s="164">
        <f t="shared" si="150"/>
        <v>321630.54000000021</v>
      </c>
      <c r="P191" s="97">
        <f t="shared" si="151"/>
        <v>52358.459999999875</v>
      </c>
      <c r="Q191" s="156" t="s">
        <v>746</v>
      </c>
      <c r="R191" s="166">
        <v>1</v>
      </c>
      <c r="S191" s="166">
        <v>50</v>
      </c>
      <c r="T191" s="166">
        <v>1</v>
      </c>
      <c r="U191" s="167">
        <v>321630.54000000021</v>
      </c>
      <c r="V191" s="167">
        <v>52358.459999999875</v>
      </c>
    </row>
    <row r="192" spans="1:32" s="166" customFormat="1">
      <c r="A192" s="101">
        <v>39</v>
      </c>
      <c r="B192" s="133">
        <v>0</v>
      </c>
      <c r="C192" s="137" t="s">
        <v>202</v>
      </c>
      <c r="D192" s="134">
        <v>330000</v>
      </c>
      <c r="E192" s="134">
        <f t="shared" si="153"/>
        <v>43989</v>
      </c>
      <c r="F192" s="135">
        <f t="shared" si="152"/>
        <v>0</v>
      </c>
      <c r="G192" s="162">
        <v>50</v>
      </c>
      <c r="H192" s="91">
        <v>0</v>
      </c>
      <c r="I192" s="136">
        <f t="shared" si="144"/>
        <v>879.78</v>
      </c>
      <c r="J192" s="136">
        <f t="shared" si="145"/>
        <v>6600</v>
      </c>
      <c r="K192" s="136">
        <f t="shared" si="146"/>
        <v>44868.78</v>
      </c>
      <c r="L192" s="136">
        <f t="shared" si="147"/>
        <v>0</v>
      </c>
      <c r="M192" s="163">
        <f t="shared" si="148"/>
        <v>51</v>
      </c>
      <c r="N192" s="163">
        <f t="shared" si="149"/>
        <v>0</v>
      </c>
      <c r="O192" s="164">
        <f t="shared" si="150"/>
        <v>321630.54000000021</v>
      </c>
      <c r="P192" s="97">
        <f t="shared" si="151"/>
        <v>52358.459999999875</v>
      </c>
      <c r="Q192" s="156" t="s">
        <v>746</v>
      </c>
      <c r="R192" s="166">
        <v>1</v>
      </c>
      <c r="S192" s="166">
        <v>50</v>
      </c>
      <c r="T192" s="166">
        <v>1</v>
      </c>
      <c r="U192" s="167">
        <v>321630.54000000021</v>
      </c>
      <c r="V192" s="167">
        <v>52358.459999999875</v>
      </c>
    </row>
    <row r="193" spans="1:32" s="166" customFormat="1">
      <c r="A193" s="101">
        <v>43</v>
      </c>
      <c r="B193" s="133">
        <v>0</v>
      </c>
      <c r="C193" s="137" t="s">
        <v>204</v>
      </c>
      <c r="D193" s="134">
        <v>130000</v>
      </c>
      <c r="E193" s="134">
        <f t="shared" si="153"/>
        <v>17329</v>
      </c>
      <c r="F193" s="135">
        <f t="shared" si="152"/>
        <v>0</v>
      </c>
      <c r="G193" s="162">
        <v>50</v>
      </c>
      <c r="H193" s="91">
        <v>0</v>
      </c>
      <c r="I193" s="136">
        <f t="shared" si="144"/>
        <v>346.58</v>
      </c>
      <c r="J193" s="136">
        <f t="shared" si="145"/>
        <v>2600</v>
      </c>
      <c r="K193" s="136">
        <f t="shared" si="146"/>
        <v>17675.579999999998</v>
      </c>
      <c r="L193" s="136">
        <f t="shared" si="147"/>
        <v>0</v>
      </c>
      <c r="M193" s="163">
        <f t="shared" si="148"/>
        <v>51</v>
      </c>
      <c r="N193" s="163">
        <f t="shared" si="149"/>
        <v>0</v>
      </c>
      <c r="O193" s="164">
        <f t="shared" si="150"/>
        <v>146195.6999999999</v>
      </c>
      <c r="P193" s="97">
        <f t="shared" si="151"/>
        <v>23799.300000000097</v>
      </c>
      <c r="Q193" s="156" t="s">
        <v>746</v>
      </c>
      <c r="R193" s="166">
        <v>1</v>
      </c>
      <c r="S193" s="166">
        <v>50</v>
      </c>
      <c r="T193" s="166">
        <v>1</v>
      </c>
      <c r="U193" s="167">
        <v>146195.6999999999</v>
      </c>
      <c r="V193" s="167">
        <v>23799.300000000097</v>
      </c>
    </row>
    <row r="194" spans="1:32">
      <c r="A194" s="101">
        <v>171</v>
      </c>
      <c r="B194" s="80"/>
      <c r="C194" s="34" t="s">
        <v>257</v>
      </c>
      <c r="D194" s="17">
        <v>330000</v>
      </c>
      <c r="E194" s="17">
        <f t="shared" si="153"/>
        <v>43989</v>
      </c>
      <c r="F194" s="18">
        <f t="shared" si="152"/>
        <v>0</v>
      </c>
      <c r="G194" s="23">
        <v>50</v>
      </c>
      <c r="H194" s="89">
        <v>0</v>
      </c>
      <c r="I194" s="11">
        <f t="shared" si="144"/>
        <v>879.78</v>
      </c>
      <c r="J194" s="11">
        <f t="shared" si="145"/>
        <v>6600</v>
      </c>
      <c r="K194" s="11">
        <f t="shared" si="146"/>
        <v>44868.78</v>
      </c>
      <c r="L194" s="11">
        <f t="shared" si="147"/>
        <v>0</v>
      </c>
      <c r="M194" s="27">
        <f t="shared" si="148"/>
        <v>51</v>
      </c>
      <c r="N194" s="27">
        <f t="shared" si="149"/>
        <v>0</v>
      </c>
      <c r="O194" s="28">
        <f t="shared" si="150"/>
        <v>321630.54000000021</v>
      </c>
      <c r="P194" s="97">
        <f t="shared" si="151"/>
        <v>52358.459999999875</v>
      </c>
      <c r="Q194" s="156" t="s">
        <v>746</v>
      </c>
      <c r="R194">
        <v>1</v>
      </c>
      <c r="S194">
        <v>50</v>
      </c>
      <c r="T194">
        <v>1</v>
      </c>
      <c r="U194" s="5">
        <v>321630.54000000021</v>
      </c>
      <c r="V194" s="5">
        <v>52358.459999999875</v>
      </c>
      <c r="AD194" s="157">
        <v>20</v>
      </c>
      <c r="AE194" s="243">
        <v>31959.06</v>
      </c>
      <c r="AF194" t="s">
        <v>332</v>
      </c>
    </row>
    <row r="195" spans="1:32">
      <c r="A195" s="101">
        <v>169</v>
      </c>
      <c r="B195" s="80"/>
      <c r="C195" s="34" t="s">
        <v>256</v>
      </c>
      <c r="D195" s="17">
        <v>330000</v>
      </c>
      <c r="E195" s="17">
        <f t="shared" si="153"/>
        <v>43989</v>
      </c>
      <c r="F195" s="18">
        <f t="shared" si="152"/>
        <v>0</v>
      </c>
      <c r="G195" s="23">
        <v>50</v>
      </c>
      <c r="H195" s="89">
        <v>0</v>
      </c>
      <c r="I195" s="11">
        <f t="shared" si="144"/>
        <v>879.78</v>
      </c>
      <c r="J195" s="11">
        <f t="shared" si="145"/>
        <v>6600</v>
      </c>
      <c r="K195" s="11">
        <f t="shared" si="146"/>
        <v>44868.78</v>
      </c>
      <c r="L195" s="11">
        <f t="shared" si="147"/>
        <v>0</v>
      </c>
      <c r="M195" s="27">
        <f t="shared" si="148"/>
        <v>51</v>
      </c>
      <c r="N195" s="27">
        <f t="shared" si="149"/>
        <v>0</v>
      </c>
      <c r="O195" s="28">
        <f t="shared" si="150"/>
        <v>321630.54000000021</v>
      </c>
      <c r="P195" s="97">
        <f t="shared" si="151"/>
        <v>52358.459999999875</v>
      </c>
      <c r="Q195" s="156" t="s">
        <v>746</v>
      </c>
      <c r="R195">
        <v>1</v>
      </c>
      <c r="S195">
        <v>50</v>
      </c>
      <c r="T195">
        <v>1</v>
      </c>
      <c r="U195" s="5">
        <v>321630.54000000021</v>
      </c>
      <c r="V195" s="5">
        <v>52358.459999999875</v>
      </c>
      <c r="AD195" s="157">
        <v>18</v>
      </c>
      <c r="AE195" s="243">
        <v>21759.360000000001</v>
      </c>
      <c r="AF195" t="s">
        <v>787</v>
      </c>
    </row>
    <row r="196" spans="1:32" s="157" customFormat="1">
      <c r="A196" s="101">
        <v>107</v>
      </c>
      <c r="B196" s="146">
        <v>0</v>
      </c>
      <c r="C196" s="147" t="s">
        <v>231</v>
      </c>
      <c r="D196" s="148">
        <v>330000</v>
      </c>
      <c r="E196" s="148">
        <f t="shared" si="153"/>
        <v>43989</v>
      </c>
      <c r="F196" s="149">
        <f t="shared" si="152"/>
        <v>373818.5</v>
      </c>
      <c r="G196" s="177">
        <v>50</v>
      </c>
      <c r="H196" s="159">
        <v>7476.37</v>
      </c>
      <c r="I196" s="152">
        <f t="shared" si="144"/>
        <v>879.78</v>
      </c>
      <c r="J196" s="152">
        <f t="shared" si="145"/>
        <v>6600</v>
      </c>
      <c r="K196" s="152">
        <f t="shared" si="146"/>
        <v>44868.78</v>
      </c>
      <c r="L196" s="152">
        <f t="shared" si="147"/>
        <v>0</v>
      </c>
      <c r="M196" s="153">
        <f t="shared" si="148"/>
        <v>51</v>
      </c>
      <c r="N196" s="153">
        <f t="shared" si="149"/>
        <v>0</v>
      </c>
      <c r="O196" s="154">
        <f t="shared" si="150"/>
        <v>329110.32000000036</v>
      </c>
      <c r="P196" s="155">
        <f t="shared" si="151"/>
        <v>44878.679999999622</v>
      </c>
      <c r="Q196" s="156" t="s">
        <v>746</v>
      </c>
      <c r="R196" s="157">
        <v>1</v>
      </c>
      <c r="S196" s="157">
        <v>50</v>
      </c>
      <c r="T196" s="157">
        <v>1</v>
      </c>
      <c r="U196" s="158">
        <v>321633.95000000036</v>
      </c>
      <c r="V196" s="158">
        <v>52355.049999999625</v>
      </c>
    </row>
    <row r="197" spans="1:32" s="157" customFormat="1">
      <c r="A197" s="101">
        <v>109</v>
      </c>
      <c r="B197" s="146">
        <v>0</v>
      </c>
      <c r="C197" s="147" t="s">
        <v>233</v>
      </c>
      <c r="D197" s="148">
        <v>150000</v>
      </c>
      <c r="E197" s="148">
        <f t="shared" si="153"/>
        <v>19995</v>
      </c>
      <c r="F197" s="149">
        <f t="shared" si="152"/>
        <v>189570</v>
      </c>
      <c r="G197" s="150">
        <v>50</v>
      </c>
      <c r="H197" s="159">
        <v>3791.4</v>
      </c>
      <c r="I197" s="152">
        <f t="shared" si="144"/>
        <v>399.9</v>
      </c>
      <c r="J197" s="152">
        <f t="shared" si="145"/>
        <v>3000</v>
      </c>
      <c r="K197" s="152">
        <f t="shared" si="146"/>
        <v>19995</v>
      </c>
      <c r="L197" s="152">
        <f t="shared" si="147"/>
        <v>399.9</v>
      </c>
      <c r="M197" s="153">
        <f t="shared" si="148"/>
        <v>50</v>
      </c>
      <c r="N197" s="153">
        <f t="shared" si="149"/>
        <v>1</v>
      </c>
      <c r="O197" s="154">
        <f t="shared" si="150"/>
        <v>146587.1999999999</v>
      </c>
      <c r="P197" s="155">
        <f t="shared" si="151"/>
        <v>23407.800000000097</v>
      </c>
      <c r="Q197" s="156" t="s">
        <v>746</v>
      </c>
      <c r="R197" s="157">
        <v>1</v>
      </c>
      <c r="S197" s="157">
        <v>49</v>
      </c>
      <c r="T197" s="157">
        <v>2</v>
      </c>
      <c r="U197" s="158">
        <v>142795.7999999999</v>
      </c>
      <c r="V197" s="158">
        <v>27199.200000000099</v>
      </c>
    </row>
    <row r="198" spans="1:32" s="166" customFormat="1">
      <c r="A198" s="101">
        <v>157</v>
      </c>
      <c r="B198" s="179"/>
      <c r="C198" s="137" t="s">
        <v>247</v>
      </c>
      <c r="D198" s="134">
        <v>330000</v>
      </c>
      <c r="E198" s="134">
        <f t="shared" si="153"/>
        <v>43989</v>
      </c>
      <c r="F198" s="135">
        <f t="shared" si="152"/>
        <v>0</v>
      </c>
      <c r="G198" s="178">
        <v>50</v>
      </c>
      <c r="H198" s="91">
        <v>0</v>
      </c>
      <c r="I198" s="136">
        <f t="shared" si="144"/>
        <v>879.78</v>
      </c>
      <c r="J198" s="136">
        <f t="shared" si="145"/>
        <v>6600</v>
      </c>
      <c r="K198" s="136">
        <f t="shared" si="146"/>
        <v>44868.78</v>
      </c>
      <c r="L198" s="136">
        <f t="shared" si="147"/>
        <v>0</v>
      </c>
      <c r="M198" s="163">
        <f t="shared" si="148"/>
        <v>51</v>
      </c>
      <c r="N198" s="163">
        <f t="shared" si="149"/>
        <v>0</v>
      </c>
      <c r="O198" s="164">
        <f t="shared" si="150"/>
        <v>321630.54000000021</v>
      </c>
      <c r="P198" s="97">
        <f t="shared" si="151"/>
        <v>52358.459999999875</v>
      </c>
      <c r="Q198" s="156" t="s">
        <v>746</v>
      </c>
      <c r="R198" s="166">
        <v>1</v>
      </c>
      <c r="S198" s="166">
        <v>50</v>
      </c>
      <c r="T198" s="166">
        <v>1</v>
      </c>
      <c r="U198" s="167">
        <v>321630.54000000021</v>
      </c>
      <c r="V198" s="167">
        <v>52358.459999999875</v>
      </c>
      <c r="AD198" s="166">
        <v>6</v>
      </c>
      <c r="AE198" s="175">
        <v>101997</v>
      </c>
      <c r="AF198" s="166" t="s">
        <v>765</v>
      </c>
    </row>
    <row r="199" spans="1:32" s="166" customFormat="1">
      <c r="A199" s="101">
        <v>158</v>
      </c>
      <c r="B199" s="179"/>
      <c r="C199" s="137" t="s">
        <v>249</v>
      </c>
      <c r="D199" s="134">
        <v>330000</v>
      </c>
      <c r="E199" s="134">
        <f t="shared" si="153"/>
        <v>43989</v>
      </c>
      <c r="F199" s="135">
        <f t="shared" si="152"/>
        <v>0</v>
      </c>
      <c r="G199" s="178">
        <v>50</v>
      </c>
      <c r="H199" s="91">
        <v>0</v>
      </c>
      <c r="I199" s="136">
        <f t="shared" si="144"/>
        <v>879.78</v>
      </c>
      <c r="J199" s="136">
        <f t="shared" si="145"/>
        <v>6600</v>
      </c>
      <c r="K199" s="136">
        <f t="shared" si="146"/>
        <v>44868.78</v>
      </c>
      <c r="L199" s="136">
        <f t="shared" si="147"/>
        <v>0</v>
      </c>
      <c r="M199" s="163">
        <f t="shared" si="148"/>
        <v>51</v>
      </c>
      <c r="N199" s="163">
        <f t="shared" si="149"/>
        <v>0</v>
      </c>
      <c r="O199" s="164">
        <f t="shared" si="150"/>
        <v>321630.54000000021</v>
      </c>
      <c r="P199" s="97">
        <f t="shared" si="151"/>
        <v>52358.459999999875</v>
      </c>
      <c r="Q199" s="156" t="s">
        <v>746</v>
      </c>
      <c r="R199" s="166">
        <v>1</v>
      </c>
      <c r="S199" s="166">
        <v>50</v>
      </c>
      <c r="T199" s="166">
        <v>1</v>
      </c>
      <c r="U199" s="167">
        <v>321630.54000000021</v>
      </c>
      <c r="V199" s="167">
        <v>52358.459999999875</v>
      </c>
      <c r="AD199" s="166">
        <v>7</v>
      </c>
      <c r="AE199" s="243">
        <v>99593.24</v>
      </c>
      <c r="AF199" s="166" t="s">
        <v>338</v>
      </c>
    </row>
    <row r="200" spans="1:32" s="166" customFormat="1">
      <c r="A200" s="101">
        <v>159</v>
      </c>
      <c r="B200" s="179"/>
      <c r="C200" s="137" t="s">
        <v>251</v>
      </c>
      <c r="D200" s="134">
        <v>330000</v>
      </c>
      <c r="E200" s="134">
        <f t="shared" si="153"/>
        <v>43989</v>
      </c>
      <c r="F200" s="135">
        <f t="shared" si="152"/>
        <v>0</v>
      </c>
      <c r="G200" s="178">
        <v>50</v>
      </c>
      <c r="H200" s="91">
        <v>0</v>
      </c>
      <c r="I200" s="136">
        <f t="shared" si="144"/>
        <v>879.78</v>
      </c>
      <c r="J200" s="136">
        <f t="shared" si="145"/>
        <v>6600</v>
      </c>
      <c r="K200" s="136">
        <f t="shared" si="146"/>
        <v>44868.78</v>
      </c>
      <c r="L200" s="136">
        <f t="shared" si="147"/>
        <v>0</v>
      </c>
      <c r="M200" s="163">
        <f t="shared" si="148"/>
        <v>51</v>
      </c>
      <c r="N200" s="163">
        <f t="shared" si="149"/>
        <v>0</v>
      </c>
      <c r="O200" s="164">
        <f t="shared" si="150"/>
        <v>321630.54000000021</v>
      </c>
      <c r="P200" s="97">
        <f t="shared" si="151"/>
        <v>52358.459999999875</v>
      </c>
      <c r="Q200" s="156" t="s">
        <v>746</v>
      </c>
      <c r="R200" s="166">
        <v>1</v>
      </c>
      <c r="S200" s="166">
        <v>50</v>
      </c>
      <c r="T200" s="166">
        <v>1</v>
      </c>
      <c r="U200" s="167">
        <v>321630.54000000021</v>
      </c>
      <c r="V200" s="167">
        <v>52358.459999999875</v>
      </c>
      <c r="AD200" s="166">
        <v>8</v>
      </c>
      <c r="AE200" s="244">
        <v>26292.560000000001</v>
      </c>
      <c r="AF200" s="166" t="s">
        <v>766</v>
      </c>
    </row>
    <row r="201" spans="1:32" s="157" customFormat="1">
      <c r="A201" s="101">
        <v>55</v>
      </c>
      <c r="B201" s="146">
        <v>0</v>
      </c>
      <c r="C201" s="147" t="s">
        <v>208</v>
      </c>
      <c r="D201" s="148">
        <v>330000</v>
      </c>
      <c r="E201" s="148">
        <f t="shared" si="153"/>
        <v>43989</v>
      </c>
      <c r="F201" s="149">
        <f t="shared" si="152"/>
        <v>0</v>
      </c>
      <c r="G201" s="150">
        <v>50</v>
      </c>
      <c r="H201" s="159">
        <v>0</v>
      </c>
      <c r="I201" s="152">
        <f t="shared" si="144"/>
        <v>879.78</v>
      </c>
      <c r="J201" s="152">
        <f t="shared" si="145"/>
        <v>6600</v>
      </c>
      <c r="K201" s="152">
        <f t="shared" si="146"/>
        <v>44868.78</v>
      </c>
      <c r="L201" s="152">
        <f t="shared" si="147"/>
        <v>0</v>
      </c>
      <c r="M201" s="153">
        <f t="shared" si="148"/>
        <v>51</v>
      </c>
      <c r="N201" s="153">
        <f t="shared" si="149"/>
        <v>0</v>
      </c>
      <c r="O201" s="154">
        <f t="shared" si="150"/>
        <v>321630.54000000021</v>
      </c>
      <c r="P201" s="155">
        <f t="shared" si="151"/>
        <v>52358.459999999875</v>
      </c>
      <c r="Q201" s="156"/>
      <c r="R201" s="157">
        <v>1</v>
      </c>
      <c r="S201" s="157">
        <v>50</v>
      </c>
      <c r="T201" s="157">
        <v>1</v>
      </c>
      <c r="U201" s="158">
        <v>321630.54000000021</v>
      </c>
      <c r="V201" s="158">
        <v>52358.459999999875</v>
      </c>
    </row>
  </sheetData>
  <mergeCells count="2">
    <mergeCell ref="A1:Q1"/>
    <mergeCell ref="A141:F141"/>
  </mergeCells>
  <pageMargins left="0.22" right="0.2" top="0.75" bottom="0.75" header="0.3" footer="0.3"/>
  <pageSetup paperSize="9" scale="6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41"/>
  <sheetViews>
    <sheetView topLeftCell="D118" workbookViewId="0">
      <selection sqref="A1:Q141"/>
    </sheetView>
  </sheetViews>
  <sheetFormatPr defaultRowHeight="15"/>
  <cols>
    <col min="1" max="1" width="6.5703125" style="24" bestFit="1" customWidth="1"/>
    <col min="2" max="2" width="6.5703125" style="37" bestFit="1" customWidth="1"/>
    <col min="3" max="3" width="23.85546875" style="88" customWidth="1"/>
    <col min="4" max="4" width="13.7109375" style="37" bestFit="1" customWidth="1"/>
    <col min="5" max="5" width="12.5703125" style="37" bestFit="1" customWidth="1"/>
    <col min="6" max="6" width="15.7109375" style="37" bestFit="1" customWidth="1"/>
    <col min="7" max="7" width="9.5703125" style="37" bestFit="1" customWidth="1"/>
    <col min="8" max="8" width="15.7109375" style="37" bestFit="1" customWidth="1"/>
    <col min="9" max="10" width="12.5703125" style="37" bestFit="1" customWidth="1"/>
    <col min="11" max="12" width="16.7109375" style="37" bestFit="1" customWidth="1"/>
    <col min="13" max="13" width="8.28515625" style="37" customWidth="1"/>
    <col min="14" max="14" width="14.7109375" style="37" bestFit="1" customWidth="1"/>
    <col min="15" max="16" width="16.7109375" style="37" bestFit="1" customWidth="1"/>
    <col min="17" max="17" width="10.7109375" style="37" customWidth="1"/>
  </cols>
  <sheetData>
    <row r="1" spans="1:20">
      <c r="A1" s="260" t="str">
        <f>Sheet1!A1</f>
        <v>MDA'S MOTOR-VEHICLE DEDUCTION RETURNS AS AT APRIL, 2020.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</row>
    <row r="2" spans="1:20" s="9" customFormat="1" ht="38.25">
      <c r="A2" s="87" t="str">
        <f>Sheet1!A2</f>
        <v>S/N</v>
      </c>
      <c r="B2" s="87" t="str">
        <f>Sheet1!B2</f>
        <v>REF. I.D</v>
      </c>
      <c r="C2" s="199" t="str">
        <f>Sheet1!C2</f>
        <v>STAFF NAME</v>
      </c>
      <c r="D2" s="198" t="str">
        <f>Sheet1!D2</f>
        <v>PRINCIPAL N</v>
      </c>
      <c r="E2" s="198" t="str">
        <f>Sheet1!E2</f>
        <v>INTEREST N</v>
      </c>
      <c r="F2" s="198" t="str">
        <f>Sheet1!F2</f>
        <v>TOTAL LOAN N</v>
      </c>
      <c r="G2" s="198" t="str">
        <f>Sheet1!G2</f>
        <v>NO. OF. INSTL.</v>
      </c>
      <c r="H2" s="198" t="str">
        <f>Sheet1!H2</f>
        <v>MONTHLY DED N</v>
      </c>
      <c r="I2" s="198" t="str">
        <f>Sheet1!I2</f>
        <v>MONTHLY INTEREST</v>
      </c>
      <c r="J2" s="198" t="str">
        <f>Sheet1!J2</f>
        <v>MONTHLY PRINCIPAL</v>
      </c>
      <c r="K2" s="198" t="str">
        <f>Sheet1!K2</f>
        <v>TOTAL INTEREST PAID</v>
      </c>
      <c r="L2" s="198" t="str">
        <f>Sheet1!L2</f>
        <v>TOTAL OUTSTANDING INTEREST</v>
      </c>
      <c r="M2" s="198" t="str">
        <f>Sheet1!M2</f>
        <v>NO. OF INSTAL. PAID</v>
      </c>
      <c r="N2" s="198" t="str">
        <f>Sheet1!N2</f>
        <v>NO. OF INSTAL. OUTS.</v>
      </c>
      <c r="O2" s="198" t="str">
        <f>Sheet1!O2</f>
        <v>TOTAL LOAN PAID N</v>
      </c>
      <c r="P2" s="198" t="str">
        <f>Sheet1!P2</f>
        <v>OUTS. BAL. N</v>
      </c>
      <c r="Q2" s="198" t="str">
        <f>Sheet1!Q2</f>
        <v>REMARK</v>
      </c>
    </row>
    <row r="3" spans="1:20" s="24" customFormat="1" ht="18" customHeight="1">
      <c r="A3" s="87">
        <f>Sheet1!A3</f>
        <v>1</v>
      </c>
      <c r="B3" s="87">
        <f>Sheet1!B3</f>
        <v>0</v>
      </c>
      <c r="C3" s="214" t="str">
        <f>Sheet1!C47</f>
        <v>A. FALADE</v>
      </c>
      <c r="D3" s="214">
        <f>Sheet1!D47</f>
        <v>450000</v>
      </c>
      <c r="E3" s="214">
        <f>Sheet1!E47</f>
        <v>59985</v>
      </c>
      <c r="F3" s="214">
        <f>Sheet1!F47</f>
        <v>509985.00000000006</v>
      </c>
      <c r="G3" s="214">
        <f>Sheet1!G47</f>
        <v>50</v>
      </c>
      <c r="H3" s="214">
        <f>Sheet1!H47</f>
        <v>10199.700000000001</v>
      </c>
      <c r="I3" s="214">
        <f>Sheet1!I47</f>
        <v>1199.7</v>
      </c>
      <c r="J3" s="214">
        <f>Sheet1!J47</f>
        <v>9000</v>
      </c>
      <c r="K3" s="214">
        <f>Sheet1!K47</f>
        <v>35991</v>
      </c>
      <c r="L3" s="214">
        <f>Sheet1!L47</f>
        <v>23994</v>
      </c>
      <c r="M3" s="214">
        <f>Sheet1!M47</f>
        <v>30</v>
      </c>
      <c r="N3" s="214">
        <f>Sheet1!N47</f>
        <v>20</v>
      </c>
      <c r="O3" s="214">
        <f>Sheet1!O47</f>
        <v>305991.00000000017</v>
      </c>
      <c r="P3" s="214">
        <f>Sheet1!P47</f>
        <v>193794.29999999964</v>
      </c>
      <c r="Q3" s="214">
        <f>Sheet1!Q47</f>
        <v>0</v>
      </c>
      <c r="R3" s="214"/>
      <c r="S3" s="214"/>
      <c r="T3" s="214"/>
    </row>
    <row r="4" spans="1:20" s="24" customFormat="1" ht="18" customHeight="1">
      <c r="A4" s="87">
        <f>Sheet1!A4</f>
        <v>2</v>
      </c>
      <c r="B4" s="87">
        <f>Sheet1!B4</f>
        <v>0</v>
      </c>
      <c r="C4" s="214" t="str">
        <f>Sheet1!C88</f>
        <v>ADAMS TAIWO</v>
      </c>
      <c r="D4" s="214">
        <f>Sheet1!D88</f>
        <v>150000</v>
      </c>
      <c r="E4" s="214">
        <f>Sheet1!E88</f>
        <v>19995</v>
      </c>
      <c r="F4" s="214">
        <f>Sheet1!F88</f>
        <v>169995</v>
      </c>
      <c r="G4" s="214">
        <f>Sheet1!G88</f>
        <v>50</v>
      </c>
      <c r="H4" s="214">
        <f>Sheet1!H88</f>
        <v>3399.9</v>
      </c>
      <c r="I4" s="214">
        <f>Sheet1!I88</f>
        <v>399.9</v>
      </c>
      <c r="J4" s="214">
        <f>Sheet1!J88</f>
        <v>3000</v>
      </c>
      <c r="K4" s="214">
        <f>Sheet1!K88</f>
        <v>14796.3</v>
      </c>
      <c r="L4" s="214">
        <f>Sheet1!L88</f>
        <v>5598.5999999999995</v>
      </c>
      <c r="M4" s="214">
        <f>Sheet1!M88</f>
        <v>37</v>
      </c>
      <c r="N4" s="214">
        <f>Sheet1!N88</f>
        <v>14</v>
      </c>
      <c r="O4" s="214">
        <f>Sheet1!O88</f>
        <v>125796.2999999999</v>
      </c>
      <c r="P4" s="214">
        <f>Sheet1!P88</f>
        <v>44198.700000000164</v>
      </c>
      <c r="Q4" s="214">
        <f>Sheet1!Q88</f>
        <v>0</v>
      </c>
    </row>
    <row r="5" spans="1:20" s="24" customFormat="1" ht="18" customHeight="1">
      <c r="A5" s="87">
        <f>Sheet1!A5</f>
        <v>3</v>
      </c>
      <c r="B5" s="87">
        <f>Sheet1!B5</f>
        <v>0</v>
      </c>
      <c r="C5" s="214" t="str">
        <f>Sheet1!C90</f>
        <v>ADEBOLA C.E</v>
      </c>
      <c r="D5" s="214">
        <f>Sheet1!D90</f>
        <v>500001</v>
      </c>
      <c r="E5" s="214">
        <f>Sheet1!E90</f>
        <v>66650.133300000001</v>
      </c>
      <c r="F5" s="214">
        <f>Sheet1!F90</f>
        <v>424987.5</v>
      </c>
      <c r="G5" s="214">
        <f>Sheet1!G90</f>
        <v>50</v>
      </c>
      <c r="H5" s="214">
        <f>Sheet1!H90</f>
        <v>8499.75</v>
      </c>
      <c r="I5" s="214">
        <f>Sheet1!I90</f>
        <v>1333.0026660000001</v>
      </c>
      <c r="J5" s="214">
        <f>Sheet1!J90</f>
        <v>10000.02</v>
      </c>
      <c r="K5" s="214">
        <f>Sheet1!K90</f>
        <v>2666.0053320000002</v>
      </c>
      <c r="L5" s="214">
        <f>Sheet1!L90</f>
        <v>65317.130634000001</v>
      </c>
      <c r="M5" s="214">
        <f>Sheet1!M90</f>
        <v>2</v>
      </c>
      <c r="N5" s="214">
        <f>Sheet1!N90</f>
        <v>49</v>
      </c>
      <c r="O5" s="214">
        <f>Sheet1!O90</f>
        <v>16999.5</v>
      </c>
      <c r="P5" s="214">
        <f>Sheet1!P90</f>
        <v>492985.5</v>
      </c>
      <c r="Q5" s="214">
        <f>Sheet1!Q90</f>
        <v>0</v>
      </c>
    </row>
    <row r="6" spans="1:20" s="24" customFormat="1" ht="18" customHeight="1">
      <c r="A6" s="87">
        <f>Sheet1!A6</f>
        <v>4</v>
      </c>
      <c r="B6" s="87">
        <f>Sheet1!B6</f>
        <v>0</v>
      </c>
      <c r="C6" s="214" t="str">
        <f>Sheet1!C38</f>
        <v>ADEBOYA O. O.</v>
      </c>
      <c r="D6" s="214">
        <f>Sheet1!D38</f>
        <v>450000</v>
      </c>
      <c r="E6" s="214">
        <f>Sheet1!E38</f>
        <v>59985</v>
      </c>
      <c r="F6" s="214">
        <f>Sheet1!F38</f>
        <v>509985.00000000006</v>
      </c>
      <c r="G6" s="214">
        <f>Sheet1!G38</f>
        <v>50</v>
      </c>
      <c r="H6" s="214">
        <f>Sheet1!H38</f>
        <v>10199.700000000001</v>
      </c>
      <c r="I6" s="214">
        <f>Sheet1!I38</f>
        <v>1199.7</v>
      </c>
      <c r="J6" s="214">
        <f>Sheet1!J38</f>
        <v>9000</v>
      </c>
      <c r="K6" s="214">
        <f>Sheet1!K38</f>
        <v>34791.300000000003</v>
      </c>
      <c r="L6" s="214">
        <f>Sheet1!L38</f>
        <v>25193.7</v>
      </c>
      <c r="M6" s="214">
        <f>Sheet1!M38</f>
        <v>29</v>
      </c>
      <c r="N6" s="214">
        <f>Sheet1!N38</f>
        <v>21</v>
      </c>
      <c r="O6" s="214">
        <f>Sheet1!O38</f>
        <v>295791.30000000016</v>
      </c>
      <c r="P6" s="214">
        <f>Sheet1!P38</f>
        <v>214193.69999999966</v>
      </c>
      <c r="Q6" s="214">
        <f>Sheet1!Q38</f>
        <v>0</v>
      </c>
    </row>
    <row r="7" spans="1:20" s="24" customFormat="1" ht="18" customHeight="1">
      <c r="A7" s="87">
        <f>Sheet1!A7</f>
        <v>5</v>
      </c>
      <c r="B7" s="87">
        <f>Sheet1!B7</f>
        <v>0</v>
      </c>
      <c r="C7" s="214" t="str">
        <f>Sheet1!C131</f>
        <v>ADEDEJI YISAU</v>
      </c>
      <c r="D7" s="214">
        <f>Sheet1!D131</f>
        <v>150000</v>
      </c>
      <c r="E7" s="214">
        <f>Sheet1!E131</f>
        <v>19995</v>
      </c>
      <c r="F7" s="214">
        <f>Sheet1!F131</f>
        <v>169995</v>
      </c>
      <c r="G7" s="214">
        <f>Sheet1!G131</f>
        <v>50</v>
      </c>
      <c r="H7" s="214">
        <f>Sheet1!H131</f>
        <v>3399.9</v>
      </c>
      <c r="I7" s="214">
        <f>Sheet1!I131</f>
        <v>399.9</v>
      </c>
      <c r="J7" s="214">
        <f>Sheet1!J131</f>
        <v>3000</v>
      </c>
      <c r="K7" s="214">
        <f>Sheet1!K131</f>
        <v>15196.199999999999</v>
      </c>
      <c r="L7" s="214">
        <f>Sheet1!L131</f>
        <v>5198.7</v>
      </c>
      <c r="M7" s="214">
        <f>Sheet1!M131</f>
        <v>38</v>
      </c>
      <c r="N7" s="214">
        <f>Sheet1!N131</f>
        <v>13</v>
      </c>
      <c r="O7" s="214">
        <f>Sheet1!O131</f>
        <v>125796.2999999999</v>
      </c>
      <c r="P7" s="214">
        <f>Sheet1!P131</f>
        <v>44198.700000000164</v>
      </c>
      <c r="Q7" s="214">
        <f>Sheet1!Q131</f>
        <v>0</v>
      </c>
    </row>
    <row r="8" spans="1:20" s="24" customFormat="1" ht="18" customHeight="1">
      <c r="A8" s="87">
        <f>Sheet1!A8</f>
        <v>6</v>
      </c>
      <c r="B8" s="87">
        <f>Sheet1!B8</f>
        <v>0</v>
      </c>
      <c r="C8" s="214" t="str">
        <f>Sheet1!C4</f>
        <v>ADENUGA JUMOKE A.</v>
      </c>
      <c r="D8" s="214">
        <f>Sheet1!D4</f>
        <v>600000</v>
      </c>
      <c r="E8" s="214">
        <f>Sheet1!E4</f>
        <v>79980</v>
      </c>
      <c r="F8" s="214">
        <f>Sheet1!F4</f>
        <v>679980</v>
      </c>
      <c r="G8" s="214">
        <f>Sheet1!G4</f>
        <v>50</v>
      </c>
      <c r="H8" s="214">
        <f>Sheet1!H4</f>
        <v>13333</v>
      </c>
      <c r="I8" s="214">
        <f>Sheet1!I4</f>
        <v>1599.6</v>
      </c>
      <c r="J8" s="214">
        <f>Sheet1!J4</f>
        <v>12000</v>
      </c>
      <c r="K8" s="214">
        <f>Sheet1!K4</f>
        <v>70382.399999999994</v>
      </c>
      <c r="L8" s="214">
        <f>Sheet1!L4</f>
        <v>11197.199999999999</v>
      </c>
      <c r="M8" s="214">
        <f>Sheet1!M4</f>
        <v>44</v>
      </c>
      <c r="N8" s="214">
        <f>Sheet1!N4</f>
        <v>7</v>
      </c>
      <c r="O8" s="214">
        <f>Sheet1!O4</f>
        <v>327483.76000000018</v>
      </c>
      <c r="P8" s="214">
        <f>Sheet1!P4</f>
        <v>639984</v>
      </c>
      <c r="Q8" s="214">
        <f>Sheet1!Q4</f>
        <v>0</v>
      </c>
    </row>
    <row r="9" spans="1:20" s="24" customFormat="1" ht="18" customHeight="1">
      <c r="A9" s="87">
        <f>Sheet1!A9</f>
        <v>7</v>
      </c>
      <c r="B9" s="87">
        <f>Sheet1!B9</f>
        <v>0</v>
      </c>
      <c r="C9" s="214" t="str">
        <f>Sheet1!C112</f>
        <v>ADERINTO OLADUUNI</v>
      </c>
      <c r="D9" s="214">
        <f>Sheet1!D112</f>
        <v>150000</v>
      </c>
      <c r="E9" s="214">
        <f>Sheet1!E112</f>
        <v>19995</v>
      </c>
      <c r="F9" s="214">
        <f>Sheet1!F112</f>
        <v>169995</v>
      </c>
      <c r="G9" s="214">
        <f>Sheet1!G112</f>
        <v>50</v>
      </c>
      <c r="H9" s="214">
        <f>Sheet1!H112</f>
        <v>3399.9</v>
      </c>
      <c r="I9" s="214">
        <f>Sheet1!I112</f>
        <v>399.9</v>
      </c>
      <c r="J9" s="214">
        <f>Sheet1!J112</f>
        <v>3000</v>
      </c>
      <c r="K9" s="214">
        <f>Sheet1!K112</f>
        <v>7198.2</v>
      </c>
      <c r="L9" s="214">
        <f>Sheet1!L112</f>
        <v>12796.8</v>
      </c>
      <c r="M9" s="214">
        <f>Sheet1!M112</f>
        <v>18</v>
      </c>
      <c r="N9" s="214">
        <f>Sheet1!N112</f>
        <v>32</v>
      </c>
      <c r="O9" s="214">
        <f>Sheet1!O112</f>
        <v>61198.200000000019</v>
      </c>
      <c r="P9" s="214">
        <f>Sheet1!P112</f>
        <v>108796.8000000001</v>
      </c>
      <c r="Q9" s="214">
        <f>Sheet1!Q112</f>
        <v>0</v>
      </c>
    </row>
    <row r="10" spans="1:20" s="24" customFormat="1" ht="18" customHeight="1">
      <c r="A10" s="87">
        <f>Sheet1!A10</f>
        <v>8</v>
      </c>
      <c r="B10" s="87">
        <f>Sheet1!B10</f>
        <v>0</v>
      </c>
      <c r="C10" s="214" t="str">
        <f>Sheet1!C62</f>
        <v>ADEYEMO G.</v>
      </c>
      <c r="D10" s="214">
        <f>Sheet1!D62</f>
        <v>330000</v>
      </c>
      <c r="E10" s="214">
        <f>Sheet1!E62</f>
        <v>43989</v>
      </c>
      <c r="F10" s="214">
        <f>Sheet1!F62</f>
        <v>373989</v>
      </c>
      <c r="G10" s="214">
        <f>Sheet1!G62</f>
        <v>50</v>
      </c>
      <c r="H10" s="214">
        <f>Sheet1!H62</f>
        <v>7479.78</v>
      </c>
      <c r="I10" s="214">
        <f>Sheet1!I62</f>
        <v>879.78</v>
      </c>
      <c r="J10" s="214">
        <f>Sheet1!J62</f>
        <v>6600</v>
      </c>
      <c r="K10" s="214">
        <f>Sheet1!K62</f>
        <v>33431.64</v>
      </c>
      <c r="L10" s="214">
        <f>Sheet1!L62</f>
        <v>11437.14</v>
      </c>
      <c r="M10" s="214">
        <f>Sheet1!M62</f>
        <v>38</v>
      </c>
      <c r="N10" s="214">
        <f>Sheet1!N62</f>
        <v>13</v>
      </c>
      <c r="O10" s="214">
        <f>Sheet1!O62</f>
        <v>276751.86000000004</v>
      </c>
      <c r="P10" s="214">
        <f>Sheet1!P62</f>
        <v>97237.139999999694</v>
      </c>
      <c r="Q10" s="214">
        <f>Sheet1!Q62</f>
        <v>0</v>
      </c>
    </row>
    <row r="11" spans="1:20" s="24" customFormat="1">
      <c r="A11" s="87">
        <f>Sheet1!A11</f>
        <v>9</v>
      </c>
      <c r="B11" s="87">
        <f>Sheet1!B11</f>
        <v>0</v>
      </c>
      <c r="C11" s="214" t="str">
        <f>Sheet1!C63</f>
        <v>AJALA O.</v>
      </c>
      <c r="D11" s="214">
        <f>Sheet1!D63</f>
        <v>330000</v>
      </c>
      <c r="E11" s="214">
        <f>Sheet1!E63</f>
        <v>43989</v>
      </c>
      <c r="F11" s="214">
        <f>Sheet1!F63</f>
        <v>373989</v>
      </c>
      <c r="G11" s="214">
        <f>Sheet1!G63</f>
        <v>50</v>
      </c>
      <c r="H11" s="214">
        <f>Sheet1!H63</f>
        <v>7479.78</v>
      </c>
      <c r="I11" s="214">
        <f>Sheet1!I63</f>
        <v>879.78</v>
      </c>
      <c r="J11" s="214">
        <f>Sheet1!J63</f>
        <v>6600</v>
      </c>
      <c r="K11" s="214">
        <f>Sheet1!K63</f>
        <v>20234.939999999999</v>
      </c>
      <c r="L11" s="214">
        <f>Sheet1!L63</f>
        <v>23754.059999999998</v>
      </c>
      <c r="M11" s="214">
        <f>Sheet1!M63</f>
        <v>23</v>
      </c>
      <c r="N11" s="214">
        <f>Sheet1!N63</f>
        <v>27</v>
      </c>
      <c r="O11" s="214">
        <f>Sheet1!O63</f>
        <v>172034.94</v>
      </c>
      <c r="P11" s="214">
        <f>Sheet1!P63</f>
        <v>201954.05999999962</v>
      </c>
      <c r="Q11" s="214">
        <f>Sheet1!Q63</f>
        <v>0</v>
      </c>
    </row>
    <row r="12" spans="1:20" s="24" customFormat="1" ht="18" customHeight="1">
      <c r="A12" s="87">
        <f>Sheet1!A12</f>
        <v>10</v>
      </c>
      <c r="B12" s="87">
        <f>Sheet1!B12</f>
        <v>0</v>
      </c>
      <c r="C12" s="214" t="str">
        <f>Sheet1!C48</f>
        <v>AKINPELU ABIODUN</v>
      </c>
      <c r="D12" s="214">
        <f>Sheet1!D48</f>
        <v>450000</v>
      </c>
      <c r="E12" s="214">
        <f>Sheet1!E48</f>
        <v>59985</v>
      </c>
      <c r="F12" s="214">
        <f>Sheet1!F48</f>
        <v>0</v>
      </c>
      <c r="G12" s="214">
        <f>Sheet1!G48</f>
        <v>50</v>
      </c>
      <c r="H12" s="214">
        <f>Sheet1!H48</f>
        <v>0</v>
      </c>
      <c r="I12" s="214">
        <f>Sheet1!I48</f>
        <v>1199.7</v>
      </c>
      <c r="J12" s="214">
        <f>Sheet1!J48</f>
        <v>9000</v>
      </c>
      <c r="K12" s="214">
        <f>Sheet1!K48</f>
        <v>61184.700000000004</v>
      </c>
      <c r="L12" s="214">
        <f>Sheet1!L48</f>
        <v>0</v>
      </c>
      <c r="M12" s="214">
        <f>Sheet1!M48</f>
        <v>51</v>
      </c>
      <c r="N12" s="214">
        <f>Sheet1!N48</f>
        <v>0</v>
      </c>
      <c r="O12" s="214">
        <f>Sheet1!O48</f>
        <v>438587.10000000038</v>
      </c>
      <c r="P12" s="214">
        <f>Sheet1!P48</f>
        <v>71397.899999999703</v>
      </c>
      <c r="Q12" s="214">
        <f>Sheet1!Q48</f>
        <v>0</v>
      </c>
    </row>
    <row r="13" spans="1:20" s="24" customFormat="1" ht="18" customHeight="1">
      <c r="A13" s="87">
        <f>Sheet1!A13</f>
        <v>11</v>
      </c>
      <c r="B13" s="87">
        <f>Sheet1!B13</f>
        <v>0</v>
      </c>
      <c r="C13" s="214" t="str">
        <f>Sheet1!C34</f>
        <v>AKINYELE A. A.O.</v>
      </c>
      <c r="D13" s="214">
        <f>Sheet1!D34</f>
        <v>500000</v>
      </c>
      <c r="E13" s="214">
        <f>Sheet1!E34</f>
        <v>66650</v>
      </c>
      <c r="F13" s="214">
        <f>Sheet1!F34</f>
        <v>400000</v>
      </c>
      <c r="G13" s="214">
        <f>Sheet1!G34</f>
        <v>50</v>
      </c>
      <c r="H13" s="214">
        <f>Sheet1!H34</f>
        <v>8000</v>
      </c>
      <c r="I13" s="214">
        <f>Sheet1!I34</f>
        <v>1333</v>
      </c>
      <c r="J13" s="214">
        <f>Sheet1!J34</f>
        <v>10000</v>
      </c>
      <c r="K13" s="214">
        <f>Sheet1!K34</f>
        <v>67983</v>
      </c>
      <c r="L13" s="214">
        <f>Sheet1!L34</f>
        <v>0</v>
      </c>
      <c r="M13" s="214">
        <f>Sheet1!M34</f>
        <v>51</v>
      </c>
      <c r="N13" s="214">
        <f>Sheet1!N34</f>
        <v>0</v>
      </c>
      <c r="O13" s="214">
        <f>Sheet1!O34</f>
        <v>495319</v>
      </c>
      <c r="P13" s="214">
        <f>Sheet1!P34</f>
        <v>71331</v>
      </c>
      <c r="Q13" s="214">
        <f>Sheet1!Q34</f>
        <v>0</v>
      </c>
    </row>
    <row r="14" spans="1:20" s="24" customFormat="1" ht="18" customHeight="1">
      <c r="A14" s="87">
        <f>Sheet1!A14</f>
        <v>12</v>
      </c>
      <c r="B14" s="87">
        <f>Sheet1!B14</f>
        <v>0</v>
      </c>
      <c r="C14" s="214" t="str">
        <f>Sheet1!C5</f>
        <v>ALABI FUNMILAYO S.</v>
      </c>
      <c r="D14" s="214">
        <f>Sheet1!D5</f>
        <v>330000</v>
      </c>
      <c r="E14" s="214">
        <f>Sheet1!E5</f>
        <v>43989</v>
      </c>
      <c r="F14" s="214">
        <f>Sheet1!F5</f>
        <v>373989</v>
      </c>
      <c r="G14" s="214">
        <f>Sheet1!G5</f>
        <v>50</v>
      </c>
      <c r="H14" s="214">
        <f>Sheet1!H5</f>
        <v>7479.78</v>
      </c>
      <c r="I14" s="214">
        <f>Sheet1!I5</f>
        <v>879.78</v>
      </c>
      <c r="J14" s="214">
        <f>Sheet1!J5</f>
        <v>6600</v>
      </c>
      <c r="K14" s="214">
        <f>Sheet1!K5</f>
        <v>44868.78</v>
      </c>
      <c r="L14" s="214">
        <f>Sheet1!L5</f>
        <v>0</v>
      </c>
      <c r="M14" s="214">
        <f>Sheet1!M5</f>
        <v>51</v>
      </c>
      <c r="N14" s="214">
        <f>Sheet1!N5</f>
        <v>0</v>
      </c>
      <c r="O14" s="214">
        <f>Sheet1!O5</f>
        <v>329110.32000000024</v>
      </c>
      <c r="P14" s="214">
        <f>Sheet1!P5</f>
        <v>44878.679999999877</v>
      </c>
      <c r="Q14" s="214">
        <f>Sheet1!Q5</f>
        <v>0</v>
      </c>
    </row>
    <row r="15" spans="1:20" s="24" customFormat="1" ht="18" customHeight="1">
      <c r="A15" s="87">
        <f>Sheet1!A15</f>
        <v>13</v>
      </c>
      <c r="B15" s="87">
        <f>Sheet1!B15</f>
        <v>0</v>
      </c>
      <c r="C15" s="214" t="str">
        <f>Sheet1!C124</f>
        <v>ARANSI MUKAILA</v>
      </c>
      <c r="D15" s="214">
        <f>Sheet1!D124</f>
        <v>150000</v>
      </c>
      <c r="E15" s="214">
        <f>Sheet1!E124</f>
        <v>19995</v>
      </c>
      <c r="F15" s="214">
        <f>Sheet1!F124</f>
        <v>169995</v>
      </c>
      <c r="G15" s="214">
        <f>Sheet1!G124</f>
        <v>50</v>
      </c>
      <c r="H15" s="214">
        <f>Sheet1!H124</f>
        <v>3399.9</v>
      </c>
      <c r="I15" s="214">
        <f>Sheet1!I124</f>
        <v>399.9</v>
      </c>
      <c r="J15" s="214">
        <f>Sheet1!J124</f>
        <v>3000</v>
      </c>
      <c r="K15" s="214">
        <f>Sheet1!K124</f>
        <v>20394.899999999998</v>
      </c>
      <c r="L15" s="214">
        <f>Sheet1!L124</f>
        <v>0</v>
      </c>
      <c r="M15" s="214">
        <f>Sheet1!M124</f>
        <v>51</v>
      </c>
      <c r="N15" s="214">
        <f>Sheet1!N124</f>
        <v>0</v>
      </c>
      <c r="O15" s="214">
        <f>Sheet1!O124</f>
        <v>149595.59999999989</v>
      </c>
      <c r="P15" s="214">
        <f>Sheet1!P124</f>
        <v>20399.400000000096</v>
      </c>
      <c r="Q15" s="214">
        <f>Sheet1!Q124</f>
        <v>0</v>
      </c>
    </row>
    <row r="16" spans="1:20" s="24" customFormat="1" ht="18" customHeight="1">
      <c r="A16" s="87">
        <f>Sheet1!A16</f>
        <v>14</v>
      </c>
      <c r="B16" s="87">
        <f>Sheet1!B16</f>
        <v>0</v>
      </c>
      <c r="C16" s="214" t="str">
        <f>Sheet1!C72</f>
        <v>AYANNIRAN O.</v>
      </c>
      <c r="D16" s="214">
        <f>Sheet1!D72</f>
        <v>330000</v>
      </c>
      <c r="E16" s="214">
        <f>Sheet1!E72</f>
        <v>43989</v>
      </c>
      <c r="F16" s="214">
        <f>Sheet1!F72</f>
        <v>373989</v>
      </c>
      <c r="G16" s="214">
        <f>Sheet1!G72</f>
        <v>50</v>
      </c>
      <c r="H16" s="214">
        <f>Sheet1!H72</f>
        <v>7479.78</v>
      </c>
      <c r="I16" s="214">
        <f>Sheet1!I72</f>
        <v>879.78</v>
      </c>
      <c r="J16" s="214">
        <f>Sheet1!J72</f>
        <v>6600</v>
      </c>
      <c r="K16" s="214">
        <f>Sheet1!K72</f>
        <v>36070.979999999996</v>
      </c>
      <c r="L16" s="214">
        <f>Sheet1!L72</f>
        <v>8797.7999999999993</v>
      </c>
      <c r="M16" s="214">
        <f>Sheet1!M72</f>
        <v>41</v>
      </c>
      <c r="N16" s="214">
        <f>Sheet1!N72</f>
        <v>10</v>
      </c>
      <c r="O16" s="214">
        <f>Sheet1!O72</f>
        <v>299191.20000000013</v>
      </c>
      <c r="P16" s="214">
        <f>Sheet1!P72</f>
        <v>74797.799999999756</v>
      </c>
      <c r="Q16" s="214">
        <f>Sheet1!Q72</f>
        <v>0</v>
      </c>
    </row>
    <row r="17" spans="1:17" s="24" customFormat="1" ht="18" customHeight="1">
      <c r="A17" s="87">
        <f>Sheet1!A17</f>
        <v>15</v>
      </c>
      <c r="B17" s="87">
        <f>Sheet1!B17</f>
        <v>0</v>
      </c>
      <c r="C17" s="214" t="str">
        <f>Sheet1!C91</f>
        <v>E. O. HASSAN</v>
      </c>
      <c r="D17" s="214">
        <f>Sheet1!D91</f>
        <v>150000</v>
      </c>
      <c r="E17" s="214">
        <f>Sheet1!E91</f>
        <v>19995</v>
      </c>
      <c r="F17" s="214">
        <f>Sheet1!F91</f>
        <v>169995</v>
      </c>
      <c r="G17" s="214">
        <f>Sheet1!G91</f>
        <v>50</v>
      </c>
      <c r="H17" s="214">
        <f>Sheet1!H91</f>
        <v>3399.9</v>
      </c>
      <c r="I17" s="214">
        <f>Sheet1!I91</f>
        <v>399.9</v>
      </c>
      <c r="J17" s="214">
        <f>Sheet1!J91</f>
        <v>3000</v>
      </c>
      <c r="K17" s="214">
        <f>Sheet1!K91</f>
        <v>11997</v>
      </c>
      <c r="L17" s="214">
        <f>Sheet1!L91</f>
        <v>7998</v>
      </c>
      <c r="M17" s="214">
        <f>Sheet1!M91</f>
        <v>30</v>
      </c>
      <c r="N17" s="214">
        <f>Sheet1!N91</f>
        <v>20</v>
      </c>
      <c r="O17" s="214">
        <f>Sheet1!O91</f>
        <v>101996.99999999996</v>
      </c>
      <c r="P17" s="214">
        <f>Sheet1!P91</f>
        <v>67998.000000000175</v>
      </c>
      <c r="Q17" s="214">
        <f>Sheet1!Q91</f>
        <v>0</v>
      </c>
    </row>
    <row r="18" spans="1:17" s="24" customFormat="1" ht="18" customHeight="1">
      <c r="A18" s="87">
        <f>Sheet1!A18</f>
        <v>16</v>
      </c>
      <c r="B18" s="87">
        <f>Sheet1!B18</f>
        <v>0</v>
      </c>
      <c r="C18" s="214" t="str">
        <f>Sheet1!C40</f>
        <v>E. T. OYENIRAN</v>
      </c>
      <c r="D18" s="214">
        <f>Sheet1!D40</f>
        <v>330000</v>
      </c>
      <c r="E18" s="214">
        <f>Sheet1!E40</f>
        <v>43989</v>
      </c>
      <c r="F18" s="214">
        <f>Sheet1!F40</f>
        <v>373989</v>
      </c>
      <c r="G18" s="214">
        <f>Sheet1!G40</f>
        <v>50</v>
      </c>
      <c r="H18" s="214">
        <f>Sheet1!H40</f>
        <v>7479.78</v>
      </c>
      <c r="I18" s="214">
        <f>Sheet1!I40</f>
        <v>879.78</v>
      </c>
      <c r="J18" s="214">
        <f>Sheet1!J40</f>
        <v>6600</v>
      </c>
      <c r="K18" s="214">
        <f>Sheet1!K40</f>
        <v>879.78</v>
      </c>
      <c r="L18" s="214">
        <f>Sheet1!L40</f>
        <v>43109.22</v>
      </c>
      <c r="M18" s="214">
        <f>Sheet1!M40</f>
        <v>1</v>
      </c>
      <c r="N18" s="214">
        <f>Sheet1!N40</f>
        <v>49</v>
      </c>
      <c r="O18" s="214">
        <f>Sheet1!O40</f>
        <v>7479.78</v>
      </c>
      <c r="P18" s="214">
        <f>Sheet1!P40</f>
        <v>142115.81999999963</v>
      </c>
      <c r="Q18" s="214">
        <f>Sheet1!Q40</f>
        <v>0</v>
      </c>
    </row>
    <row r="19" spans="1:17" s="24" customFormat="1" ht="18" customHeight="1">
      <c r="A19" s="87">
        <f>Sheet1!A19</f>
        <v>17</v>
      </c>
      <c r="B19" s="87">
        <f>Sheet1!B19</f>
        <v>0</v>
      </c>
      <c r="C19" s="214" t="str">
        <f>Sheet1!C46</f>
        <v>ELEGBEDE CHRISTIANAH</v>
      </c>
      <c r="D19" s="214">
        <f>Sheet1!D46</f>
        <v>450000</v>
      </c>
      <c r="E19" s="214">
        <f>Sheet1!E46</f>
        <v>59985</v>
      </c>
      <c r="F19" s="214">
        <f>Sheet1!F46</f>
        <v>0</v>
      </c>
      <c r="G19" s="214">
        <f>Sheet1!G46</f>
        <v>50</v>
      </c>
      <c r="H19" s="214">
        <f>Sheet1!H46</f>
        <v>0</v>
      </c>
      <c r="I19" s="214">
        <f>Sheet1!I46</f>
        <v>1199.7</v>
      </c>
      <c r="J19" s="214">
        <f>Sheet1!J46</f>
        <v>9000</v>
      </c>
      <c r="K19" s="214">
        <f>Sheet1!K46</f>
        <v>61184.700000000004</v>
      </c>
      <c r="L19" s="214">
        <f>Sheet1!L46</f>
        <v>0</v>
      </c>
      <c r="M19" s="214">
        <f>Sheet1!M46</f>
        <v>51</v>
      </c>
      <c r="N19" s="214">
        <f>Sheet1!N46</f>
        <v>0</v>
      </c>
      <c r="O19" s="214">
        <f>Sheet1!O46</f>
        <v>438587.10000000038</v>
      </c>
      <c r="P19" s="214">
        <f>Sheet1!P46</f>
        <v>71397.899999999703</v>
      </c>
      <c r="Q19" s="214">
        <f>Sheet1!Q46</f>
        <v>0</v>
      </c>
    </row>
    <row r="20" spans="1:17" s="24" customFormat="1">
      <c r="A20" s="87">
        <f>Sheet1!A20</f>
        <v>18</v>
      </c>
      <c r="B20" s="87">
        <f>Sheet1!B20</f>
        <v>0</v>
      </c>
      <c r="C20" s="214" t="str">
        <f>Sheet1!C65</f>
        <v>FAGBAYIMU A. G.</v>
      </c>
      <c r="D20" s="214">
        <f>Sheet1!D65</f>
        <v>330000</v>
      </c>
      <c r="E20" s="214">
        <f>Sheet1!E65</f>
        <v>43989</v>
      </c>
      <c r="F20" s="214">
        <f>Sheet1!F65</f>
        <v>373989</v>
      </c>
      <c r="G20" s="214">
        <f>Sheet1!G65</f>
        <v>50</v>
      </c>
      <c r="H20" s="214">
        <f>Sheet1!H65</f>
        <v>7479.78</v>
      </c>
      <c r="I20" s="214">
        <f>Sheet1!I65</f>
        <v>879.78</v>
      </c>
      <c r="J20" s="214">
        <f>Sheet1!J65</f>
        <v>6600</v>
      </c>
      <c r="K20" s="214">
        <f>Sheet1!K65</f>
        <v>20234.939999999999</v>
      </c>
      <c r="L20" s="214">
        <f>Sheet1!L65</f>
        <v>23754.059999999998</v>
      </c>
      <c r="M20" s="214">
        <f>Sheet1!M65</f>
        <v>23</v>
      </c>
      <c r="N20" s="214">
        <f>Sheet1!N65</f>
        <v>27</v>
      </c>
      <c r="O20" s="214">
        <f>Sheet1!O65</f>
        <v>172034.94</v>
      </c>
      <c r="P20" s="214">
        <f>Sheet1!P65</f>
        <v>201954.05999999962</v>
      </c>
      <c r="Q20" s="214">
        <f>Sheet1!Q65</f>
        <v>0</v>
      </c>
    </row>
    <row r="21" spans="1:17" s="24" customFormat="1">
      <c r="A21" s="87">
        <f>Sheet1!A21</f>
        <v>19</v>
      </c>
      <c r="B21" s="87">
        <f>Sheet1!B21</f>
        <v>0</v>
      </c>
      <c r="C21" s="214" t="str">
        <f>Sheet1!C26</f>
        <v>FAMOKUN M.O.</v>
      </c>
      <c r="D21" s="214">
        <f>Sheet1!D26</f>
        <v>500000</v>
      </c>
      <c r="E21" s="214">
        <f>Sheet1!E26</f>
        <v>66650</v>
      </c>
      <c r="F21" s="214">
        <f>Sheet1!F26</f>
        <v>509985.00000000006</v>
      </c>
      <c r="G21" s="214">
        <f>Sheet1!G26</f>
        <v>50</v>
      </c>
      <c r="H21" s="214">
        <f>Sheet1!H26</f>
        <v>10199.700000000001</v>
      </c>
      <c r="I21" s="214">
        <f>Sheet1!I26</f>
        <v>1333</v>
      </c>
      <c r="J21" s="214">
        <f>Sheet1!J26</f>
        <v>10000</v>
      </c>
      <c r="K21" s="214">
        <f>Sheet1!K26</f>
        <v>3999</v>
      </c>
      <c r="L21" s="214">
        <f>Sheet1!L26</f>
        <v>65317</v>
      </c>
      <c r="M21" s="214">
        <f>Sheet1!M26</f>
        <v>3</v>
      </c>
      <c r="N21" s="214">
        <f>Sheet1!N26</f>
        <v>49</v>
      </c>
      <c r="O21" s="214">
        <f>Sheet1!O26</f>
        <v>20399.400000000001</v>
      </c>
      <c r="P21" s="214">
        <f>Sheet1!P26</f>
        <v>505225.67</v>
      </c>
      <c r="Q21" s="214">
        <f>Sheet1!Q26</f>
        <v>0</v>
      </c>
    </row>
    <row r="22" spans="1:17" s="24" customFormat="1" ht="18" customHeight="1">
      <c r="A22" s="87">
        <f>Sheet1!A22</f>
        <v>20</v>
      </c>
      <c r="B22" s="87">
        <f>Sheet1!B22</f>
        <v>0</v>
      </c>
      <c r="C22" s="214" t="str">
        <f>Sheet1!C68</f>
        <v>LADEOKIN M. A.</v>
      </c>
      <c r="D22" s="214">
        <f>Sheet1!D68</f>
        <v>330000</v>
      </c>
      <c r="E22" s="214">
        <f>Sheet1!E68</f>
        <v>43989</v>
      </c>
      <c r="F22" s="214">
        <f>Sheet1!F68</f>
        <v>373989</v>
      </c>
      <c r="G22" s="214">
        <f>Sheet1!G68</f>
        <v>50</v>
      </c>
      <c r="H22" s="214">
        <f>Sheet1!H68</f>
        <v>7479.78</v>
      </c>
      <c r="I22" s="214">
        <f>Sheet1!I68</f>
        <v>879.78</v>
      </c>
      <c r="J22" s="214">
        <f>Sheet1!J68</f>
        <v>6600</v>
      </c>
      <c r="K22" s="214">
        <f>Sheet1!K68</f>
        <v>43989</v>
      </c>
      <c r="L22" s="214">
        <f>Sheet1!L68</f>
        <v>879.78</v>
      </c>
      <c r="M22" s="214">
        <f>Sheet1!M68</f>
        <v>50</v>
      </c>
      <c r="N22" s="214">
        <f>Sheet1!N68</f>
        <v>1</v>
      </c>
      <c r="O22" s="214">
        <f>Sheet1!O68</f>
        <v>321630.54000000021</v>
      </c>
      <c r="P22" s="214">
        <f>Sheet1!P68</f>
        <v>52358.459999999875</v>
      </c>
      <c r="Q22" s="214">
        <f>Sheet1!Q68</f>
        <v>0</v>
      </c>
    </row>
    <row r="23" spans="1:17" s="24" customFormat="1" ht="18" customHeight="1">
      <c r="A23" s="87">
        <f>Sheet1!A23</f>
        <v>21</v>
      </c>
      <c r="B23" s="87">
        <f>Sheet1!B23</f>
        <v>0</v>
      </c>
      <c r="C23" s="214" t="str">
        <f>Sheet1!C53</f>
        <v>LAWAL F. A.</v>
      </c>
      <c r="D23" s="214">
        <f>Sheet1!D53</f>
        <v>330000</v>
      </c>
      <c r="E23" s="214">
        <f>Sheet1!E53</f>
        <v>43989</v>
      </c>
      <c r="F23" s="214">
        <f>Sheet1!F53</f>
        <v>373989</v>
      </c>
      <c r="G23" s="214">
        <f>Sheet1!G53</f>
        <v>50</v>
      </c>
      <c r="H23" s="214">
        <f>Sheet1!H53</f>
        <v>7479.78</v>
      </c>
      <c r="I23" s="214">
        <f>Sheet1!I53</f>
        <v>879.78</v>
      </c>
      <c r="J23" s="214">
        <f>Sheet1!J53</f>
        <v>6600</v>
      </c>
      <c r="K23" s="214">
        <f>Sheet1!K53</f>
        <v>20234.939999999999</v>
      </c>
      <c r="L23" s="214">
        <f>Sheet1!L53</f>
        <v>23754.059999999998</v>
      </c>
      <c r="M23" s="214">
        <f>Sheet1!M53</f>
        <v>23</v>
      </c>
      <c r="N23" s="214">
        <f>Sheet1!N53</f>
        <v>27</v>
      </c>
      <c r="O23" s="214">
        <f>Sheet1!O53</f>
        <v>172034.94</v>
      </c>
      <c r="P23" s="214">
        <f>Sheet1!P53</f>
        <v>201954.05999999962</v>
      </c>
      <c r="Q23" s="214">
        <f>Sheet1!Q53</f>
        <v>0</v>
      </c>
    </row>
    <row r="24" spans="1:17" s="24" customFormat="1" ht="18" customHeight="1">
      <c r="A24" s="87">
        <f>Sheet1!A24</f>
        <v>22</v>
      </c>
      <c r="B24" s="87">
        <f>Sheet1!B24</f>
        <v>0</v>
      </c>
      <c r="C24" s="214" t="str">
        <f>Sheet1!C60</f>
        <v>MISS A.D. ADEOYE</v>
      </c>
      <c r="D24" s="214">
        <f>Sheet1!D60</f>
        <v>450000</v>
      </c>
      <c r="E24" s="214">
        <f>Sheet1!E60</f>
        <v>59985</v>
      </c>
      <c r="F24" s="214">
        <f>Sheet1!F60</f>
        <v>809985</v>
      </c>
      <c r="G24" s="214">
        <f>Sheet1!G60</f>
        <v>50</v>
      </c>
      <c r="H24" s="214">
        <f>Sheet1!H60</f>
        <v>16199.7</v>
      </c>
      <c r="I24" s="214">
        <f>Sheet1!I60</f>
        <v>1199.7</v>
      </c>
      <c r="J24" s="214">
        <f>Sheet1!J60</f>
        <v>9000</v>
      </c>
      <c r="K24" s="214">
        <f>Sheet1!K60</f>
        <v>2399.4</v>
      </c>
      <c r="L24" s="214">
        <f>Sheet1!L60</f>
        <v>57585.600000000006</v>
      </c>
      <c r="M24" s="214">
        <f>Sheet1!M60</f>
        <v>2</v>
      </c>
      <c r="N24" s="214">
        <f>Sheet1!N60</f>
        <v>48</v>
      </c>
      <c r="O24" s="214">
        <f>Sheet1!O60</f>
        <v>32399.4</v>
      </c>
      <c r="P24" s="214">
        <f>Sheet1!P60</f>
        <v>453591.6</v>
      </c>
      <c r="Q24" s="214">
        <f>Sheet1!Q60</f>
        <v>0</v>
      </c>
    </row>
    <row r="25" spans="1:17" s="24" customFormat="1" ht="18" customHeight="1">
      <c r="A25" s="87">
        <f>Sheet1!A25</f>
        <v>23</v>
      </c>
      <c r="B25" s="87">
        <f>Sheet1!B25</f>
        <v>0</v>
      </c>
      <c r="C25" s="214" t="str">
        <f>Sheet1!C25</f>
        <v>MISS A.O. ALIMI</v>
      </c>
      <c r="D25" s="214">
        <f>Sheet1!D25</f>
        <v>500000</v>
      </c>
      <c r="E25" s="214">
        <f>Sheet1!E25</f>
        <v>66650</v>
      </c>
      <c r="F25" s="214">
        <f>Sheet1!F25</f>
        <v>684985</v>
      </c>
      <c r="G25" s="214">
        <f>Sheet1!G25</f>
        <v>50</v>
      </c>
      <c r="H25" s="214">
        <f>Sheet1!H25</f>
        <v>13699.7</v>
      </c>
      <c r="I25" s="214">
        <f>Sheet1!I25</f>
        <v>1333</v>
      </c>
      <c r="J25" s="214">
        <f>Sheet1!J25</f>
        <v>10000</v>
      </c>
      <c r="K25" s="214">
        <f>Sheet1!K25</f>
        <v>3999</v>
      </c>
      <c r="L25" s="214">
        <f>Sheet1!L25</f>
        <v>65317</v>
      </c>
      <c r="M25" s="214">
        <f>Sheet1!M25</f>
        <v>3</v>
      </c>
      <c r="N25" s="214">
        <f>Sheet1!N25</f>
        <v>49</v>
      </c>
      <c r="O25" s="214">
        <f>Sheet1!O25</f>
        <v>27399.4</v>
      </c>
      <c r="P25" s="214">
        <f>Sheet1!P25</f>
        <v>491525.97</v>
      </c>
      <c r="Q25" s="214">
        <f>Sheet1!Q25</f>
        <v>0</v>
      </c>
    </row>
    <row r="26" spans="1:17" s="24" customFormat="1" ht="18" customHeight="1">
      <c r="A26" s="87">
        <f>Sheet1!A26</f>
        <v>24</v>
      </c>
      <c r="B26" s="87">
        <f>Sheet1!B26</f>
        <v>0</v>
      </c>
      <c r="C26" s="214" t="str">
        <f>Sheet1!C114</f>
        <v>MISS. ADEMOYE F. M.</v>
      </c>
      <c r="D26" s="214">
        <f>Sheet1!D114</f>
        <v>150000</v>
      </c>
      <c r="E26" s="214">
        <f>Sheet1!E114</f>
        <v>19995</v>
      </c>
      <c r="F26" s="214">
        <f>Sheet1!F114</f>
        <v>169995</v>
      </c>
      <c r="G26" s="214">
        <f>Sheet1!G114</f>
        <v>50</v>
      </c>
      <c r="H26" s="214">
        <f>Sheet1!H114</f>
        <v>3399.9</v>
      </c>
      <c r="I26" s="214">
        <f>Sheet1!I114</f>
        <v>399.9</v>
      </c>
      <c r="J26" s="214">
        <f>Sheet1!J114</f>
        <v>3000</v>
      </c>
      <c r="K26" s="214">
        <f>Sheet1!K114</f>
        <v>5598.5999999999995</v>
      </c>
      <c r="L26" s="214">
        <f>Sheet1!L114</f>
        <v>14396.4</v>
      </c>
      <c r="M26" s="214">
        <f>Sheet1!M114</f>
        <v>14</v>
      </c>
      <c r="N26" s="214">
        <f>Sheet1!N114</f>
        <v>36</v>
      </c>
      <c r="O26" s="214">
        <f>Sheet1!O114</f>
        <v>47598.600000000013</v>
      </c>
      <c r="P26" s="214">
        <f>Sheet1!P114</f>
        <v>122396.40000000008</v>
      </c>
      <c r="Q26" s="214">
        <f>Sheet1!Q114</f>
        <v>0</v>
      </c>
    </row>
    <row r="27" spans="1:17" s="24" customFormat="1" ht="18" customHeight="1">
      <c r="A27" s="87">
        <f>Sheet1!A27</f>
        <v>25</v>
      </c>
      <c r="B27" s="87">
        <f>Sheet1!B27</f>
        <v>0</v>
      </c>
      <c r="C27" s="214" t="str">
        <f>Sheet1!C137</f>
        <v>MISS. K. F. KIKIOWO</v>
      </c>
      <c r="D27" s="214">
        <f>Sheet1!D137</f>
        <v>450000</v>
      </c>
      <c r="E27" s="214">
        <f>Sheet1!E137</f>
        <v>59985</v>
      </c>
      <c r="F27" s="214">
        <f>Sheet1!F137</f>
        <v>509985.00000000006</v>
      </c>
      <c r="G27" s="214">
        <f>Sheet1!G137</f>
        <v>50</v>
      </c>
      <c r="H27" s="214">
        <f>Sheet1!H137</f>
        <v>10199.700000000001</v>
      </c>
      <c r="I27" s="214">
        <f>Sheet1!I137</f>
        <v>1199.7</v>
      </c>
      <c r="J27" s="214">
        <f>Sheet1!J137</f>
        <v>9000</v>
      </c>
      <c r="K27" s="214">
        <f>Sheet1!K137</f>
        <v>17995.5</v>
      </c>
      <c r="L27" s="214">
        <f>Sheet1!L137</f>
        <v>41989.5</v>
      </c>
      <c r="M27" s="214">
        <f>Sheet1!M137</f>
        <v>15</v>
      </c>
      <c r="N27" s="214">
        <f>Sheet1!N137</f>
        <v>35</v>
      </c>
      <c r="O27" s="214">
        <f>Sheet1!O137</f>
        <v>152995.5</v>
      </c>
      <c r="P27" s="214">
        <f>Sheet1!P137</f>
        <v>356989.49999999983</v>
      </c>
      <c r="Q27" s="214">
        <f>Sheet1!Q137</f>
        <v>0</v>
      </c>
    </row>
    <row r="28" spans="1:17" s="24" customFormat="1" ht="18" customHeight="1">
      <c r="A28" s="87">
        <f>Sheet1!A28</f>
        <v>26</v>
      </c>
      <c r="B28" s="87">
        <f>Sheet1!B28</f>
        <v>0</v>
      </c>
      <c r="C28" s="214" t="str">
        <f>Sheet1!C19</f>
        <v>MISS. T. A. ADESOLA</v>
      </c>
      <c r="D28" s="214">
        <f>Sheet1!D19</f>
        <v>450000</v>
      </c>
      <c r="E28" s="214">
        <f>Sheet1!E19</f>
        <v>40500</v>
      </c>
      <c r="F28" s="214">
        <f>Sheet1!F19</f>
        <v>478800</v>
      </c>
      <c r="G28" s="214">
        <f>Sheet1!G19</f>
        <v>24</v>
      </c>
      <c r="H28" s="214">
        <f>Sheet1!H19</f>
        <v>19950</v>
      </c>
      <c r="I28" s="214">
        <f>Sheet1!I19</f>
        <v>1687.5</v>
      </c>
      <c r="J28" s="214">
        <f>Sheet1!J19</f>
        <v>18750</v>
      </c>
      <c r="K28" s="214">
        <f>Sheet1!K19</f>
        <v>15187.5</v>
      </c>
      <c r="L28" s="214">
        <f>Sheet1!L19</f>
        <v>69187.5</v>
      </c>
      <c r="M28" s="214">
        <f>Sheet1!M19</f>
        <v>9</v>
      </c>
      <c r="N28" s="214">
        <f>Sheet1!N19</f>
        <v>41</v>
      </c>
      <c r="O28" s="214">
        <f>Sheet1!O19</f>
        <v>179550</v>
      </c>
      <c r="P28" s="214">
        <f>Sheet1!P19</f>
        <v>299250</v>
      </c>
      <c r="Q28" s="214">
        <f>Sheet1!Q19</f>
        <v>0</v>
      </c>
    </row>
    <row r="29" spans="1:17" s="24" customFormat="1" ht="18" customHeight="1">
      <c r="A29" s="87">
        <f>Sheet1!A29</f>
        <v>27</v>
      </c>
      <c r="B29" s="87">
        <f>Sheet1!B29</f>
        <v>0</v>
      </c>
      <c r="C29" s="214" t="str">
        <f>Sheet1!C94</f>
        <v>MISS. T. OMOTOSHO</v>
      </c>
      <c r="D29" s="214">
        <f>Sheet1!D94</f>
        <v>150000</v>
      </c>
      <c r="E29" s="214">
        <f>Sheet1!E94</f>
        <v>19995</v>
      </c>
      <c r="F29" s="214">
        <f>Sheet1!F94</f>
        <v>169995</v>
      </c>
      <c r="G29" s="214">
        <f>Sheet1!G94</f>
        <v>50</v>
      </c>
      <c r="H29" s="214">
        <f>Sheet1!H94</f>
        <v>3399.9</v>
      </c>
      <c r="I29" s="214">
        <f>Sheet1!I94</f>
        <v>399.9</v>
      </c>
      <c r="J29" s="214">
        <f>Sheet1!J94</f>
        <v>3000</v>
      </c>
      <c r="K29" s="214">
        <f>Sheet1!K94</f>
        <v>5198.7</v>
      </c>
      <c r="L29" s="214">
        <f>Sheet1!L94</f>
        <v>14796.3</v>
      </c>
      <c r="M29" s="214">
        <f>Sheet1!M94</f>
        <v>13</v>
      </c>
      <c r="N29" s="214">
        <f>Sheet1!N94</f>
        <v>37</v>
      </c>
      <c r="O29" s="214">
        <f>Sheet1!O94</f>
        <v>44198.700000000012</v>
      </c>
      <c r="P29" s="214">
        <f>Sheet1!P94</f>
        <v>125796.30000000008</v>
      </c>
      <c r="Q29" s="214">
        <f>Sheet1!Q94</f>
        <v>0</v>
      </c>
    </row>
    <row r="30" spans="1:17" s="24" customFormat="1">
      <c r="A30" s="87">
        <f>Sheet1!A30</f>
        <v>28</v>
      </c>
      <c r="B30" s="87">
        <f>Sheet1!B30</f>
        <v>0</v>
      </c>
      <c r="C30" s="214" t="str">
        <f>Sheet1!C101</f>
        <v>MORRIS LOLA O.</v>
      </c>
      <c r="D30" s="214">
        <f>Sheet1!D101</f>
        <v>150000</v>
      </c>
      <c r="E30" s="214">
        <f>Sheet1!E101</f>
        <v>19995</v>
      </c>
      <c r="F30" s="214">
        <f>Sheet1!F101</f>
        <v>169882.5</v>
      </c>
      <c r="G30" s="214">
        <f>Sheet1!G101</f>
        <v>50</v>
      </c>
      <c r="H30" s="214">
        <f>Sheet1!H101</f>
        <v>3397.65</v>
      </c>
      <c r="I30" s="214">
        <f>Sheet1!I101</f>
        <v>399.9</v>
      </c>
      <c r="J30" s="214">
        <f>Sheet1!J101</f>
        <v>3000</v>
      </c>
      <c r="K30" s="214">
        <f>Sheet1!K101</f>
        <v>20394.899999999998</v>
      </c>
      <c r="L30" s="214">
        <f>Sheet1!L101</f>
        <v>0</v>
      </c>
      <c r="M30" s="214">
        <f>Sheet1!M101</f>
        <v>51</v>
      </c>
      <c r="N30" s="214">
        <f>Sheet1!N101</f>
        <v>0</v>
      </c>
      <c r="O30" s="214">
        <f>Sheet1!O101</f>
        <v>149597.99999999997</v>
      </c>
      <c r="P30" s="214">
        <f>Sheet1!P101</f>
        <v>20399.500000000069</v>
      </c>
      <c r="Q30" s="214">
        <f>Sheet1!Q101</f>
        <v>0</v>
      </c>
    </row>
    <row r="31" spans="1:17" s="24" customFormat="1" ht="18" customHeight="1">
      <c r="A31" s="87">
        <f>Sheet1!A31</f>
        <v>29</v>
      </c>
      <c r="B31" s="87">
        <f>Sheet1!B31</f>
        <v>0</v>
      </c>
      <c r="C31" s="214" t="str">
        <f>Sheet1!C52</f>
        <v>MR A.A. SODEINDE</v>
      </c>
      <c r="D31" s="214">
        <f>Sheet1!D52</f>
        <v>450001</v>
      </c>
      <c r="E31" s="214">
        <f>Sheet1!E52</f>
        <v>59985.133300000001</v>
      </c>
      <c r="F31" s="214">
        <f>Sheet1!F52</f>
        <v>666650</v>
      </c>
      <c r="G31" s="214">
        <f>Sheet1!G52</f>
        <v>50</v>
      </c>
      <c r="H31" s="214">
        <f>Sheet1!H52</f>
        <v>13333</v>
      </c>
      <c r="I31" s="214">
        <f>Sheet1!I52</f>
        <v>1199.7026660000001</v>
      </c>
      <c r="J31" s="214">
        <f>Sheet1!J52</f>
        <v>9000.02</v>
      </c>
      <c r="K31" s="214">
        <f>Sheet1!K52</f>
        <v>19195.242656000002</v>
      </c>
      <c r="L31" s="214">
        <f>Sheet1!L52</f>
        <v>40789.890644000006</v>
      </c>
      <c r="M31" s="214">
        <f>Sheet1!M52</f>
        <v>16</v>
      </c>
      <c r="N31" s="214">
        <f>Sheet1!N52</f>
        <v>34</v>
      </c>
      <c r="O31" s="214">
        <f>Sheet1!O52</f>
        <v>176528.2</v>
      </c>
      <c r="P31" s="214">
        <f>Sheet1!P52</f>
        <v>343656.49999999983</v>
      </c>
      <c r="Q31" s="214">
        <f>Sheet1!Q52</f>
        <v>0</v>
      </c>
    </row>
    <row r="32" spans="1:17" s="24" customFormat="1" ht="18" customHeight="1">
      <c r="A32" s="87">
        <f>Sheet1!A32</f>
        <v>30</v>
      </c>
      <c r="B32" s="87">
        <f>Sheet1!B32</f>
        <v>0</v>
      </c>
      <c r="C32" s="214" t="str">
        <f>Sheet1!C55</f>
        <v>MR A.A.ADUNMADEHIN</v>
      </c>
      <c r="D32" s="214">
        <f>Sheet1!D55</f>
        <v>500000</v>
      </c>
      <c r="E32" s="214">
        <f>Sheet1!E55</f>
        <v>66650</v>
      </c>
      <c r="F32" s="214">
        <f>Sheet1!F55</f>
        <v>424987.5</v>
      </c>
      <c r="G32" s="214">
        <f>Sheet1!G55</f>
        <v>50</v>
      </c>
      <c r="H32" s="214">
        <f>Sheet1!H55</f>
        <v>8499.75</v>
      </c>
      <c r="I32" s="214">
        <f>Sheet1!I55</f>
        <v>1333</v>
      </c>
      <c r="J32" s="214">
        <f>Sheet1!J55</f>
        <v>10000</v>
      </c>
      <c r="K32" s="214">
        <f>Sheet1!K55</f>
        <v>2666</v>
      </c>
      <c r="L32" s="214">
        <f>Sheet1!L55</f>
        <v>65317</v>
      </c>
      <c r="M32" s="214">
        <f>Sheet1!M55</f>
        <v>2</v>
      </c>
      <c r="N32" s="214">
        <f>Sheet1!N55</f>
        <v>49</v>
      </c>
      <c r="O32" s="214">
        <f>Sheet1!O55</f>
        <v>16999.5</v>
      </c>
      <c r="P32" s="214">
        <f>Sheet1!P55</f>
        <v>492985.5</v>
      </c>
      <c r="Q32" s="214">
        <f>Sheet1!Q55</f>
        <v>0</v>
      </c>
    </row>
    <row r="33" spans="1:17" s="24" customFormat="1" ht="18" customHeight="1">
      <c r="A33" s="87">
        <f>Sheet1!A33</f>
        <v>31</v>
      </c>
      <c r="B33" s="87">
        <f>Sheet1!B33</f>
        <v>0</v>
      </c>
      <c r="C33" s="214" t="str">
        <f>Sheet1!C78</f>
        <v>MR M.O OLAJIDE</v>
      </c>
      <c r="D33" s="214">
        <f>Sheet1!D78</f>
        <v>330000</v>
      </c>
      <c r="E33" s="214">
        <f>Sheet1!E78</f>
        <v>43989</v>
      </c>
      <c r="F33" s="214">
        <f>Sheet1!F78</f>
        <v>373989</v>
      </c>
      <c r="G33" s="214">
        <f>Sheet1!G78</f>
        <v>50</v>
      </c>
      <c r="H33" s="214">
        <f>Sheet1!H78</f>
        <v>7479.78</v>
      </c>
      <c r="I33" s="214">
        <f>Sheet1!I78</f>
        <v>879.78</v>
      </c>
      <c r="J33" s="214">
        <f>Sheet1!J78</f>
        <v>6600</v>
      </c>
      <c r="K33" s="214">
        <f>Sheet1!K78</f>
        <v>1759.56</v>
      </c>
      <c r="L33" s="214">
        <f>Sheet1!L78</f>
        <v>42229.440000000002</v>
      </c>
      <c r="M33" s="214">
        <f>Sheet1!M78</f>
        <v>2</v>
      </c>
      <c r="N33" s="214">
        <f>Sheet1!N78</f>
        <v>48</v>
      </c>
      <c r="O33" s="214">
        <f>Sheet1!O78</f>
        <v>14959.56</v>
      </c>
      <c r="P33" s="214">
        <f>Sheet1!P78</f>
        <v>359029.43999999994</v>
      </c>
      <c r="Q33" s="214">
        <f>Sheet1!Q78</f>
        <v>0</v>
      </c>
    </row>
    <row r="34" spans="1:17" s="24" customFormat="1" ht="18" customHeight="1">
      <c r="A34" s="87">
        <f>Sheet1!A34</f>
        <v>32</v>
      </c>
      <c r="B34" s="87">
        <f>Sheet1!B34</f>
        <v>0</v>
      </c>
      <c r="C34" s="214" t="str">
        <f>Sheet1!C61</f>
        <v>MR O.E ODUNTAN</v>
      </c>
      <c r="D34" s="214">
        <f>Sheet1!D61</f>
        <v>450000</v>
      </c>
      <c r="E34" s="214">
        <f>Sheet1!E61</f>
        <v>59985</v>
      </c>
      <c r="F34" s="214">
        <f>Sheet1!F61</f>
        <v>509985.00000000006</v>
      </c>
      <c r="G34" s="214">
        <f>Sheet1!G61</f>
        <v>50</v>
      </c>
      <c r="H34" s="214">
        <f>Sheet1!H61</f>
        <v>10199.700000000001</v>
      </c>
      <c r="I34" s="214">
        <f>Sheet1!I61</f>
        <v>1199.7</v>
      </c>
      <c r="J34" s="214">
        <f>Sheet1!J61</f>
        <v>9000</v>
      </c>
      <c r="K34" s="214">
        <f>Sheet1!K61</f>
        <v>2399.4</v>
      </c>
      <c r="L34" s="214">
        <f>Sheet1!L61</f>
        <v>57585.600000000006</v>
      </c>
      <c r="M34" s="214">
        <f>Sheet1!M61</f>
        <v>2</v>
      </c>
      <c r="N34" s="214">
        <f>Sheet1!N61</f>
        <v>48</v>
      </c>
      <c r="O34" s="214">
        <f>Sheet1!O61</f>
        <v>20399.400000000001</v>
      </c>
      <c r="P34" s="214">
        <f>Sheet1!P61</f>
        <v>489585.6</v>
      </c>
      <c r="Q34" s="214">
        <f>Sheet1!Q61</f>
        <v>0</v>
      </c>
    </row>
    <row r="35" spans="1:17" s="24" customFormat="1" ht="18" customHeight="1">
      <c r="A35" s="87">
        <f>Sheet1!A35</f>
        <v>33</v>
      </c>
      <c r="B35" s="87">
        <f>Sheet1!B35</f>
        <v>0</v>
      </c>
      <c r="C35" s="214" t="str">
        <f>Sheet1!C23</f>
        <v>MR SHOMOYE T.H.</v>
      </c>
      <c r="D35" s="214">
        <f>Sheet1!D23</f>
        <v>500000</v>
      </c>
      <c r="E35" s="214">
        <f>Sheet1!E23</f>
        <v>66650</v>
      </c>
      <c r="F35" s="214">
        <f>Sheet1!F23</f>
        <v>509985.00000000006</v>
      </c>
      <c r="G35" s="214">
        <f>Sheet1!G23</f>
        <v>50</v>
      </c>
      <c r="H35" s="214">
        <f>Sheet1!H23</f>
        <v>10199.700000000001</v>
      </c>
      <c r="I35" s="214">
        <f>Sheet1!I23</f>
        <v>1333</v>
      </c>
      <c r="J35" s="214">
        <f>Sheet1!J23</f>
        <v>10000</v>
      </c>
      <c r="K35" s="214">
        <f>Sheet1!K23</f>
        <v>3999</v>
      </c>
      <c r="L35" s="214">
        <f>Sheet1!L23</f>
        <v>63984</v>
      </c>
      <c r="M35" s="214">
        <f>Sheet1!M23</f>
        <v>3</v>
      </c>
      <c r="N35" s="214">
        <f>Sheet1!N23</f>
        <v>48</v>
      </c>
      <c r="O35" s="214">
        <f>Sheet1!O23</f>
        <v>20399.400000000001</v>
      </c>
      <c r="P35" s="214">
        <f>Sheet1!P23</f>
        <v>495025.97</v>
      </c>
      <c r="Q35" s="214">
        <f>Sheet1!Q23</f>
        <v>0</v>
      </c>
    </row>
    <row r="36" spans="1:17" s="24" customFormat="1" ht="18" customHeight="1">
      <c r="A36" s="87">
        <f>Sheet1!A36</f>
        <v>34</v>
      </c>
      <c r="B36" s="87">
        <f>Sheet1!B36</f>
        <v>0</v>
      </c>
      <c r="C36" s="214" t="str">
        <f>Sheet1!C121</f>
        <v>MR T.O. OLOJEDE</v>
      </c>
      <c r="D36" s="214">
        <f>Sheet1!D121</f>
        <v>500000</v>
      </c>
      <c r="E36" s="214">
        <f>Sheet1!E121</f>
        <v>66650</v>
      </c>
      <c r="F36" s="214">
        <f>Sheet1!F121</f>
        <v>509985.00000000006</v>
      </c>
      <c r="G36" s="214">
        <f>Sheet1!G121</f>
        <v>50</v>
      </c>
      <c r="H36" s="214">
        <f>Sheet1!H121</f>
        <v>10199.700000000001</v>
      </c>
      <c r="I36" s="214">
        <f>Sheet1!I121</f>
        <v>1333</v>
      </c>
      <c r="J36" s="214">
        <f>Sheet1!J121</f>
        <v>10000</v>
      </c>
      <c r="K36" s="214">
        <f>Sheet1!K121</f>
        <v>63984</v>
      </c>
      <c r="L36" s="214">
        <f>Sheet1!L121</f>
        <v>3999</v>
      </c>
      <c r="M36" s="214">
        <f>Sheet1!M121</f>
        <v>48</v>
      </c>
      <c r="N36" s="214">
        <f>Sheet1!N121</f>
        <v>3</v>
      </c>
      <c r="O36" s="214">
        <f>Sheet1!O121</f>
        <v>20399.400000000001</v>
      </c>
      <c r="P36" s="214">
        <f>Sheet1!P121</f>
        <v>438587.1</v>
      </c>
      <c r="Q36" s="214">
        <f>Sheet1!Q121</f>
        <v>0</v>
      </c>
    </row>
    <row r="37" spans="1:17" s="24" customFormat="1" ht="18" customHeight="1">
      <c r="A37" s="87">
        <f>Sheet1!A37</f>
        <v>35</v>
      </c>
      <c r="B37" s="87">
        <f>Sheet1!B37</f>
        <v>0</v>
      </c>
      <c r="C37" s="214" t="str">
        <f>Sheet1!C3</f>
        <v>MR. A. A. OLADOJA</v>
      </c>
      <c r="D37" s="214">
        <f>Sheet1!D3</f>
        <v>500000</v>
      </c>
      <c r="E37" s="214">
        <f>Sheet1!E3</f>
        <v>66650</v>
      </c>
      <c r="F37" s="214">
        <f>Sheet1!F3</f>
        <v>566650</v>
      </c>
      <c r="G37" s="214">
        <f>Sheet1!G3</f>
        <v>50</v>
      </c>
      <c r="H37" s="214">
        <f>Sheet1!H3</f>
        <v>11333</v>
      </c>
      <c r="I37" s="214">
        <f>Sheet1!I3</f>
        <v>1333</v>
      </c>
      <c r="J37" s="214">
        <f>Sheet1!J3</f>
        <v>10000</v>
      </c>
      <c r="K37" s="214">
        <f>Sheet1!K3</f>
        <v>17329</v>
      </c>
      <c r="L37" s="214">
        <f>Sheet1!L3</f>
        <v>49321</v>
      </c>
      <c r="M37" s="214">
        <f>Sheet1!M3</f>
        <v>13</v>
      </c>
      <c r="N37" s="214">
        <f>Sheet1!N3</f>
        <v>37</v>
      </c>
      <c r="O37" s="214">
        <f>Sheet1!O3</f>
        <v>147328</v>
      </c>
      <c r="P37" s="214">
        <f>Sheet1!P3</f>
        <v>407988</v>
      </c>
      <c r="Q37" s="214">
        <f>Sheet1!Q3</f>
        <v>0</v>
      </c>
    </row>
    <row r="38" spans="1:17" s="24" customFormat="1" ht="18" customHeight="1">
      <c r="A38" s="87">
        <f>Sheet1!A38</f>
        <v>36</v>
      </c>
      <c r="B38" s="87">
        <f>Sheet1!B38</f>
        <v>0</v>
      </c>
      <c r="C38" s="214" t="str">
        <f>Sheet1!C51</f>
        <v>MR. A. D. AYOADE</v>
      </c>
      <c r="D38" s="214">
        <f>Sheet1!D51</f>
        <v>500000</v>
      </c>
      <c r="E38" s="214">
        <f>Sheet1!E51</f>
        <v>66650</v>
      </c>
      <c r="F38" s="214">
        <f>Sheet1!F51</f>
        <v>566650</v>
      </c>
      <c r="G38" s="214">
        <f>Sheet1!G51</f>
        <v>50</v>
      </c>
      <c r="H38" s="214">
        <f>Sheet1!H51</f>
        <v>11333</v>
      </c>
      <c r="I38" s="214">
        <f>Sheet1!I51</f>
        <v>1333</v>
      </c>
      <c r="J38" s="214">
        <f>Sheet1!J51</f>
        <v>10000</v>
      </c>
      <c r="K38" s="214">
        <f>Sheet1!K51</f>
        <v>13330</v>
      </c>
      <c r="L38" s="214">
        <f>Sheet1!L51</f>
        <v>53320</v>
      </c>
      <c r="M38" s="214">
        <f>Sheet1!M51</f>
        <v>10</v>
      </c>
      <c r="N38" s="214">
        <f>Sheet1!N51</f>
        <v>40</v>
      </c>
      <c r="O38" s="214">
        <f>Sheet1!O51</f>
        <v>113330</v>
      </c>
      <c r="P38" s="214">
        <f>Sheet1!P51</f>
        <v>453320</v>
      </c>
      <c r="Q38" s="214">
        <f>Sheet1!Q51</f>
        <v>0</v>
      </c>
    </row>
    <row r="39" spans="1:17" s="24" customFormat="1" ht="18" customHeight="1">
      <c r="A39" s="87">
        <f>Sheet1!A39</f>
        <v>37</v>
      </c>
      <c r="B39" s="87">
        <f>Sheet1!B39</f>
        <v>0</v>
      </c>
      <c r="C39" s="214" t="str">
        <f>Sheet1!C45</f>
        <v>MR. A. ESAN</v>
      </c>
      <c r="D39" s="214">
        <f>Sheet1!D45</f>
        <v>330000</v>
      </c>
      <c r="E39" s="214">
        <f>Sheet1!E45</f>
        <v>43989</v>
      </c>
      <c r="F39" s="214">
        <f>Sheet1!F45</f>
        <v>373989</v>
      </c>
      <c r="G39" s="214">
        <f>Sheet1!G45</f>
        <v>50</v>
      </c>
      <c r="H39" s="214">
        <f>Sheet1!H45</f>
        <v>7479.78</v>
      </c>
      <c r="I39" s="214">
        <f>Sheet1!I45</f>
        <v>879.78</v>
      </c>
      <c r="J39" s="214">
        <f>Sheet1!J45</f>
        <v>6600</v>
      </c>
      <c r="K39" s="214">
        <f>Sheet1!K45</f>
        <v>21994.5</v>
      </c>
      <c r="L39" s="214">
        <f>Sheet1!L45</f>
        <v>21994.5</v>
      </c>
      <c r="M39" s="214">
        <f>Sheet1!M45</f>
        <v>25</v>
      </c>
      <c r="N39" s="214">
        <f>Sheet1!N45</f>
        <v>25</v>
      </c>
      <c r="O39" s="214">
        <f>Sheet1!O45</f>
        <v>186994.5</v>
      </c>
      <c r="P39" s="214">
        <f>Sheet1!P45</f>
        <v>186994.49999999962</v>
      </c>
      <c r="Q39" s="214">
        <f>Sheet1!Q45</f>
        <v>0</v>
      </c>
    </row>
    <row r="40" spans="1:17" s="24" customFormat="1" ht="18" customHeight="1">
      <c r="A40" s="87">
        <f>Sheet1!A40</f>
        <v>38</v>
      </c>
      <c r="B40" s="87">
        <f>Sheet1!B40</f>
        <v>0</v>
      </c>
      <c r="C40" s="214" t="str">
        <f>Sheet1!C64</f>
        <v>MR. A. L.AWE</v>
      </c>
      <c r="D40" s="214">
        <f>Sheet1!D64</f>
        <v>450000</v>
      </c>
      <c r="E40" s="214">
        <f>Sheet1!E64</f>
        <v>59985</v>
      </c>
      <c r="F40" s="214">
        <f>Sheet1!F64</f>
        <v>502322</v>
      </c>
      <c r="G40" s="214">
        <f>Sheet1!G64</f>
        <v>50</v>
      </c>
      <c r="H40" s="214">
        <f>Sheet1!H64</f>
        <v>10046.44</v>
      </c>
      <c r="I40" s="214">
        <f>Sheet1!I64</f>
        <v>1199.7</v>
      </c>
      <c r="J40" s="214">
        <f>Sheet1!J64</f>
        <v>9000</v>
      </c>
      <c r="K40" s="214">
        <f>Sheet1!K64</f>
        <v>32391.9</v>
      </c>
      <c r="L40" s="214">
        <f>Sheet1!L64</f>
        <v>27593.100000000002</v>
      </c>
      <c r="M40" s="214">
        <f>Sheet1!M64</f>
        <v>27</v>
      </c>
      <c r="N40" s="214">
        <f>Sheet1!N64</f>
        <v>23</v>
      </c>
      <c r="O40" s="214">
        <f>Sheet1!O64</f>
        <v>271253.88</v>
      </c>
      <c r="P40" s="214">
        <f>Sheet1!P64</f>
        <v>231068.11999999994</v>
      </c>
      <c r="Q40" s="214">
        <f>Sheet1!Q64</f>
        <v>0</v>
      </c>
    </row>
    <row r="41" spans="1:17" s="24" customFormat="1" ht="18" customHeight="1">
      <c r="A41" s="87">
        <f>Sheet1!A41</f>
        <v>39</v>
      </c>
      <c r="B41" s="87">
        <f>Sheet1!B41</f>
        <v>0</v>
      </c>
      <c r="C41" s="214" t="str">
        <f>Sheet1!C107</f>
        <v>MR. A. O. ADEFI</v>
      </c>
      <c r="D41" s="214">
        <f>Sheet1!D107</f>
        <v>150000</v>
      </c>
      <c r="E41" s="214">
        <f>Sheet1!E107</f>
        <v>19995</v>
      </c>
      <c r="F41" s="214">
        <f>Sheet1!F107</f>
        <v>169995</v>
      </c>
      <c r="G41" s="214">
        <f>Sheet1!G107</f>
        <v>50</v>
      </c>
      <c r="H41" s="214">
        <f>Sheet1!H107</f>
        <v>3399.9</v>
      </c>
      <c r="I41" s="214">
        <f>Sheet1!I107</f>
        <v>399.9</v>
      </c>
      <c r="J41" s="214">
        <f>Sheet1!J107</f>
        <v>3000</v>
      </c>
      <c r="K41" s="214">
        <f>Sheet1!K107</f>
        <v>11997</v>
      </c>
      <c r="L41" s="214">
        <f>Sheet1!L107</f>
        <v>7998</v>
      </c>
      <c r="M41" s="214">
        <f>Sheet1!M107</f>
        <v>30</v>
      </c>
      <c r="N41" s="214">
        <f>Sheet1!N107</f>
        <v>20</v>
      </c>
      <c r="O41" s="214">
        <f>Sheet1!O107</f>
        <v>101996.99999999996</v>
      </c>
      <c r="P41" s="214">
        <f>Sheet1!P107</f>
        <v>67998.000000000175</v>
      </c>
      <c r="Q41" s="214">
        <f>Sheet1!Q107</f>
        <v>0</v>
      </c>
    </row>
    <row r="42" spans="1:17" s="24" customFormat="1" ht="18" customHeight="1">
      <c r="A42" s="87">
        <f>Sheet1!A42</f>
        <v>40</v>
      </c>
      <c r="B42" s="87">
        <f>Sheet1!B42</f>
        <v>0</v>
      </c>
      <c r="C42" s="214" t="str">
        <f>Sheet1!C58</f>
        <v>MR. A. T. BAKARE</v>
      </c>
      <c r="D42" s="214">
        <f>Sheet1!D58</f>
        <v>450000</v>
      </c>
      <c r="E42" s="214">
        <f>Sheet1!E58</f>
        <v>59985</v>
      </c>
      <c r="F42" s="214">
        <f>Sheet1!F58</f>
        <v>509985.00000000006</v>
      </c>
      <c r="G42" s="214">
        <f>Sheet1!G58</f>
        <v>50</v>
      </c>
      <c r="H42" s="214">
        <f>Sheet1!H58</f>
        <v>10199.700000000001</v>
      </c>
      <c r="I42" s="214">
        <f>Sheet1!I58</f>
        <v>1199.7</v>
      </c>
      <c r="J42" s="214">
        <f>Sheet1!J58</f>
        <v>9000</v>
      </c>
      <c r="K42" s="214">
        <f>Sheet1!K58</f>
        <v>4798.8</v>
      </c>
      <c r="L42" s="214">
        <f>Sheet1!L58</f>
        <v>55186.200000000004</v>
      </c>
      <c r="M42" s="214">
        <f>Sheet1!M58</f>
        <v>4</v>
      </c>
      <c r="N42" s="214">
        <f>Sheet1!N58</f>
        <v>46</v>
      </c>
      <c r="O42" s="214">
        <f>Sheet1!O58</f>
        <v>40798.800000000003</v>
      </c>
      <c r="P42" s="214">
        <f>Sheet1!P58</f>
        <v>448786.8</v>
      </c>
      <c r="Q42" s="214">
        <f>Sheet1!Q58</f>
        <v>0</v>
      </c>
    </row>
    <row r="43" spans="1:17" s="24" customFormat="1" ht="18" customHeight="1">
      <c r="A43" s="87">
        <f>Sheet1!A43</f>
        <v>41</v>
      </c>
      <c r="B43" s="87">
        <f>Sheet1!B43</f>
        <v>0</v>
      </c>
      <c r="C43" s="214" t="str">
        <f>Sheet1!C115</f>
        <v>MR. ADELEKE KAZEEM</v>
      </c>
      <c r="D43" s="214">
        <f>Sheet1!D115</f>
        <v>150000</v>
      </c>
      <c r="E43" s="214">
        <f>Sheet1!E115</f>
        <v>19995</v>
      </c>
      <c r="F43" s="214">
        <f>Sheet1!F115</f>
        <v>169995</v>
      </c>
      <c r="G43" s="214">
        <f>Sheet1!G115</f>
        <v>50</v>
      </c>
      <c r="H43" s="214">
        <f>Sheet1!H115</f>
        <v>3399.9</v>
      </c>
      <c r="I43" s="214">
        <f>Sheet1!I115</f>
        <v>399.9</v>
      </c>
      <c r="J43" s="214">
        <f>Sheet1!J115</f>
        <v>3000</v>
      </c>
      <c r="K43" s="214">
        <f>Sheet1!K115</f>
        <v>4798.7999999999993</v>
      </c>
      <c r="L43" s="214">
        <f>Sheet1!L115</f>
        <v>15196.199999999999</v>
      </c>
      <c r="M43" s="214">
        <f>Sheet1!M115</f>
        <v>12</v>
      </c>
      <c r="N43" s="214">
        <f>Sheet1!N115</f>
        <v>38</v>
      </c>
      <c r="O43" s="214">
        <f>Sheet1!O115</f>
        <v>40798.80000000001</v>
      </c>
      <c r="P43" s="214">
        <f>Sheet1!P115</f>
        <v>129196.20000000007</v>
      </c>
      <c r="Q43" s="214">
        <f>Sheet1!Q115</f>
        <v>0</v>
      </c>
    </row>
    <row r="44" spans="1:17" s="24" customFormat="1" ht="18" customHeight="1">
      <c r="A44" s="87">
        <f>Sheet1!A44</f>
        <v>42</v>
      </c>
      <c r="B44" s="87">
        <f>Sheet1!B44</f>
        <v>0</v>
      </c>
      <c r="C44" s="214" t="str">
        <f>Sheet1!C97</f>
        <v>MR. ADETOYE ADEDOKUN</v>
      </c>
      <c r="D44" s="214">
        <f>Sheet1!D97</f>
        <v>450000</v>
      </c>
      <c r="E44" s="214">
        <f>Sheet1!E97</f>
        <v>59985</v>
      </c>
      <c r="F44" s="214">
        <f>Sheet1!F97</f>
        <v>509985.00000000006</v>
      </c>
      <c r="G44" s="214">
        <f>Sheet1!G97</f>
        <v>50</v>
      </c>
      <c r="H44" s="214">
        <f>Sheet1!H97</f>
        <v>10199.700000000001</v>
      </c>
      <c r="I44" s="214">
        <f>Sheet1!I97</f>
        <v>1199.7</v>
      </c>
      <c r="J44" s="214">
        <f>Sheet1!J97</f>
        <v>9000</v>
      </c>
      <c r="K44" s="214">
        <f>Sheet1!K97</f>
        <v>10797.300000000001</v>
      </c>
      <c r="L44" s="214">
        <f>Sheet1!L97</f>
        <v>49187.700000000004</v>
      </c>
      <c r="M44" s="214">
        <f>Sheet1!M97</f>
        <v>9</v>
      </c>
      <c r="N44" s="214">
        <f>Sheet1!N97</f>
        <v>41</v>
      </c>
      <c r="O44" s="214">
        <f>Sheet1!O97</f>
        <v>91797.299999999988</v>
      </c>
      <c r="P44" s="214">
        <f>Sheet1!P97</f>
        <v>418187.6999999999</v>
      </c>
      <c r="Q44" s="214">
        <f>Sheet1!Q97</f>
        <v>0</v>
      </c>
    </row>
    <row r="45" spans="1:17" s="24" customFormat="1" ht="18" customHeight="1">
      <c r="A45" s="87">
        <f>Sheet1!A45</f>
        <v>43</v>
      </c>
      <c r="B45" s="87">
        <f>Sheet1!B45</f>
        <v>0</v>
      </c>
      <c r="C45" s="214" t="str">
        <f>Sheet1!C123</f>
        <v>MR. AFOLABI ABRAHAM</v>
      </c>
      <c r="D45" s="214">
        <f>Sheet1!D123</f>
        <v>150000</v>
      </c>
      <c r="E45" s="214">
        <f>Sheet1!E123</f>
        <v>19995</v>
      </c>
      <c r="F45" s="214">
        <f>Sheet1!F123</f>
        <v>169995</v>
      </c>
      <c r="G45" s="214">
        <f>Sheet1!G123</f>
        <v>50</v>
      </c>
      <c r="H45" s="214">
        <f>Sheet1!H123</f>
        <v>3399.9</v>
      </c>
      <c r="I45" s="214">
        <f>Sheet1!I123</f>
        <v>399.9</v>
      </c>
      <c r="J45" s="214">
        <f>Sheet1!J123</f>
        <v>3000</v>
      </c>
      <c r="K45" s="214">
        <f>Sheet1!K123</f>
        <v>9997.5</v>
      </c>
      <c r="L45" s="214">
        <f>Sheet1!L123</f>
        <v>9997.5</v>
      </c>
      <c r="M45" s="214">
        <f>Sheet1!M123</f>
        <v>25</v>
      </c>
      <c r="N45" s="214">
        <f>Sheet1!N123</f>
        <v>25</v>
      </c>
      <c r="O45" s="214">
        <f>Sheet1!O123</f>
        <v>84997.499999999985</v>
      </c>
      <c r="P45" s="214">
        <f>Sheet1!P123</f>
        <v>84997.500000000146</v>
      </c>
      <c r="Q45" s="214">
        <f>Sheet1!Q123</f>
        <v>0</v>
      </c>
    </row>
    <row r="46" spans="1:17" s="24" customFormat="1" ht="18" customHeight="1">
      <c r="A46" s="87">
        <f>Sheet1!A46</f>
        <v>44</v>
      </c>
      <c r="B46" s="87">
        <f>Sheet1!B46</f>
        <v>0</v>
      </c>
      <c r="C46" s="214" t="str">
        <f>Sheet1!C140</f>
        <v>MR. D.T. DUROTOYE</v>
      </c>
      <c r="D46" s="214">
        <f>Sheet1!D140</f>
        <v>150000</v>
      </c>
      <c r="E46" s="214">
        <f>Sheet1!E140</f>
        <v>19995</v>
      </c>
      <c r="F46" s="214">
        <f>Sheet1!F140</f>
        <v>169995</v>
      </c>
      <c r="G46" s="214">
        <f>Sheet1!G140</f>
        <v>50</v>
      </c>
      <c r="H46" s="214">
        <f>Sheet1!H140</f>
        <v>3399.9</v>
      </c>
      <c r="I46" s="214">
        <f>Sheet1!I140</f>
        <v>399.9</v>
      </c>
      <c r="J46" s="214">
        <f>Sheet1!J140</f>
        <v>3000</v>
      </c>
      <c r="K46" s="214">
        <f>Sheet1!K140</f>
        <v>4398.8999999999996</v>
      </c>
      <c r="L46" s="214">
        <f>Sheet1!L140</f>
        <v>15596.099999999999</v>
      </c>
      <c r="M46" s="214">
        <f>Sheet1!M140</f>
        <v>11</v>
      </c>
      <c r="N46" s="214">
        <f>Sheet1!N140</f>
        <v>39</v>
      </c>
      <c r="O46" s="214">
        <f>Sheet1!O140</f>
        <v>37398.900000000009</v>
      </c>
      <c r="P46" s="214">
        <f>Sheet1!P140</f>
        <v>132596.10000000006</v>
      </c>
      <c r="Q46" s="214">
        <f>Sheet1!Q140</f>
        <v>0</v>
      </c>
    </row>
    <row r="47" spans="1:17" s="24" customFormat="1" ht="18" customHeight="1">
      <c r="A47" s="87">
        <f>Sheet1!A47</f>
        <v>45</v>
      </c>
      <c r="B47" s="87">
        <f>Sheet1!B47</f>
        <v>0</v>
      </c>
      <c r="C47" s="214" t="str">
        <f>Sheet1!C76</f>
        <v>MR. F. O. OMOTOSHO</v>
      </c>
      <c r="D47" s="214">
        <f>Sheet1!D76</f>
        <v>330000</v>
      </c>
      <c r="E47" s="214">
        <f>Sheet1!E76</f>
        <v>43989</v>
      </c>
      <c r="F47" s="214">
        <f>Sheet1!F76</f>
        <v>373989</v>
      </c>
      <c r="G47" s="214">
        <f>Sheet1!G76</f>
        <v>50</v>
      </c>
      <c r="H47" s="214">
        <f>Sheet1!H76</f>
        <v>7479.78</v>
      </c>
      <c r="I47" s="214">
        <f>Sheet1!I76</f>
        <v>879.78</v>
      </c>
      <c r="J47" s="214">
        <f>Sheet1!J76</f>
        <v>6600</v>
      </c>
      <c r="K47" s="214">
        <f>Sheet1!K76</f>
        <v>19355.16</v>
      </c>
      <c r="L47" s="214">
        <f>Sheet1!L76</f>
        <v>24633.84</v>
      </c>
      <c r="M47" s="214">
        <f>Sheet1!M76</f>
        <v>22</v>
      </c>
      <c r="N47" s="214">
        <f>Sheet1!N76</f>
        <v>28</v>
      </c>
      <c r="O47" s="214">
        <f>Sheet1!O76</f>
        <v>164555.16</v>
      </c>
      <c r="P47" s="214">
        <f>Sheet1!P76</f>
        <v>209433.83999999962</v>
      </c>
      <c r="Q47" s="214">
        <f>Sheet1!Q76</f>
        <v>0</v>
      </c>
    </row>
    <row r="48" spans="1:17" s="24" customFormat="1" ht="18" customHeight="1">
      <c r="A48" s="87">
        <f>Sheet1!A48</f>
        <v>46</v>
      </c>
      <c r="B48" s="87">
        <f>Sheet1!B48</f>
        <v>0</v>
      </c>
      <c r="C48" s="214" t="str">
        <f>Sheet1!C98</f>
        <v>MR. F. TAIWO</v>
      </c>
      <c r="D48" s="214">
        <f>Sheet1!D98</f>
        <v>150000</v>
      </c>
      <c r="E48" s="214">
        <f>Sheet1!E98</f>
        <v>19995</v>
      </c>
      <c r="F48" s="214">
        <f>Sheet1!F98</f>
        <v>169995</v>
      </c>
      <c r="G48" s="214">
        <f>Sheet1!G98</f>
        <v>50</v>
      </c>
      <c r="H48" s="214">
        <f>Sheet1!H98</f>
        <v>3399.9</v>
      </c>
      <c r="I48" s="214">
        <f>Sheet1!I98</f>
        <v>399.9</v>
      </c>
      <c r="J48" s="214">
        <f>Sheet1!J98</f>
        <v>3000</v>
      </c>
      <c r="K48" s="214">
        <f>Sheet1!K98</f>
        <v>1999.5</v>
      </c>
      <c r="L48" s="214">
        <f>Sheet1!L98</f>
        <v>17995.5</v>
      </c>
      <c r="M48" s="214">
        <f>Sheet1!M98</f>
        <v>5</v>
      </c>
      <c r="N48" s="214">
        <f>Sheet1!N98</f>
        <v>45</v>
      </c>
      <c r="O48" s="214">
        <f>Sheet1!O98</f>
        <v>16999.5</v>
      </c>
      <c r="P48" s="214">
        <f>Sheet1!P98</f>
        <v>152995.50000000003</v>
      </c>
      <c r="Q48" s="214">
        <f>Sheet1!Q98</f>
        <v>0</v>
      </c>
    </row>
    <row r="49" spans="1:17" s="24" customFormat="1" ht="18" customHeight="1">
      <c r="A49" s="87">
        <f>Sheet1!A49</f>
        <v>47</v>
      </c>
      <c r="B49" s="87">
        <f>Sheet1!B49</f>
        <v>0</v>
      </c>
      <c r="C49" s="214" t="str">
        <f>Sheet1!C8</f>
        <v>MR. I. J. OLAGUNJU</v>
      </c>
      <c r="D49" s="214">
        <f>Sheet1!D8</f>
        <v>330000</v>
      </c>
      <c r="E49" s="214">
        <f>Sheet1!E8</f>
        <v>43989</v>
      </c>
      <c r="F49" s="214">
        <f>Sheet1!F8</f>
        <v>373989</v>
      </c>
      <c r="G49" s="214">
        <f>Sheet1!G8</f>
        <v>50</v>
      </c>
      <c r="H49" s="214">
        <f>Sheet1!H8</f>
        <v>7479.78</v>
      </c>
      <c r="I49" s="214">
        <f>Sheet1!I8</f>
        <v>879.78</v>
      </c>
      <c r="J49" s="214">
        <f>Sheet1!J8</f>
        <v>6600</v>
      </c>
      <c r="K49" s="214">
        <f>Sheet1!K8</f>
        <v>35191.199999999997</v>
      </c>
      <c r="L49" s="214">
        <f>Sheet1!L8</f>
        <v>9677.58</v>
      </c>
      <c r="M49" s="214">
        <f>Sheet1!M8</f>
        <v>40</v>
      </c>
      <c r="N49" s="214">
        <f>Sheet1!N8</f>
        <v>11</v>
      </c>
      <c r="O49" s="214">
        <f>Sheet1!O8</f>
        <v>291711.4200000001</v>
      </c>
      <c r="P49" s="214">
        <f>Sheet1!P8</f>
        <v>82277.579999999754</v>
      </c>
      <c r="Q49" s="214">
        <f>Sheet1!Q8</f>
        <v>0</v>
      </c>
    </row>
    <row r="50" spans="1:17" s="24" customFormat="1" ht="18" customHeight="1">
      <c r="A50" s="87">
        <f>Sheet1!A50</f>
        <v>48</v>
      </c>
      <c r="B50" s="87">
        <f>Sheet1!B50</f>
        <v>0</v>
      </c>
      <c r="C50" s="214" t="str">
        <f>Sheet1!C13</f>
        <v>MR. J. B. AYANKOSO</v>
      </c>
      <c r="D50" s="214">
        <f>Sheet1!D13</f>
        <v>500000</v>
      </c>
      <c r="E50" s="214">
        <f>Sheet1!E13</f>
        <v>66665</v>
      </c>
      <c r="F50" s="214">
        <f>Sheet1!F13</f>
        <v>566665</v>
      </c>
      <c r="G50" s="214">
        <f>Sheet1!G13</f>
        <v>50</v>
      </c>
      <c r="H50" s="214">
        <f>Sheet1!H13</f>
        <v>11333</v>
      </c>
      <c r="I50" s="214">
        <f>Sheet1!I13</f>
        <v>1333.3</v>
      </c>
      <c r="J50" s="214">
        <f>Sheet1!J13</f>
        <v>10000</v>
      </c>
      <c r="K50" s="214">
        <f>Sheet1!K13</f>
        <v>6666.5</v>
      </c>
      <c r="L50" s="214">
        <f>Sheet1!L13</f>
        <v>59998.5</v>
      </c>
      <c r="M50" s="214">
        <f>Sheet1!M13</f>
        <v>5</v>
      </c>
      <c r="N50" s="214">
        <f>Sheet1!N13</f>
        <v>45</v>
      </c>
      <c r="O50" s="214">
        <f>Sheet1!O13</f>
        <v>56665</v>
      </c>
      <c r="P50" s="214">
        <f>Sheet1!P13</f>
        <v>510000</v>
      </c>
      <c r="Q50" s="214">
        <f>Sheet1!Q13</f>
        <v>0</v>
      </c>
    </row>
    <row r="51" spans="1:17" s="24" customFormat="1" ht="18" customHeight="1">
      <c r="A51" s="87">
        <f>Sheet1!A51</f>
        <v>49</v>
      </c>
      <c r="B51" s="87">
        <f>Sheet1!B51</f>
        <v>0</v>
      </c>
      <c r="C51" s="214" t="str">
        <f>Sheet1!C75</f>
        <v>MR. J. O. ALAO</v>
      </c>
      <c r="D51" s="214">
        <f>Sheet1!D75</f>
        <v>150000</v>
      </c>
      <c r="E51" s="214">
        <f>Sheet1!E75</f>
        <v>19995</v>
      </c>
      <c r="F51" s="214">
        <f>Sheet1!F75</f>
        <v>169995</v>
      </c>
      <c r="G51" s="214">
        <f>Sheet1!G75</f>
        <v>50</v>
      </c>
      <c r="H51" s="214">
        <f>Sheet1!H75</f>
        <v>3399.9</v>
      </c>
      <c r="I51" s="214">
        <f>Sheet1!I75</f>
        <v>399.9</v>
      </c>
      <c r="J51" s="214">
        <f>Sheet1!J75</f>
        <v>3000</v>
      </c>
      <c r="K51" s="214">
        <f>Sheet1!K75</f>
        <v>10797.3</v>
      </c>
      <c r="L51" s="214">
        <f>Sheet1!L75</f>
        <v>9197.6999999999989</v>
      </c>
      <c r="M51" s="214">
        <f>Sheet1!M75</f>
        <v>27</v>
      </c>
      <c r="N51" s="214">
        <f>Sheet1!N75</f>
        <v>23</v>
      </c>
      <c r="O51" s="214">
        <f>Sheet1!O75</f>
        <v>95197.199999999968</v>
      </c>
      <c r="P51" s="214">
        <f>Sheet1!P75</f>
        <v>78197.700000000157</v>
      </c>
      <c r="Q51" s="214">
        <f>Sheet1!Q75</f>
        <v>0</v>
      </c>
    </row>
    <row r="52" spans="1:17" s="24" customFormat="1" ht="18" customHeight="1">
      <c r="A52" s="87">
        <f>Sheet1!A52</f>
        <v>50</v>
      </c>
      <c r="B52" s="87">
        <f>Sheet1!B52</f>
        <v>0</v>
      </c>
      <c r="C52" s="214" t="str">
        <f>Sheet1!C12</f>
        <v>MR. J. O. AWOTUNDE</v>
      </c>
      <c r="D52" s="214">
        <f>Sheet1!D12</f>
        <v>330000</v>
      </c>
      <c r="E52" s="214">
        <f>Sheet1!E12</f>
        <v>43998.9</v>
      </c>
      <c r="F52" s="214">
        <f>Sheet1!F12</f>
        <v>373998.9</v>
      </c>
      <c r="G52" s="214">
        <f>Sheet1!G12</f>
        <v>37</v>
      </c>
      <c r="H52" s="214">
        <f>Sheet1!H12</f>
        <v>10000</v>
      </c>
      <c r="I52" s="214">
        <f>Sheet1!I12</f>
        <v>1189.1594594594594</v>
      </c>
      <c r="J52" s="214">
        <f>Sheet1!J12</f>
        <v>8918.9189189189183</v>
      </c>
      <c r="K52" s="214">
        <f>Sheet1!K12</f>
        <v>8324.1162162162163</v>
      </c>
      <c r="L52" s="214">
        <f>Sheet1!L12</f>
        <v>51133.856756756752</v>
      </c>
      <c r="M52" s="214">
        <f>Sheet1!M12</f>
        <v>7</v>
      </c>
      <c r="N52" s="214">
        <f>Sheet1!N12</f>
        <v>43</v>
      </c>
      <c r="O52" s="214">
        <f>Sheet1!O12</f>
        <v>70000</v>
      </c>
      <c r="P52" s="214">
        <f>Sheet1!P12</f>
        <v>303998.90000000002</v>
      </c>
      <c r="Q52" s="214">
        <f>Sheet1!Q12</f>
        <v>0</v>
      </c>
    </row>
    <row r="53" spans="1:17" s="24" customFormat="1" ht="18" customHeight="1">
      <c r="A53" s="87">
        <f>Sheet1!A53</f>
        <v>51</v>
      </c>
      <c r="B53" s="87">
        <f>Sheet1!B53</f>
        <v>0</v>
      </c>
      <c r="C53" s="214" t="str">
        <f>Sheet1!C125</f>
        <v>MR. KADIRI MOHAMMED</v>
      </c>
      <c r="D53" s="214">
        <f>Sheet1!D125</f>
        <v>150000</v>
      </c>
      <c r="E53" s="214">
        <f>Sheet1!E125</f>
        <v>19995</v>
      </c>
      <c r="F53" s="214">
        <f>Sheet1!F125</f>
        <v>169995</v>
      </c>
      <c r="G53" s="214">
        <f>Sheet1!G125</f>
        <v>50</v>
      </c>
      <c r="H53" s="214">
        <f>Sheet1!H125</f>
        <v>3399.9</v>
      </c>
      <c r="I53" s="214">
        <f>Sheet1!I125</f>
        <v>399.9</v>
      </c>
      <c r="J53" s="214">
        <f>Sheet1!J125</f>
        <v>3000</v>
      </c>
      <c r="K53" s="214">
        <f>Sheet1!K125</f>
        <v>9997.5</v>
      </c>
      <c r="L53" s="214">
        <f>Sheet1!L125</f>
        <v>9997.5</v>
      </c>
      <c r="M53" s="214">
        <f>Sheet1!M125</f>
        <v>25</v>
      </c>
      <c r="N53" s="214">
        <f>Sheet1!N125</f>
        <v>25</v>
      </c>
      <c r="O53" s="214">
        <f>Sheet1!O125</f>
        <v>84997.499999999985</v>
      </c>
      <c r="P53" s="214">
        <f>Sheet1!P125</f>
        <v>84997.500000000146</v>
      </c>
      <c r="Q53" s="214">
        <f>Sheet1!Q125</f>
        <v>0</v>
      </c>
    </row>
    <row r="54" spans="1:17" s="24" customFormat="1" ht="18" customHeight="1">
      <c r="A54" s="87">
        <f>Sheet1!A54</f>
        <v>52</v>
      </c>
      <c r="B54" s="87">
        <f>Sheet1!B54</f>
        <v>0</v>
      </c>
      <c r="C54" s="214" t="str">
        <f>Sheet1!C135</f>
        <v>MR. KAYODE TELLA</v>
      </c>
      <c r="D54" s="214">
        <f>Sheet1!D135</f>
        <v>150000</v>
      </c>
      <c r="E54" s="214">
        <f>Sheet1!E135</f>
        <v>19995</v>
      </c>
      <c r="F54" s="214">
        <f>Sheet1!F135</f>
        <v>339990</v>
      </c>
      <c r="G54" s="214">
        <f>Sheet1!G135</f>
        <v>50</v>
      </c>
      <c r="H54" s="214">
        <f>Sheet1!H135</f>
        <v>6799.8</v>
      </c>
      <c r="I54" s="214">
        <f>Sheet1!I135</f>
        <v>399.9</v>
      </c>
      <c r="J54" s="214">
        <f>Sheet1!J135</f>
        <v>3000</v>
      </c>
      <c r="K54" s="214">
        <f>Sheet1!K135</f>
        <v>1599.6</v>
      </c>
      <c r="L54" s="214">
        <f>Sheet1!L135</f>
        <v>18395.399999999998</v>
      </c>
      <c r="M54" s="214">
        <f>Sheet1!M135</f>
        <v>4</v>
      </c>
      <c r="N54" s="214">
        <f>Sheet1!N135</f>
        <v>46</v>
      </c>
      <c r="O54" s="214">
        <f>Sheet1!O135</f>
        <v>16999.5</v>
      </c>
      <c r="P54" s="214">
        <f>Sheet1!P135</f>
        <v>152995.50000000003</v>
      </c>
      <c r="Q54" s="214">
        <f>Sheet1!Q135</f>
        <v>0</v>
      </c>
    </row>
    <row r="55" spans="1:17" s="24" customFormat="1" ht="18" customHeight="1">
      <c r="A55" s="87">
        <f>Sheet1!A55</f>
        <v>53</v>
      </c>
      <c r="B55" s="87">
        <f>Sheet1!B55</f>
        <v>0</v>
      </c>
      <c r="C55" s="214" t="str">
        <f>Sheet1!C31</f>
        <v>MR. KEHINDE ADEOSUN</v>
      </c>
      <c r="D55" s="214">
        <f>Sheet1!D31</f>
        <v>450000</v>
      </c>
      <c r="E55" s="214">
        <f>Sheet1!E31</f>
        <v>59985</v>
      </c>
      <c r="F55" s="214">
        <f>Sheet1!F31</f>
        <v>509985.00000000006</v>
      </c>
      <c r="G55" s="214">
        <f>Sheet1!G31</f>
        <v>50</v>
      </c>
      <c r="H55" s="214">
        <f>Sheet1!H31</f>
        <v>10199.700000000001</v>
      </c>
      <c r="I55" s="214">
        <f>Sheet1!I31</f>
        <v>1199.7</v>
      </c>
      <c r="J55" s="214">
        <f>Sheet1!J31</f>
        <v>9000</v>
      </c>
      <c r="K55" s="214">
        <f>Sheet1!K31</f>
        <v>20394.900000000001</v>
      </c>
      <c r="L55" s="214">
        <f>Sheet1!L31</f>
        <v>39590.1</v>
      </c>
      <c r="M55" s="214">
        <f>Sheet1!M31</f>
        <v>17</v>
      </c>
      <c r="N55" s="214">
        <f>Sheet1!N31</f>
        <v>33</v>
      </c>
      <c r="O55" s="214">
        <f>Sheet1!O31</f>
        <v>173394.90000000002</v>
      </c>
      <c r="P55" s="214">
        <f>Sheet1!P31</f>
        <v>336590.0999999998</v>
      </c>
      <c r="Q55" s="214">
        <f>Sheet1!Q31</f>
        <v>0</v>
      </c>
    </row>
    <row r="56" spans="1:17" s="24" customFormat="1" ht="18" customHeight="1">
      <c r="A56" s="87">
        <f>Sheet1!A56</f>
        <v>54</v>
      </c>
      <c r="B56" s="87">
        <f>Sheet1!B56</f>
        <v>0</v>
      </c>
      <c r="C56" s="214" t="str">
        <f>Sheet1!C42</f>
        <v>MR. L.K. YUSUFF</v>
      </c>
      <c r="D56" s="214">
        <f>Sheet1!D42</f>
        <v>450000</v>
      </c>
      <c r="E56" s="214">
        <f>Sheet1!E42</f>
        <v>59985</v>
      </c>
      <c r="F56" s="214">
        <f>Sheet1!F42</f>
        <v>509985.00000000006</v>
      </c>
      <c r="G56" s="214">
        <f>Sheet1!G42</f>
        <v>50</v>
      </c>
      <c r="H56" s="214">
        <f>Sheet1!H42</f>
        <v>10199.700000000001</v>
      </c>
      <c r="I56" s="214">
        <f>Sheet1!I42</f>
        <v>1199.7</v>
      </c>
      <c r="J56" s="214">
        <f>Sheet1!J42</f>
        <v>9000</v>
      </c>
      <c r="K56" s="214">
        <f>Sheet1!K42</f>
        <v>2399.4</v>
      </c>
      <c r="L56" s="214">
        <f>Sheet1!L42</f>
        <v>57585.600000000006</v>
      </c>
      <c r="M56" s="214">
        <f>Sheet1!M42</f>
        <v>2</v>
      </c>
      <c r="N56" s="214">
        <f>Sheet1!N42</f>
        <v>48</v>
      </c>
      <c r="O56" s="214">
        <f>Sheet1!O42</f>
        <v>173394.90000000002</v>
      </c>
      <c r="P56" s="214">
        <f>Sheet1!P42</f>
        <v>489585.6</v>
      </c>
      <c r="Q56" s="214">
        <f>Sheet1!Q42</f>
        <v>0</v>
      </c>
    </row>
    <row r="57" spans="1:17" s="24" customFormat="1" ht="18" customHeight="1">
      <c r="A57" s="87">
        <f>Sheet1!A57</f>
        <v>55</v>
      </c>
      <c r="B57" s="87">
        <f>Sheet1!B57</f>
        <v>0</v>
      </c>
      <c r="C57" s="214" t="str">
        <f>Sheet1!C37</f>
        <v xml:space="preserve">MR. MARTINS K. O. </v>
      </c>
      <c r="D57" s="214">
        <f>Sheet1!D37</f>
        <v>450000</v>
      </c>
      <c r="E57" s="214">
        <f>Sheet1!E37</f>
        <v>59985</v>
      </c>
      <c r="F57" s="214">
        <f>Sheet1!F37</f>
        <v>509985.00000000006</v>
      </c>
      <c r="G57" s="214">
        <f>Sheet1!G37</f>
        <v>50</v>
      </c>
      <c r="H57" s="214">
        <f>Sheet1!H37</f>
        <v>10199.700000000001</v>
      </c>
      <c r="I57" s="214">
        <f>Sheet1!I37</f>
        <v>1199.7</v>
      </c>
      <c r="J57" s="214">
        <f>Sheet1!J37</f>
        <v>9000</v>
      </c>
      <c r="K57" s="214">
        <f>Sheet1!K37</f>
        <v>19195.2</v>
      </c>
      <c r="L57" s="214">
        <f>Sheet1!L37</f>
        <v>40789.800000000003</v>
      </c>
      <c r="M57" s="214">
        <f>Sheet1!M37</f>
        <v>16</v>
      </c>
      <c r="N57" s="214">
        <f>Sheet1!N37</f>
        <v>34</v>
      </c>
      <c r="O57" s="214">
        <f>Sheet1!O37</f>
        <v>173394.90000000002</v>
      </c>
      <c r="P57" s="214">
        <f>Sheet1!P37</f>
        <v>346789.79999999981</v>
      </c>
      <c r="Q57" s="214">
        <f>Sheet1!Q37</f>
        <v>0</v>
      </c>
    </row>
    <row r="58" spans="1:17" s="24" customFormat="1" ht="18" customHeight="1">
      <c r="A58" s="87">
        <f>Sheet1!A58</f>
        <v>56</v>
      </c>
      <c r="B58" s="87">
        <f>Sheet1!B58</f>
        <v>0</v>
      </c>
      <c r="C58" s="214" t="str">
        <f>Sheet1!C18</f>
        <v>MR. NASIRU A</v>
      </c>
      <c r="D58" s="214">
        <f>Sheet1!D18</f>
        <v>330000</v>
      </c>
      <c r="E58" s="214">
        <f>Sheet1!E18</f>
        <v>29700</v>
      </c>
      <c r="F58" s="214">
        <f>Sheet1!F18</f>
        <v>373989</v>
      </c>
      <c r="G58" s="214">
        <f>Sheet1!G18</f>
        <v>50</v>
      </c>
      <c r="H58" s="214">
        <f>Sheet1!H18</f>
        <v>7479.78</v>
      </c>
      <c r="I58" s="214">
        <f>Sheet1!I18</f>
        <v>594</v>
      </c>
      <c r="J58" s="214">
        <f>Sheet1!J18</f>
        <v>6600</v>
      </c>
      <c r="K58" s="214">
        <f>Sheet1!K18</f>
        <v>10692</v>
      </c>
      <c r="L58" s="214">
        <f>Sheet1!L18</f>
        <v>19008</v>
      </c>
      <c r="M58" s="214">
        <f>Sheet1!M18</f>
        <v>18</v>
      </c>
      <c r="N58" s="214">
        <f>Sheet1!N18</f>
        <v>32</v>
      </c>
      <c r="O58" s="214">
        <f>Sheet1!O18</f>
        <v>134636.04</v>
      </c>
      <c r="P58" s="214">
        <f>Sheet1!P18</f>
        <v>239352.95999999961</v>
      </c>
      <c r="Q58" s="214">
        <f>Sheet1!Q18</f>
        <v>0</v>
      </c>
    </row>
    <row r="59" spans="1:17" s="24" customFormat="1" ht="18" customHeight="1">
      <c r="A59" s="87">
        <f>Sheet1!A59</f>
        <v>57</v>
      </c>
      <c r="B59" s="87">
        <f>Sheet1!B59</f>
        <v>0</v>
      </c>
      <c r="C59" s="214" t="str">
        <f>Sheet1!C59</f>
        <v>MR. O. O. ALAO</v>
      </c>
      <c r="D59" s="214">
        <f>Sheet1!D59</f>
        <v>330000</v>
      </c>
      <c r="E59" s="214">
        <f>Sheet1!E59</f>
        <v>43989</v>
      </c>
      <c r="F59" s="214">
        <f>Sheet1!F59</f>
        <v>373989</v>
      </c>
      <c r="G59" s="214">
        <f>Sheet1!G59</f>
        <v>50</v>
      </c>
      <c r="H59" s="214">
        <f>Sheet1!H59</f>
        <v>7479.78</v>
      </c>
      <c r="I59" s="214">
        <f>Sheet1!I59</f>
        <v>879.78</v>
      </c>
      <c r="J59" s="214">
        <f>Sheet1!J59</f>
        <v>6600</v>
      </c>
      <c r="K59" s="214">
        <f>Sheet1!K59</f>
        <v>34311.42</v>
      </c>
      <c r="L59" s="214">
        <f>Sheet1!L59</f>
        <v>10557.36</v>
      </c>
      <c r="M59" s="214">
        <f>Sheet1!M59</f>
        <v>39</v>
      </c>
      <c r="N59" s="214">
        <f>Sheet1!N59</f>
        <v>12</v>
      </c>
      <c r="O59" s="214">
        <f>Sheet1!O59</f>
        <v>284231.64000000007</v>
      </c>
      <c r="P59" s="214">
        <f>Sheet1!P59</f>
        <v>89757.359999999695</v>
      </c>
      <c r="Q59" s="214">
        <f>Sheet1!Q59</f>
        <v>0</v>
      </c>
    </row>
    <row r="60" spans="1:17" s="24" customFormat="1" ht="18" customHeight="1">
      <c r="A60" s="87">
        <f>Sheet1!A60</f>
        <v>58</v>
      </c>
      <c r="B60" s="87">
        <f>Sheet1!B60</f>
        <v>0</v>
      </c>
      <c r="C60" s="214" t="str">
        <f>Sheet1!C100</f>
        <v>MR. O. OSUNLANA</v>
      </c>
      <c r="D60" s="214">
        <f>Sheet1!D100</f>
        <v>330000</v>
      </c>
      <c r="E60" s="214">
        <f>Sheet1!E100</f>
        <v>43989</v>
      </c>
      <c r="F60" s="214">
        <f>Sheet1!F100</f>
        <v>373989</v>
      </c>
      <c r="G60" s="214">
        <f>Sheet1!G100</f>
        <v>50</v>
      </c>
      <c r="H60" s="214">
        <f>Sheet1!H100</f>
        <v>7479.78</v>
      </c>
      <c r="I60" s="214">
        <f>Sheet1!I100</f>
        <v>879.78</v>
      </c>
      <c r="J60" s="214">
        <f>Sheet1!J100</f>
        <v>6600</v>
      </c>
      <c r="K60" s="214">
        <f>Sheet1!K100</f>
        <v>26393.399999999998</v>
      </c>
      <c r="L60" s="214">
        <f>Sheet1!L100</f>
        <v>17595.599999999999</v>
      </c>
      <c r="M60" s="214">
        <f>Sheet1!M100</f>
        <v>30</v>
      </c>
      <c r="N60" s="214">
        <f>Sheet1!N100</f>
        <v>20</v>
      </c>
      <c r="O60" s="214">
        <f>Sheet1!O100</f>
        <v>216913.62</v>
      </c>
      <c r="P60" s="214">
        <f>Sheet1!P100</f>
        <v>157075.37999999963</v>
      </c>
      <c r="Q60" s="214">
        <f>Sheet1!Q100</f>
        <v>0</v>
      </c>
    </row>
    <row r="61" spans="1:17" s="24" customFormat="1" ht="18" customHeight="1">
      <c r="A61" s="87">
        <f>Sheet1!A61</f>
        <v>59</v>
      </c>
      <c r="B61" s="87">
        <f>Sheet1!B61</f>
        <v>0</v>
      </c>
      <c r="C61" s="214" t="str">
        <f>Sheet1!C110</f>
        <v>MR. OLADOKUN JIMOH</v>
      </c>
      <c r="D61" s="214">
        <f>Sheet1!D110</f>
        <v>150000</v>
      </c>
      <c r="E61" s="214">
        <f>Sheet1!E110</f>
        <v>19995</v>
      </c>
      <c r="F61" s="214">
        <f>Sheet1!F110</f>
        <v>169995</v>
      </c>
      <c r="G61" s="214">
        <f>Sheet1!G110</f>
        <v>50</v>
      </c>
      <c r="H61" s="214">
        <f>Sheet1!H110</f>
        <v>3399.9</v>
      </c>
      <c r="I61" s="214">
        <f>Sheet1!I110</f>
        <v>399.9</v>
      </c>
      <c r="J61" s="214">
        <f>Sheet1!J110</f>
        <v>3000</v>
      </c>
      <c r="K61" s="214">
        <f>Sheet1!K110</f>
        <v>10797.3</v>
      </c>
      <c r="L61" s="214">
        <f>Sheet1!L110</f>
        <v>9197.6999999999989</v>
      </c>
      <c r="M61" s="214">
        <f>Sheet1!M110</f>
        <v>27</v>
      </c>
      <c r="N61" s="214">
        <f>Sheet1!N110</f>
        <v>23</v>
      </c>
      <c r="O61" s="214">
        <f>Sheet1!O110</f>
        <v>95197.199999999968</v>
      </c>
      <c r="P61" s="214">
        <f>Sheet1!P110</f>
        <v>57118.38</v>
      </c>
      <c r="Q61" s="214">
        <f>Sheet1!Q110</f>
        <v>0</v>
      </c>
    </row>
    <row r="62" spans="1:17" s="24" customFormat="1">
      <c r="A62" s="87">
        <f>Sheet1!A62</f>
        <v>60</v>
      </c>
      <c r="B62" s="87">
        <f>Sheet1!B62</f>
        <v>0</v>
      </c>
      <c r="C62" s="214" t="str">
        <f>Sheet1!C6</f>
        <v>MR. OLUSEYE ABODERIN</v>
      </c>
      <c r="D62" s="214">
        <f>Sheet1!D6</f>
        <v>450000</v>
      </c>
      <c r="E62" s="214">
        <f>Sheet1!E6</f>
        <v>59985</v>
      </c>
      <c r="F62" s="214">
        <f>Sheet1!F6</f>
        <v>509985</v>
      </c>
      <c r="G62" s="214">
        <f>Sheet1!G6</f>
        <v>50</v>
      </c>
      <c r="H62" s="214">
        <f>Sheet1!H6</f>
        <v>10199.700000000001</v>
      </c>
      <c r="I62" s="214">
        <f>Sheet1!I6</f>
        <v>1199.7</v>
      </c>
      <c r="J62" s="214">
        <f>Sheet1!J6</f>
        <v>9000</v>
      </c>
      <c r="K62" s="214">
        <f>Sheet1!K6</f>
        <v>19195.2</v>
      </c>
      <c r="L62" s="214">
        <f>Sheet1!L6</f>
        <v>40789.800000000003</v>
      </c>
      <c r="M62" s="214">
        <f>Sheet1!M6</f>
        <v>16</v>
      </c>
      <c r="N62" s="214">
        <f>Sheet1!N6</f>
        <v>34</v>
      </c>
      <c r="O62" s="214">
        <f>Sheet1!O6</f>
        <v>173394.90000000002</v>
      </c>
      <c r="P62" s="214">
        <f>Sheet1!P6</f>
        <v>346789.79999999981</v>
      </c>
      <c r="Q62" s="214">
        <f>Sheet1!Q6</f>
        <v>0</v>
      </c>
    </row>
    <row r="63" spans="1:17" s="24" customFormat="1" ht="18" customHeight="1">
      <c r="A63" s="87">
        <f>Sheet1!A63</f>
        <v>61</v>
      </c>
      <c r="B63" s="87">
        <f>Sheet1!B63</f>
        <v>0</v>
      </c>
      <c r="C63" s="214" t="str">
        <f>Sheet1!C120</f>
        <v>MR. OLUSOLA O. OMONIYI</v>
      </c>
      <c r="D63" s="214">
        <f>Sheet1!D120</f>
        <v>330000</v>
      </c>
      <c r="E63" s="214">
        <f>Sheet1!E120</f>
        <v>43989</v>
      </c>
      <c r="F63" s="214">
        <f>Sheet1!F120</f>
        <v>373989</v>
      </c>
      <c r="G63" s="214">
        <f>Sheet1!G120</f>
        <v>50</v>
      </c>
      <c r="H63" s="214">
        <f>Sheet1!H120</f>
        <v>7479.78</v>
      </c>
      <c r="I63" s="214">
        <f>Sheet1!I120</f>
        <v>879.78</v>
      </c>
      <c r="J63" s="214">
        <f>Sheet1!J120</f>
        <v>6600</v>
      </c>
      <c r="K63" s="214">
        <f>Sheet1!K120</f>
        <v>4398.8999999999996</v>
      </c>
      <c r="L63" s="214">
        <f>Sheet1!L120</f>
        <v>39590.1</v>
      </c>
      <c r="M63" s="214">
        <f>Sheet1!M120</f>
        <v>5</v>
      </c>
      <c r="N63" s="214">
        <f>Sheet1!N120</f>
        <v>45</v>
      </c>
      <c r="O63" s="214">
        <f>Sheet1!O120</f>
        <v>37398.9</v>
      </c>
      <c r="P63" s="214">
        <f>Sheet1!P120</f>
        <v>336590.09999999986</v>
      </c>
      <c r="Q63" s="214">
        <f>Sheet1!Q120</f>
        <v>0</v>
      </c>
    </row>
    <row r="64" spans="1:17" s="24" customFormat="1" ht="18" customHeight="1">
      <c r="A64" s="87">
        <f>Sheet1!A64</f>
        <v>62</v>
      </c>
      <c r="B64" s="87">
        <f>Sheet1!B64</f>
        <v>0</v>
      </c>
      <c r="C64" s="214" t="str">
        <f>Sheet1!C129</f>
        <v>MR. ONWUCHEKA I</v>
      </c>
      <c r="D64" s="214">
        <f>Sheet1!D129</f>
        <v>150000</v>
      </c>
      <c r="E64" s="214">
        <f>Sheet1!E129</f>
        <v>19995</v>
      </c>
      <c r="F64" s="214">
        <f>Sheet1!F129</f>
        <v>169995</v>
      </c>
      <c r="G64" s="214">
        <f>Sheet1!G129</f>
        <v>50</v>
      </c>
      <c r="H64" s="214">
        <f>Sheet1!H129</f>
        <v>3399.9</v>
      </c>
      <c r="I64" s="214">
        <f>Sheet1!I129</f>
        <v>399.9</v>
      </c>
      <c r="J64" s="214">
        <f>Sheet1!J129</f>
        <v>3000</v>
      </c>
      <c r="K64" s="214">
        <f>Sheet1!K129</f>
        <v>7198.2</v>
      </c>
      <c r="L64" s="214">
        <f>Sheet1!L129</f>
        <v>-7198.2</v>
      </c>
      <c r="M64" s="214">
        <f>Sheet1!M129</f>
        <v>18</v>
      </c>
      <c r="N64" s="214">
        <f>Sheet1!N129</f>
        <v>-18</v>
      </c>
      <c r="O64" s="214">
        <f>Sheet1!O129</f>
        <v>92197.199999999953</v>
      </c>
      <c r="P64" s="214">
        <f>Sheet1!P129</f>
        <v>77797.800000000047</v>
      </c>
      <c r="Q64" s="214">
        <f>Sheet1!Q129</f>
        <v>0</v>
      </c>
    </row>
    <row r="65" spans="1:17" s="24" customFormat="1" ht="18" customHeight="1">
      <c r="A65" s="87">
        <f>Sheet1!A65</f>
        <v>63</v>
      </c>
      <c r="B65" s="87">
        <f>Sheet1!B65</f>
        <v>0</v>
      </c>
      <c r="C65" s="214" t="str">
        <f>Sheet1!C127</f>
        <v>MR. OPASINA KOLAWOLE</v>
      </c>
      <c r="D65" s="214">
        <f>Sheet1!D127</f>
        <v>250000</v>
      </c>
      <c r="E65" s="214">
        <f>Sheet1!E127</f>
        <v>33325</v>
      </c>
      <c r="F65" s="214">
        <f>Sheet1!F127</f>
        <v>258331.2</v>
      </c>
      <c r="G65" s="214">
        <f>Sheet1!G127</f>
        <v>15</v>
      </c>
      <c r="H65" s="214">
        <f>Sheet1!H127</f>
        <v>17222.080000000002</v>
      </c>
      <c r="I65" s="214">
        <f>Sheet1!I127</f>
        <v>2221.6666666666665</v>
      </c>
      <c r="J65" s="214">
        <f>Sheet1!J127</f>
        <v>16666.666666666668</v>
      </c>
      <c r="K65" s="214">
        <f>Sheet1!K127</f>
        <v>11108.333333333332</v>
      </c>
      <c r="L65" s="214">
        <f>Sheet1!L127</f>
        <v>22216.666666666664</v>
      </c>
      <c r="M65" s="214">
        <f>Sheet1!M127</f>
        <v>5</v>
      </c>
      <c r="N65" s="214">
        <f>Sheet1!N127</f>
        <v>10</v>
      </c>
      <c r="O65" s="214">
        <f>Sheet1!O127</f>
        <v>17222.080000000002</v>
      </c>
      <c r="P65" s="214">
        <f>Sheet1!P127</f>
        <v>223887.03999999998</v>
      </c>
      <c r="Q65" s="214">
        <f>Sheet1!Q127</f>
        <v>0</v>
      </c>
    </row>
    <row r="66" spans="1:17" s="24" customFormat="1" ht="18" customHeight="1">
      <c r="A66" s="87">
        <f>Sheet1!A66</f>
        <v>64</v>
      </c>
      <c r="B66" s="87">
        <f>Sheet1!B66</f>
        <v>0</v>
      </c>
      <c r="C66" s="214" t="str">
        <f>Sheet1!C16</f>
        <v>MR. OTITOLOJU O. ADISA</v>
      </c>
      <c r="D66" s="214">
        <f>Sheet1!D16</f>
        <v>500000</v>
      </c>
      <c r="E66" s="214">
        <f>Sheet1!E16</f>
        <v>66650</v>
      </c>
      <c r="F66" s="214">
        <f>Sheet1!F16</f>
        <v>566650</v>
      </c>
      <c r="G66" s="214">
        <f>Sheet1!G16</f>
        <v>50</v>
      </c>
      <c r="H66" s="214">
        <f>Sheet1!H16</f>
        <v>11333</v>
      </c>
      <c r="I66" s="214">
        <f>Sheet1!I16</f>
        <v>1333</v>
      </c>
      <c r="J66" s="214">
        <f>Sheet1!J16</f>
        <v>10000</v>
      </c>
      <c r="K66" s="214">
        <f>Sheet1!K16</f>
        <v>23994</v>
      </c>
      <c r="L66" s="214">
        <f>Sheet1!L16</f>
        <v>42656</v>
      </c>
      <c r="M66" s="214">
        <f>Sheet1!M16</f>
        <v>18</v>
      </c>
      <c r="N66" s="214">
        <f>Sheet1!N16</f>
        <v>32</v>
      </c>
      <c r="O66" s="214">
        <f>Sheet1!O16</f>
        <v>203994</v>
      </c>
      <c r="P66" s="214">
        <f>Sheet1!P16</f>
        <v>362656</v>
      </c>
      <c r="Q66" s="214">
        <f>Sheet1!Q16</f>
        <v>0</v>
      </c>
    </row>
    <row r="67" spans="1:17" s="24" customFormat="1" ht="18" customHeight="1">
      <c r="A67" s="87">
        <f>Sheet1!A67</f>
        <v>65</v>
      </c>
      <c r="B67" s="87">
        <f>Sheet1!B67</f>
        <v>0</v>
      </c>
      <c r="C67" s="214" t="str">
        <f>Sheet1!C116</f>
        <v>MR. OYEDOTUN ISIAKA</v>
      </c>
      <c r="D67" s="214">
        <f>Sheet1!D116</f>
        <v>150000</v>
      </c>
      <c r="E67" s="214">
        <f>Sheet1!E116</f>
        <v>19995</v>
      </c>
      <c r="F67" s="214">
        <f>Sheet1!F116</f>
        <v>169995</v>
      </c>
      <c r="G67" s="214">
        <f>Sheet1!G116</f>
        <v>50</v>
      </c>
      <c r="H67" s="214">
        <f>Sheet1!H116</f>
        <v>3399.9</v>
      </c>
      <c r="I67" s="214">
        <f>Sheet1!I116</f>
        <v>399.9</v>
      </c>
      <c r="J67" s="214">
        <f>Sheet1!J116</f>
        <v>3000</v>
      </c>
      <c r="K67" s="214">
        <f>Sheet1!K116</f>
        <v>4798.7999999999993</v>
      </c>
      <c r="L67" s="214">
        <f>Sheet1!L116</f>
        <v>15196.199999999999</v>
      </c>
      <c r="M67" s="214">
        <f>Sheet1!M116</f>
        <v>12</v>
      </c>
      <c r="N67" s="214">
        <f>Sheet1!N116</f>
        <v>38</v>
      </c>
      <c r="O67" s="214">
        <f>Sheet1!O116</f>
        <v>40798.80000000001</v>
      </c>
      <c r="P67" s="214">
        <f>Sheet1!P116</f>
        <v>129196.20000000007</v>
      </c>
      <c r="Q67" s="214">
        <f>Sheet1!Q116</f>
        <v>0</v>
      </c>
    </row>
    <row r="68" spans="1:17" s="24" customFormat="1" ht="18" customHeight="1">
      <c r="A68" s="87">
        <f>Sheet1!A68</f>
        <v>66</v>
      </c>
      <c r="B68" s="87">
        <f>Sheet1!B68</f>
        <v>0</v>
      </c>
      <c r="C68" s="214" t="str">
        <f>Sheet1!C139</f>
        <v>MR. S. A. ADEJINMI</v>
      </c>
      <c r="D68" s="214">
        <f>Sheet1!D139</f>
        <v>330000</v>
      </c>
      <c r="E68" s="214">
        <f>Sheet1!E139</f>
        <v>43989</v>
      </c>
      <c r="F68" s="214">
        <f>Sheet1!F139</f>
        <v>373989</v>
      </c>
      <c r="G68" s="214">
        <f>Sheet1!G139</f>
        <v>50</v>
      </c>
      <c r="H68" s="214">
        <f>Sheet1!H139</f>
        <v>7479.78</v>
      </c>
      <c r="I68" s="214">
        <f>Sheet1!I139</f>
        <v>879.78</v>
      </c>
      <c r="J68" s="214">
        <f>Sheet1!J139</f>
        <v>6600</v>
      </c>
      <c r="K68" s="214">
        <f>Sheet1!K139</f>
        <v>23754.059999999998</v>
      </c>
      <c r="L68" s="214">
        <f>Sheet1!L139</f>
        <v>20234.939999999999</v>
      </c>
      <c r="M68" s="214">
        <f>Sheet1!M139</f>
        <v>27</v>
      </c>
      <c r="N68" s="214">
        <f>Sheet1!N139</f>
        <v>23</v>
      </c>
      <c r="O68" s="214">
        <f>Sheet1!O139</f>
        <v>209433.84</v>
      </c>
      <c r="P68" s="214">
        <f>Sheet1!P139</f>
        <v>172034.93999999962</v>
      </c>
      <c r="Q68" s="214">
        <f>Sheet1!Q139</f>
        <v>0</v>
      </c>
    </row>
    <row r="69" spans="1:17" s="24" customFormat="1" ht="18" customHeight="1">
      <c r="A69" s="87">
        <f>Sheet1!A69</f>
        <v>67</v>
      </c>
      <c r="B69" s="87">
        <f>Sheet1!B69</f>
        <v>0</v>
      </c>
      <c r="C69" s="214" t="str">
        <f>Sheet1!C86</f>
        <v>MR. S. AWE</v>
      </c>
      <c r="D69" s="214">
        <f>Sheet1!D86</f>
        <v>150000</v>
      </c>
      <c r="E69" s="214">
        <f>Sheet1!E86</f>
        <v>19995</v>
      </c>
      <c r="F69" s="214">
        <f>Sheet1!F86</f>
        <v>169995</v>
      </c>
      <c r="G69" s="214">
        <f>Sheet1!G86</f>
        <v>50</v>
      </c>
      <c r="H69" s="214">
        <f>Sheet1!H86</f>
        <v>3399.9</v>
      </c>
      <c r="I69" s="214">
        <f>Sheet1!I86</f>
        <v>399.9</v>
      </c>
      <c r="J69" s="214">
        <f>Sheet1!J86</f>
        <v>3000</v>
      </c>
      <c r="K69" s="214">
        <f>Sheet1!K86</f>
        <v>2799.2999999999997</v>
      </c>
      <c r="L69" s="214">
        <f>Sheet1!L86</f>
        <v>17195.7</v>
      </c>
      <c r="M69" s="214">
        <f>Sheet1!M86</f>
        <v>7</v>
      </c>
      <c r="N69" s="214">
        <f>Sheet1!N86</f>
        <v>43</v>
      </c>
      <c r="O69" s="214">
        <f>Sheet1!O86</f>
        <v>23799.300000000003</v>
      </c>
      <c r="P69" s="214">
        <f>Sheet1!P86</f>
        <v>146195.70000000004</v>
      </c>
      <c r="Q69" s="214">
        <f>Sheet1!Q86</f>
        <v>0</v>
      </c>
    </row>
    <row r="70" spans="1:17" s="24" customFormat="1" ht="18" customHeight="1">
      <c r="A70" s="87">
        <f>Sheet1!A70</f>
        <v>68</v>
      </c>
      <c r="B70" s="87">
        <f>Sheet1!B70</f>
        <v>0</v>
      </c>
      <c r="C70" s="214" t="str">
        <f>Sheet1!C56</f>
        <v>MR. S. G. OSINEYE</v>
      </c>
      <c r="D70" s="214">
        <f>Sheet1!D56</f>
        <v>330000</v>
      </c>
      <c r="E70" s="214">
        <f>Sheet1!E56</f>
        <v>43989</v>
      </c>
      <c r="F70" s="214">
        <f>Sheet1!F56</f>
        <v>373989</v>
      </c>
      <c r="G70" s="214">
        <f>Sheet1!G56</f>
        <v>50</v>
      </c>
      <c r="H70" s="214">
        <f>Sheet1!H56</f>
        <v>7479.78</v>
      </c>
      <c r="I70" s="214">
        <f>Sheet1!I56</f>
        <v>879.78</v>
      </c>
      <c r="J70" s="214">
        <f>Sheet1!J56</f>
        <v>6600</v>
      </c>
      <c r="K70" s="214">
        <f>Sheet1!K56</f>
        <v>23754.059999999998</v>
      </c>
      <c r="L70" s="214">
        <f>Sheet1!L56</f>
        <v>20234.939999999999</v>
      </c>
      <c r="M70" s="214">
        <f>Sheet1!M56</f>
        <v>27</v>
      </c>
      <c r="N70" s="214">
        <f>Sheet1!N56</f>
        <v>23</v>
      </c>
      <c r="O70" s="214">
        <f>Sheet1!O56</f>
        <v>201954.06</v>
      </c>
      <c r="P70" s="214">
        <f>Sheet1!P56</f>
        <v>172034.93999999962</v>
      </c>
      <c r="Q70" s="214">
        <f>Sheet1!Q56</f>
        <v>0</v>
      </c>
    </row>
    <row r="71" spans="1:17" s="24" customFormat="1" ht="18" customHeight="1">
      <c r="A71" s="87">
        <f>Sheet1!A71</f>
        <v>69</v>
      </c>
      <c r="B71" s="87">
        <f>Sheet1!B71</f>
        <v>0</v>
      </c>
      <c r="C71" s="214" t="str">
        <f>Sheet1!C50</f>
        <v>MR. S. T. AMOO</v>
      </c>
      <c r="D71" s="214">
        <f>Sheet1!D50</f>
        <v>450000</v>
      </c>
      <c r="E71" s="214">
        <f>Sheet1!E50</f>
        <v>59985</v>
      </c>
      <c r="F71" s="214">
        <f>Sheet1!F50</f>
        <v>509985.00000000006</v>
      </c>
      <c r="G71" s="214">
        <f>Sheet1!G50</f>
        <v>50</v>
      </c>
      <c r="H71" s="214">
        <f>Sheet1!H50</f>
        <v>10199.700000000001</v>
      </c>
      <c r="I71" s="214">
        <f>Sheet1!I50</f>
        <v>1199.7</v>
      </c>
      <c r="J71" s="214">
        <f>Sheet1!J50</f>
        <v>9000</v>
      </c>
      <c r="K71" s="214">
        <f>Sheet1!K50</f>
        <v>19195.2</v>
      </c>
      <c r="L71" s="214">
        <f>Sheet1!L50</f>
        <v>40789.800000000003</v>
      </c>
      <c r="M71" s="214">
        <f>Sheet1!M50</f>
        <v>16</v>
      </c>
      <c r="N71" s="214">
        <f>Sheet1!N50</f>
        <v>34</v>
      </c>
      <c r="O71" s="214">
        <f>Sheet1!O50</f>
        <v>173394.90000000002</v>
      </c>
      <c r="P71" s="214">
        <f>Sheet1!P50</f>
        <v>346789.79999999981</v>
      </c>
      <c r="Q71" s="214">
        <f>Sheet1!Q50</f>
        <v>0</v>
      </c>
    </row>
    <row r="72" spans="1:17" s="24" customFormat="1" ht="18" customHeight="1">
      <c r="A72" s="87">
        <f>Sheet1!A72</f>
        <v>70</v>
      </c>
      <c r="B72" s="87">
        <f>Sheet1!B72</f>
        <v>0</v>
      </c>
      <c r="C72" s="214" t="str">
        <f>Sheet1!C102</f>
        <v>MR. SAHEED G. ABIOYE</v>
      </c>
      <c r="D72" s="214">
        <f>Sheet1!D102</f>
        <v>330000</v>
      </c>
      <c r="E72" s="214">
        <f>Sheet1!E102</f>
        <v>43989</v>
      </c>
      <c r="F72" s="214">
        <f>Sheet1!F102</f>
        <v>373989</v>
      </c>
      <c r="G72" s="214">
        <f>Sheet1!G102</f>
        <v>50</v>
      </c>
      <c r="H72" s="214">
        <f>Sheet1!H102</f>
        <v>7479.78</v>
      </c>
      <c r="I72" s="214">
        <f>Sheet1!I102</f>
        <v>879.78</v>
      </c>
      <c r="J72" s="214">
        <f>Sheet1!J102</f>
        <v>6600</v>
      </c>
      <c r="K72" s="214">
        <f>Sheet1!K102</f>
        <v>26393.399999999998</v>
      </c>
      <c r="L72" s="214">
        <f>Sheet1!L102</f>
        <v>17595.599999999999</v>
      </c>
      <c r="M72" s="214">
        <f>Sheet1!M102</f>
        <v>30</v>
      </c>
      <c r="N72" s="214">
        <f>Sheet1!N102</f>
        <v>20</v>
      </c>
      <c r="O72" s="214">
        <f>Sheet1!O102</f>
        <v>224393.4</v>
      </c>
      <c r="P72" s="214">
        <f>Sheet1!P102</f>
        <v>149595.59999999963</v>
      </c>
      <c r="Q72" s="214">
        <f>Sheet1!Q102</f>
        <v>0</v>
      </c>
    </row>
    <row r="73" spans="1:17" s="24" customFormat="1" ht="18" customHeight="1">
      <c r="A73" s="87">
        <f>Sheet1!A73</f>
        <v>71</v>
      </c>
      <c r="B73" s="87">
        <f>Sheet1!B73</f>
        <v>0</v>
      </c>
      <c r="C73" s="214" t="str">
        <f>Sheet1!C134</f>
        <v>MR. SHAMSUDEEN N. B.</v>
      </c>
      <c r="D73" s="214">
        <f>Sheet1!D134</f>
        <v>150000</v>
      </c>
      <c r="E73" s="214">
        <f>Sheet1!E134</f>
        <v>19995</v>
      </c>
      <c r="F73" s="214">
        <f>Sheet1!F134</f>
        <v>169995</v>
      </c>
      <c r="G73" s="214">
        <f>Sheet1!G134</f>
        <v>50</v>
      </c>
      <c r="H73" s="214">
        <f>Sheet1!H134</f>
        <v>3399.9</v>
      </c>
      <c r="I73" s="214">
        <f>Sheet1!I134</f>
        <v>399.9</v>
      </c>
      <c r="J73" s="214">
        <f>Sheet1!J134</f>
        <v>3000</v>
      </c>
      <c r="K73" s="214">
        <f>Sheet1!K134</f>
        <v>4398.8999999999996</v>
      </c>
      <c r="L73" s="214">
        <f>Sheet1!L134</f>
        <v>15596.099999999999</v>
      </c>
      <c r="M73" s="214">
        <f>Sheet1!M134</f>
        <v>11</v>
      </c>
      <c r="N73" s="214">
        <f>Sheet1!N134</f>
        <v>39</v>
      </c>
      <c r="O73" s="214">
        <f>Sheet1!O134</f>
        <v>37398.900000000009</v>
      </c>
      <c r="P73" s="214">
        <f>Sheet1!P134</f>
        <v>132596.10000000006</v>
      </c>
      <c r="Q73" s="214">
        <f>Sheet1!Q134</f>
        <v>0</v>
      </c>
    </row>
    <row r="74" spans="1:17" s="24" customFormat="1" ht="18" customHeight="1">
      <c r="A74" s="87">
        <f>Sheet1!A74</f>
        <v>72</v>
      </c>
      <c r="B74" s="87">
        <f>Sheet1!B74</f>
        <v>0</v>
      </c>
      <c r="C74" s="214" t="str">
        <f>Sheet1!C119</f>
        <v>MRS A. OBASOOTO</v>
      </c>
      <c r="D74" s="214">
        <f>Sheet1!D119</f>
        <v>450000</v>
      </c>
      <c r="E74" s="214">
        <f>Sheet1!E119</f>
        <v>59985</v>
      </c>
      <c r="F74" s="214">
        <f>Sheet1!F119</f>
        <v>424987.5</v>
      </c>
      <c r="G74" s="214">
        <f>Sheet1!G119</f>
        <v>50</v>
      </c>
      <c r="H74" s="214">
        <f>Sheet1!H119</f>
        <v>8499.75</v>
      </c>
      <c r="I74" s="214">
        <f>Sheet1!I119</f>
        <v>1199.7</v>
      </c>
      <c r="J74" s="214">
        <f>Sheet1!J119</f>
        <v>9000</v>
      </c>
      <c r="K74" s="214">
        <f>Sheet1!K119</f>
        <v>2399.4</v>
      </c>
      <c r="L74" s="214">
        <f>Sheet1!L119</f>
        <v>57585.600000000006</v>
      </c>
      <c r="M74" s="214">
        <f>Sheet1!M119</f>
        <v>2</v>
      </c>
      <c r="N74" s="214">
        <f>Sheet1!N119</f>
        <v>48</v>
      </c>
      <c r="O74" s="214">
        <f>Sheet1!O119</f>
        <v>16999.5</v>
      </c>
      <c r="P74" s="214">
        <f>Sheet1!P119</f>
        <v>492985.5</v>
      </c>
      <c r="Q74" s="214">
        <f>Sheet1!Q119</f>
        <v>0</v>
      </c>
    </row>
    <row r="75" spans="1:17" s="24" customFormat="1" ht="18" customHeight="1">
      <c r="A75" s="87">
        <f>Sheet1!A75</f>
        <v>73</v>
      </c>
      <c r="B75" s="87">
        <f>Sheet1!B75</f>
        <v>0</v>
      </c>
      <c r="C75" s="214" t="str">
        <f>Sheet1!C22</f>
        <v>MRS ADEROUNMU</v>
      </c>
      <c r="D75" s="214">
        <f>Sheet1!D22</f>
        <v>500000</v>
      </c>
      <c r="E75" s="214">
        <f>Sheet1!E22</f>
        <v>66650</v>
      </c>
      <c r="F75" s="214">
        <f>Sheet1!F22</f>
        <v>527191.92000000004</v>
      </c>
      <c r="G75" s="214">
        <f>Sheet1!G22</f>
        <v>24</v>
      </c>
      <c r="H75" s="214">
        <f>Sheet1!H22</f>
        <v>21966.33</v>
      </c>
      <c r="I75" s="214">
        <f>Sheet1!I22</f>
        <v>2777.0833333333335</v>
      </c>
      <c r="J75" s="214">
        <f>Sheet1!J22</f>
        <v>20833.333333333332</v>
      </c>
      <c r="K75" s="214">
        <f>Sheet1!K22</f>
        <v>5554.166666666667</v>
      </c>
      <c r="L75" s="214">
        <f>Sheet1!L22</f>
        <v>61095.833333333336</v>
      </c>
      <c r="M75" s="214">
        <f>Sheet1!M22</f>
        <v>2</v>
      </c>
      <c r="N75" s="214">
        <f>Sheet1!N22</f>
        <v>22</v>
      </c>
      <c r="O75" s="214">
        <f>Sheet1!O22</f>
        <v>43932.66</v>
      </c>
      <c r="P75" s="214">
        <f>Sheet1!P22</f>
        <v>483259.33999999997</v>
      </c>
      <c r="Q75" s="214">
        <f>Sheet1!Q22</f>
        <v>0</v>
      </c>
    </row>
    <row r="76" spans="1:17" s="24" customFormat="1" ht="18" customHeight="1">
      <c r="A76" s="87">
        <f>Sheet1!A76</f>
        <v>74</v>
      </c>
      <c r="B76" s="87">
        <f>Sheet1!B76</f>
        <v>0</v>
      </c>
      <c r="C76" s="214" t="str">
        <f>Sheet1!C11</f>
        <v>MRS ADEYEYE-KUKU O.O</v>
      </c>
      <c r="D76" s="214">
        <f>Sheet1!D11</f>
        <v>450000</v>
      </c>
      <c r="E76" s="214">
        <f>Sheet1!E11</f>
        <v>59985</v>
      </c>
      <c r="F76" s="214">
        <f>Sheet1!F11</f>
        <v>509985</v>
      </c>
      <c r="G76" s="214">
        <f>Sheet1!G11</f>
        <v>50</v>
      </c>
      <c r="H76" s="214">
        <f>Sheet1!H11</f>
        <v>9999.75</v>
      </c>
      <c r="I76" s="214">
        <f>Sheet1!I11</f>
        <v>1199.7</v>
      </c>
      <c r="J76" s="214">
        <f>Sheet1!J11</f>
        <v>9000</v>
      </c>
      <c r="K76" s="214">
        <f>Sheet1!K11</f>
        <v>3599.1000000000004</v>
      </c>
      <c r="L76" s="214">
        <f>Sheet1!L11</f>
        <v>56385.9</v>
      </c>
      <c r="M76" s="214">
        <f>Sheet1!M11</f>
        <v>3</v>
      </c>
      <c r="N76" s="214">
        <f>Sheet1!N11</f>
        <v>47</v>
      </c>
      <c r="O76" s="214">
        <f>Sheet1!O11</f>
        <v>19999.5</v>
      </c>
      <c r="P76" s="214">
        <f>Sheet1!P11</f>
        <v>489987.75</v>
      </c>
      <c r="Q76" s="214">
        <f>Sheet1!Q11</f>
        <v>0</v>
      </c>
    </row>
    <row r="77" spans="1:17" s="24" customFormat="1" ht="18" customHeight="1">
      <c r="A77" s="87">
        <f>Sheet1!A77</f>
        <v>75</v>
      </c>
      <c r="B77" s="87">
        <f>Sheet1!B77</f>
        <v>0</v>
      </c>
      <c r="C77" s="214" t="str">
        <f>Sheet1!C96</f>
        <v>MRS B.O. ADESIDA</v>
      </c>
      <c r="D77" s="214">
        <f>Sheet1!D96</f>
        <v>150001</v>
      </c>
      <c r="E77" s="214">
        <f>Sheet1!E96</f>
        <v>19995.133300000001</v>
      </c>
      <c r="F77" s="214">
        <f>Sheet1!F96</f>
        <v>169995</v>
      </c>
      <c r="G77" s="214">
        <f>Sheet1!G96</f>
        <v>50</v>
      </c>
      <c r="H77" s="214">
        <f>Sheet1!H96</f>
        <v>3399.9</v>
      </c>
      <c r="I77" s="214">
        <f>Sheet1!I96</f>
        <v>399.90266600000001</v>
      </c>
      <c r="J77" s="214">
        <f>Sheet1!J96</f>
        <v>3000.02</v>
      </c>
      <c r="K77" s="214">
        <f>Sheet1!K96</f>
        <v>4398.9293260000004</v>
      </c>
      <c r="L77" s="214">
        <f>Sheet1!L96</f>
        <v>15596.203974</v>
      </c>
      <c r="M77" s="214">
        <f>Sheet1!M96</f>
        <v>11</v>
      </c>
      <c r="N77" s="214">
        <f>Sheet1!N96</f>
        <v>39</v>
      </c>
      <c r="O77" s="214">
        <f>Sheet1!O96</f>
        <v>37398.900000000009</v>
      </c>
      <c r="P77" s="214">
        <f>Sheet1!P96</f>
        <v>132596.10000000006</v>
      </c>
      <c r="Q77" s="214">
        <f>Sheet1!Q96</f>
        <v>0</v>
      </c>
    </row>
    <row r="78" spans="1:17" s="24" customFormat="1" ht="18" customHeight="1">
      <c r="A78" s="87">
        <f>Sheet1!A78</f>
        <v>76</v>
      </c>
      <c r="B78" s="87">
        <f>Sheet1!B78</f>
        <v>0</v>
      </c>
      <c r="C78" s="214" t="str">
        <f>Sheet1!C39</f>
        <v>MRS D.I KOMOLAFE</v>
      </c>
      <c r="D78" s="214">
        <f>Sheet1!D39</f>
        <v>450000</v>
      </c>
      <c r="E78" s="214">
        <f>Sheet1!E39</f>
        <v>59985</v>
      </c>
      <c r="F78" s="214">
        <f>Sheet1!F39</f>
        <v>566650</v>
      </c>
      <c r="G78" s="214">
        <f>Sheet1!G39</f>
        <v>50</v>
      </c>
      <c r="H78" s="214">
        <f>Sheet1!H39</f>
        <v>11333</v>
      </c>
      <c r="I78" s="214">
        <f>Sheet1!I39</f>
        <v>1199.7</v>
      </c>
      <c r="J78" s="214">
        <f>Sheet1!J39</f>
        <v>9000</v>
      </c>
      <c r="K78" s="214">
        <f>Sheet1!K39</f>
        <v>2399.4</v>
      </c>
      <c r="L78" s="214">
        <f>Sheet1!L39</f>
        <v>58785.3</v>
      </c>
      <c r="M78" s="214">
        <f>Sheet1!M39</f>
        <v>2</v>
      </c>
      <c r="N78" s="214">
        <f>Sheet1!N39</f>
        <v>49</v>
      </c>
      <c r="O78" s="214">
        <f>Sheet1!O39</f>
        <v>22666</v>
      </c>
      <c r="P78" s="214">
        <f>Sheet1!P39</f>
        <v>657314</v>
      </c>
      <c r="Q78" s="214">
        <f>Sheet1!Q39</f>
        <v>0</v>
      </c>
    </row>
    <row r="79" spans="1:17" s="24" customFormat="1" ht="18" customHeight="1">
      <c r="A79" s="87">
        <f>Sheet1!A79</f>
        <v>77</v>
      </c>
      <c r="B79" s="87">
        <f>Sheet1!B79</f>
        <v>0</v>
      </c>
      <c r="C79" s="214" t="str">
        <f>Sheet1!C70</f>
        <v>MRS K.O OKIN</v>
      </c>
      <c r="D79" s="214">
        <f>Sheet1!D70</f>
        <v>500000</v>
      </c>
      <c r="E79" s="214">
        <f>Sheet1!E70</f>
        <v>66650</v>
      </c>
      <c r="F79" s="214">
        <f>Sheet1!F70</f>
        <v>424987.5</v>
      </c>
      <c r="G79" s="214">
        <f>Sheet1!G70</f>
        <v>50</v>
      </c>
      <c r="H79" s="214">
        <f>Sheet1!H70</f>
        <v>8499.75</v>
      </c>
      <c r="I79" s="214">
        <f>Sheet1!I70</f>
        <v>1333</v>
      </c>
      <c r="J79" s="214">
        <f>Sheet1!J70</f>
        <v>10000</v>
      </c>
      <c r="K79" s="214">
        <f>Sheet1!K70</f>
        <v>2666</v>
      </c>
      <c r="L79" s="214">
        <f>Sheet1!L70</f>
        <v>65317</v>
      </c>
      <c r="M79" s="214">
        <f>Sheet1!M70</f>
        <v>2</v>
      </c>
      <c r="N79" s="214">
        <f>Sheet1!N70</f>
        <v>49</v>
      </c>
      <c r="O79" s="214">
        <f>Sheet1!O70</f>
        <v>16999.5</v>
      </c>
      <c r="P79" s="214">
        <f>Sheet1!P70</f>
        <v>492985.5</v>
      </c>
      <c r="Q79" s="214">
        <f>Sheet1!Q70</f>
        <v>0</v>
      </c>
    </row>
    <row r="80" spans="1:17" s="24" customFormat="1" ht="18" customHeight="1">
      <c r="A80" s="87">
        <f>Sheet1!A80</f>
        <v>78</v>
      </c>
      <c r="B80" s="87">
        <f>Sheet1!B80</f>
        <v>0</v>
      </c>
      <c r="C80" s="214" t="str">
        <f>Sheet1!C10</f>
        <v>MRS O.F. STANLEY JOHN</v>
      </c>
      <c r="D80" s="214">
        <f>Sheet1!D10</f>
        <v>450000</v>
      </c>
      <c r="E80" s="214">
        <f>Sheet1!E10</f>
        <v>59985</v>
      </c>
      <c r="F80" s="214">
        <f>Sheet1!F10</f>
        <v>509985</v>
      </c>
      <c r="G80" s="214">
        <f>Sheet1!G10</f>
        <v>50</v>
      </c>
      <c r="H80" s="214">
        <f>Sheet1!H10</f>
        <v>13699.7</v>
      </c>
      <c r="I80" s="214">
        <f>Sheet1!I10</f>
        <v>1199.7</v>
      </c>
      <c r="J80" s="214">
        <f>Sheet1!J10</f>
        <v>9000</v>
      </c>
      <c r="K80" s="214">
        <f>Sheet1!K10</f>
        <v>2399.4</v>
      </c>
      <c r="L80" s="214">
        <f>Sheet1!L10</f>
        <v>57585.600000000006</v>
      </c>
      <c r="M80" s="214">
        <f>Sheet1!M10</f>
        <v>2</v>
      </c>
      <c r="N80" s="214">
        <f>Sheet1!N10</f>
        <v>48</v>
      </c>
      <c r="O80" s="214">
        <f>Sheet1!O10</f>
        <v>27399.4</v>
      </c>
      <c r="P80" s="214">
        <f>Sheet1!P10</f>
        <v>482585.59999999998</v>
      </c>
      <c r="Q80" s="214">
        <f>Sheet1!Q10</f>
        <v>0</v>
      </c>
    </row>
    <row r="81" spans="1:17" s="24" customFormat="1" ht="18" customHeight="1">
      <c r="A81" s="87">
        <f>Sheet1!A81</f>
        <v>79</v>
      </c>
      <c r="B81" s="87">
        <f>Sheet1!B81</f>
        <v>0</v>
      </c>
      <c r="C81" s="214" t="str">
        <f>Sheet1!C24</f>
        <v>MRS O.O ADENUGA</v>
      </c>
      <c r="D81" s="214">
        <f>Sheet1!D24</f>
        <v>500000</v>
      </c>
      <c r="E81" s="214">
        <f>Sheet1!E24</f>
        <v>66650</v>
      </c>
      <c r="F81" s="214">
        <f>Sheet1!F24</f>
        <v>509985.00000000006</v>
      </c>
      <c r="G81" s="214">
        <f>Sheet1!G24</f>
        <v>50</v>
      </c>
      <c r="H81" s="214">
        <f>Sheet1!H24</f>
        <v>10199.700000000001</v>
      </c>
      <c r="I81" s="214">
        <f>Sheet1!I24</f>
        <v>1333</v>
      </c>
      <c r="J81" s="214">
        <f>Sheet1!J24</f>
        <v>10000</v>
      </c>
      <c r="K81" s="214">
        <f>Sheet1!K24</f>
        <v>3999</v>
      </c>
      <c r="L81" s="214">
        <f>Sheet1!L24</f>
        <v>63984</v>
      </c>
      <c r="M81" s="214">
        <f>Sheet1!M24</f>
        <v>3</v>
      </c>
      <c r="N81" s="214">
        <f>Sheet1!N24</f>
        <v>48</v>
      </c>
      <c r="O81" s="214">
        <f>Sheet1!O24</f>
        <v>20399.400000000001</v>
      </c>
      <c r="P81" s="214">
        <f>Sheet1!P24</f>
        <v>499785.3</v>
      </c>
      <c r="Q81" s="214">
        <f>Sheet1!Q24</f>
        <v>0</v>
      </c>
    </row>
    <row r="82" spans="1:17" s="24" customFormat="1" ht="18" customHeight="1">
      <c r="A82" s="87">
        <f>Sheet1!A82</f>
        <v>80</v>
      </c>
      <c r="B82" s="87">
        <f>Sheet1!B82</f>
        <v>0</v>
      </c>
      <c r="C82" s="214" t="str">
        <f>Sheet1!C33</f>
        <v>MRS O.T. ADESINA</v>
      </c>
      <c r="D82" s="214">
        <f>Sheet1!D33</f>
        <v>330000</v>
      </c>
      <c r="E82" s="214">
        <f>Sheet1!E33</f>
        <v>43989</v>
      </c>
      <c r="F82" s="214">
        <f>Sheet1!F33</f>
        <v>373989</v>
      </c>
      <c r="G82" s="214">
        <f>Sheet1!G33</f>
        <v>50</v>
      </c>
      <c r="H82" s="214">
        <f>Sheet1!H33</f>
        <v>7479.78</v>
      </c>
      <c r="I82" s="214">
        <f>Sheet1!I33</f>
        <v>879.78</v>
      </c>
      <c r="J82" s="214">
        <f>Sheet1!J33</f>
        <v>6600</v>
      </c>
      <c r="K82" s="214">
        <f>Sheet1!K33</f>
        <v>879.78</v>
      </c>
      <c r="L82" s="214">
        <f>Sheet1!L33</f>
        <v>43109.22</v>
      </c>
      <c r="M82" s="214">
        <f>Sheet1!M33</f>
        <v>1</v>
      </c>
      <c r="N82" s="214">
        <f>Sheet1!N33</f>
        <v>49</v>
      </c>
      <c r="O82" s="214">
        <f>Sheet1!O33</f>
        <v>14959.56</v>
      </c>
      <c r="P82" s="214">
        <f>Sheet1!P33</f>
        <v>351549.65999999992</v>
      </c>
      <c r="Q82" s="214">
        <f>Sheet1!Q33</f>
        <v>0</v>
      </c>
    </row>
    <row r="83" spans="1:17" s="24" customFormat="1" ht="18" customHeight="1">
      <c r="A83" s="87">
        <f>Sheet1!A83</f>
        <v>81</v>
      </c>
      <c r="B83" s="87">
        <f>Sheet1!B83</f>
        <v>0</v>
      </c>
      <c r="C83" s="214" t="str">
        <f>Sheet1!C44</f>
        <v>MRS R.A. KOLAWOLE</v>
      </c>
      <c r="D83" s="214">
        <f>Sheet1!D44</f>
        <v>500000</v>
      </c>
      <c r="E83" s="214">
        <f>Sheet1!E44</f>
        <v>66650</v>
      </c>
      <c r="F83" s="214">
        <f>Sheet1!F44</f>
        <v>424987.5</v>
      </c>
      <c r="G83" s="214">
        <f>Sheet1!G44</f>
        <v>50</v>
      </c>
      <c r="H83" s="214">
        <f>Sheet1!H44</f>
        <v>8499.75</v>
      </c>
      <c r="I83" s="214">
        <f>Sheet1!I44</f>
        <v>1333</v>
      </c>
      <c r="J83" s="214">
        <f>Sheet1!J44</f>
        <v>10000</v>
      </c>
      <c r="K83" s="214">
        <f>Sheet1!K44</f>
        <v>2666</v>
      </c>
      <c r="L83" s="214">
        <f>Sheet1!L44</f>
        <v>65317</v>
      </c>
      <c r="M83" s="214">
        <f>Sheet1!M44</f>
        <v>2</v>
      </c>
      <c r="N83" s="214">
        <f>Sheet1!N44</f>
        <v>49</v>
      </c>
      <c r="O83" s="214">
        <f>Sheet1!O44</f>
        <v>16999.5</v>
      </c>
      <c r="P83" s="214">
        <f>Sheet1!P44</f>
        <v>492985.5</v>
      </c>
      <c r="Q83" s="214">
        <f>Sheet1!Q44</f>
        <v>0</v>
      </c>
    </row>
    <row r="84" spans="1:17" s="24" customFormat="1" ht="18" customHeight="1">
      <c r="A84" s="87">
        <f>Sheet1!A84</f>
        <v>82</v>
      </c>
      <c r="B84" s="87">
        <f>Sheet1!B84</f>
        <v>0</v>
      </c>
      <c r="C84" s="214" t="str">
        <f>Sheet1!C79</f>
        <v>MRS. A. A. ADEOYE</v>
      </c>
      <c r="D84" s="214">
        <f>Sheet1!D79</f>
        <v>330000</v>
      </c>
      <c r="E84" s="214">
        <f>Sheet1!E79</f>
        <v>43989</v>
      </c>
      <c r="F84" s="214">
        <f>Sheet1!F79</f>
        <v>373989</v>
      </c>
      <c r="G84" s="214">
        <f>Sheet1!G79</f>
        <v>50</v>
      </c>
      <c r="H84" s="214">
        <f>Sheet1!H79</f>
        <v>7479.78</v>
      </c>
      <c r="I84" s="214">
        <f>Sheet1!I79</f>
        <v>879.78</v>
      </c>
      <c r="J84" s="214">
        <f>Sheet1!J79</f>
        <v>6600</v>
      </c>
      <c r="K84" s="214">
        <f>Sheet1!K79</f>
        <v>15836.039999999999</v>
      </c>
      <c r="L84" s="214">
        <f>Sheet1!L79</f>
        <v>28152.959999999999</v>
      </c>
      <c r="M84" s="214">
        <f>Sheet1!M79</f>
        <v>18</v>
      </c>
      <c r="N84" s="214">
        <f>Sheet1!N79</f>
        <v>32</v>
      </c>
      <c r="O84" s="214">
        <f>Sheet1!O79</f>
        <v>134636.04</v>
      </c>
      <c r="P84" s="214">
        <f>Sheet1!P79</f>
        <v>239352.95999999961</v>
      </c>
      <c r="Q84" s="214">
        <f>Sheet1!Q79</f>
        <v>0</v>
      </c>
    </row>
    <row r="85" spans="1:17" s="24" customFormat="1" ht="18" customHeight="1">
      <c r="A85" s="87">
        <f>Sheet1!A85</f>
        <v>83</v>
      </c>
      <c r="B85" s="87">
        <f>Sheet1!B85</f>
        <v>0</v>
      </c>
      <c r="C85" s="214" t="str">
        <f>Sheet1!C7</f>
        <v>MRS. A. B. FOLAHAN</v>
      </c>
      <c r="D85" s="214">
        <f>Sheet1!D7</f>
        <v>150000</v>
      </c>
      <c r="E85" s="214">
        <f>Sheet1!E7</f>
        <v>19995</v>
      </c>
      <c r="F85" s="214">
        <f>Sheet1!F7</f>
        <v>169995</v>
      </c>
      <c r="G85" s="214">
        <f>Sheet1!G7</f>
        <v>50</v>
      </c>
      <c r="H85" s="214">
        <f>Sheet1!H7</f>
        <v>3399.9</v>
      </c>
      <c r="I85" s="214">
        <f>Sheet1!I7</f>
        <v>399.9</v>
      </c>
      <c r="J85" s="214">
        <f>Sheet1!J7</f>
        <v>3000</v>
      </c>
      <c r="K85" s="214">
        <f>Sheet1!K7</f>
        <v>4798.7999999999993</v>
      </c>
      <c r="L85" s="214">
        <f>Sheet1!L7</f>
        <v>15196.199999999999</v>
      </c>
      <c r="M85" s="214">
        <f>Sheet1!M7</f>
        <v>12</v>
      </c>
      <c r="N85" s="214">
        <f>Sheet1!N7</f>
        <v>38</v>
      </c>
      <c r="O85" s="214">
        <f>Sheet1!O7</f>
        <v>40798.80000000001</v>
      </c>
      <c r="P85" s="214">
        <f>Sheet1!P7</f>
        <v>129196.20000000007</v>
      </c>
      <c r="Q85" s="214">
        <f>Sheet1!Q7</f>
        <v>0</v>
      </c>
    </row>
    <row r="86" spans="1:17" s="24" customFormat="1" ht="18" customHeight="1">
      <c r="A86" s="87">
        <f>Sheet1!A86</f>
        <v>84</v>
      </c>
      <c r="B86" s="87">
        <f>Sheet1!B86</f>
        <v>0</v>
      </c>
      <c r="C86" s="214" t="str">
        <f>Sheet1!C49</f>
        <v>MRS. A. T. TIJANI</v>
      </c>
      <c r="D86" s="214">
        <f>Sheet1!D49</f>
        <v>330000</v>
      </c>
      <c r="E86" s="214">
        <f>Sheet1!E49</f>
        <v>43989</v>
      </c>
      <c r="F86" s="214">
        <f>Sheet1!F49</f>
        <v>373989</v>
      </c>
      <c r="G86" s="214">
        <f>Sheet1!G49</f>
        <v>50</v>
      </c>
      <c r="H86" s="214">
        <f>Sheet1!H49</f>
        <v>7479.78</v>
      </c>
      <c r="I86" s="214">
        <f>Sheet1!I49</f>
        <v>879.78</v>
      </c>
      <c r="J86" s="214">
        <f>Sheet1!J49</f>
        <v>6600</v>
      </c>
      <c r="K86" s="214">
        <f>Sheet1!K49</f>
        <v>23754.059999999998</v>
      </c>
      <c r="L86" s="214">
        <f>Sheet1!L49</f>
        <v>20234.939999999999</v>
      </c>
      <c r="M86" s="214">
        <f>Sheet1!M49</f>
        <v>27</v>
      </c>
      <c r="N86" s="214">
        <f>Sheet1!N49</f>
        <v>23</v>
      </c>
      <c r="O86" s="214">
        <f>Sheet1!O49</f>
        <v>201954.06</v>
      </c>
      <c r="P86" s="214">
        <f>Sheet1!P49</f>
        <v>179514.71999999962</v>
      </c>
      <c r="Q86" s="214">
        <f>Sheet1!Q49</f>
        <v>0</v>
      </c>
    </row>
    <row r="87" spans="1:17" s="24" customFormat="1" ht="18" customHeight="1">
      <c r="A87" s="87">
        <f>Sheet1!A87</f>
        <v>85</v>
      </c>
      <c r="B87" s="87">
        <f>Sheet1!B87</f>
        <v>0</v>
      </c>
      <c r="C87" s="214" t="str">
        <f>Sheet1!C43</f>
        <v>MRS. A. YUSUFF</v>
      </c>
      <c r="D87" s="214">
        <f>Sheet1!D43</f>
        <v>330000</v>
      </c>
      <c r="E87" s="214">
        <f>Sheet1!E43</f>
        <v>43989</v>
      </c>
      <c r="F87" s="214">
        <f>Sheet1!F43</f>
        <v>373989</v>
      </c>
      <c r="G87" s="214">
        <f>Sheet1!G43</f>
        <v>50</v>
      </c>
      <c r="H87" s="214">
        <f>Sheet1!H43</f>
        <v>7479.78</v>
      </c>
      <c r="I87" s="214">
        <f>Sheet1!I43</f>
        <v>879.78</v>
      </c>
      <c r="J87" s="214">
        <f>Sheet1!J43</f>
        <v>6600</v>
      </c>
      <c r="K87" s="214">
        <f>Sheet1!K43</f>
        <v>25513.62</v>
      </c>
      <c r="L87" s="214">
        <f>Sheet1!L43</f>
        <v>18475.38</v>
      </c>
      <c r="M87" s="214">
        <f>Sheet1!M43</f>
        <v>29</v>
      </c>
      <c r="N87" s="214">
        <f>Sheet1!N43</f>
        <v>21</v>
      </c>
      <c r="O87" s="214">
        <f>Sheet1!O43</f>
        <v>216913.62</v>
      </c>
      <c r="P87" s="214">
        <f>Sheet1!P43</f>
        <v>157075.37999999963</v>
      </c>
      <c r="Q87" s="214">
        <f>Sheet1!Q43</f>
        <v>0</v>
      </c>
    </row>
    <row r="88" spans="1:17" s="24" customFormat="1" ht="25.5">
      <c r="A88" s="87">
        <f>Sheet1!A88</f>
        <v>86</v>
      </c>
      <c r="B88" s="87">
        <f>Sheet1!B88</f>
        <v>0</v>
      </c>
      <c r="C88" s="214" t="str">
        <f>Sheet1!C111</f>
        <v>MRS. ADELKE FOLASADE D</v>
      </c>
      <c r="D88" s="214">
        <f>Sheet1!D111</f>
        <v>330000</v>
      </c>
      <c r="E88" s="214">
        <f>Sheet1!E111</f>
        <v>43989</v>
      </c>
      <c r="F88" s="214">
        <f>Sheet1!F111</f>
        <v>373989</v>
      </c>
      <c r="G88" s="214">
        <f>Sheet1!G111</f>
        <v>50</v>
      </c>
      <c r="H88" s="214">
        <f>Sheet1!H111</f>
        <v>7479.78</v>
      </c>
      <c r="I88" s="214">
        <f>Sheet1!I111</f>
        <v>879.78</v>
      </c>
      <c r="J88" s="214">
        <f>Sheet1!J111</f>
        <v>6600</v>
      </c>
      <c r="K88" s="214">
        <f>Sheet1!K111</f>
        <v>15836.039999999999</v>
      </c>
      <c r="L88" s="214">
        <f>Sheet1!L111</f>
        <v>28152.959999999999</v>
      </c>
      <c r="M88" s="214">
        <f>Sheet1!M111</f>
        <v>18</v>
      </c>
      <c r="N88" s="214">
        <f>Sheet1!N111</f>
        <v>32</v>
      </c>
      <c r="O88" s="214">
        <f>Sheet1!O111</f>
        <v>134636.04</v>
      </c>
      <c r="P88" s="214">
        <f>Sheet1!P111</f>
        <v>239352.95999999961</v>
      </c>
      <c r="Q88" s="214">
        <f>Sheet1!Q111</f>
        <v>0</v>
      </c>
    </row>
    <row r="89" spans="1:17" s="24" customFormat="1" ht="18" customHeight="1">
      <c r="A89" s="87">
        <f>Sheet1!A89</f>
        <v>87</v>
      </c>
      <c r="B89" s="87">
        <f>Sheet1!B89</f>
        <v>0</v>
      </c>
      <c r="C89" s="214" t="str">
        <f>Sheet1!C17</f>
        <v>MRS. ADEUGA M.M.</v>
      </c>
      <c r="D89" s="214">
        <f>Sheet1!D17</f>
        <v>500000</v>
      </c>
      <c r="E89" s="214">
        <f>Sheet1!E17</f>
        <v>45000</v>
      </c>
      <c r="F89" s="214">
        <f>Sheet1!F17</f>
        <v>566650</v>
      </c>
      <c r="G89" s="214">
        <f>Sheet1!G17</f>
        <v>50</v>
      </c>
      <c r="H89" s="214">
        <f>Sheet1!H17</f>
        <v>11333</v>
      </c>
      <c r="I89" s="214">
        <f>Sheet1!I17</f>
        <v>900</v>
      </c>
      <c r="J89" s="214">
        <f>Sheet1!J17</f>
        <v>10000</v>
      </c>
      <c r="K89" s="214">
        <f>Sheet1!K17</f>
        <v>16200</v>
      </c>
      <c r="L89" s="214">
        <f>Sheet1!L17</f>
        <v>28800</v>
      </c>
      <c r="M89" s="214">
        <f>Sheet1!M17</f>
        <v>18</v>
      </c>
      <c r="N89" s="214">
        <f>Sheet1!N17</f>
        <v>32</v>
      </c>
      <c r="O89" s="214">
        <f>Sheet1!O17</f>
        <v>203994</v>
      </c>
      <c r="P89" s="214">
        <f>Sheet1!P17</f>
        <v>362656</v>
      </c>
      <c r="Q89" s="214">
        <f>Sheet1!Q17</f>
        <v>0</v>
      </c>
    </row>
    <row r="90" spans="1:17" s="24" customFormat="1" ht="18" customHeight="1">
      <c r="A90" s="87">
        <f>Sheet1!A90</f>
        <v>88</v>
      </c>
      <c r="B90" s="87">
        <f>Sheet1!B90</f>
        <v>0</v>
      </c>
      <c r="C90" s="214" t="str">
        <f>Sheet1!C71</f>
        <v>MRS. B. F. ADEYEMI</v>
      </c>
      <c r="D90" s="214">
        <f>Sheet1!D71</f>
        <v>330000</v>
      </c>
      <c r="E90" s="214">
        <f>Sheet1!E71</f>
        <v>43989</v>
      </c>
      <c r="F90" s="214">
        <f>Sheet1!F71</f>
        <v>373989</v>
      </c>
      <c r="G90" s="214">
        <f>Sheet1!G71</f>
        <v>50</v>
      </c>
      <c r="H90" s="214">
        <f>Sheet1!H71</f>
        <v>7479.78</v>
      </c>
      <c r="I90" s="214">
        <f>Sheet1!I71</f>
        <v>879.78</v>
      </c>
      <c r="J90" s="214">
        <f>Sheet1!J71</f>
        <v>6600</v>
      </c>
      <c r="K90" s="214">
        <f>Sheet1!K71</f>
        <v>35191.199999999997</v>
      </c>
      <c r="L90" s="214">
        <f>Sheet1!L71</f>
        <v>9677.58</v>
      </c>
      <c r="M90" s="214">
        <f>Sheet1!M71</f>
        <v>40</v>
      </c>
      <c r="N90" s="214">
        <f>Sheet1!N71</f>
        <v>11</v>
      </c>
      <c r="O90" s="214">
        <f>Sheet1!O71</f>
        <v>291711.4200000001</v>
      </c>
      <c r="P90" s="214">
        <f>Sheet1!P71</f>
        <v>82277.579999999754</v>
      </c>
      <c r="Q90" s="214">
        <f>Sheet1!Q71</f>
        <v>0</v>
      </c>
    </row>
    <row r="91" spans="1:17" s="24" customFormat="1" ht="18" customHeight="1">
      <c r="A91" s="87">
        <f>Sheet1!A91</f>
        <v>89</v>
      </c>
      <c r="B91" s="87">
        <f>Sheet1!B91</f>
        <v>0</v>
      </c>
      <c r="C91" s="214" t="str">
        <f>Sheet1!C133</f>
        <v>MRS. B. O. OLARIBIGBE</v>
      </c>
      <c r="D91" s="214">
        <f>Sheet1!D133</f>
        <v>330000</v>
      </c>
      <c r="E91" s="214">
        <f>Sheet1!E133</f>
        <v>43989</v>
      </c>
      <c r="F91" s="214">
        <f>Sheet1!F133</f>
        <v>373989</v>
      </c>
      <c r="G91" s="214">
        <f>Sheet1!G133</f>
        <v>50</v>
      </c>
      <c r="H91" s="214">
        <f>Sheet1!H133</f>
        <v>7479.78</v>
      </c>
      <c r="I91" s="214">
        <f>Sheet1!I133</f>
        <v>879.78</v>
      </c>
      <c r="J91" s="214">
        <f>Sheet1!J133</f>
        <v>6600</v>
      </c>
      <c r="K91" s="214">
        <f>Sheet1!K133</f>
        <v>4398.8999999999996</v>
      </c>
      <c r="L91" s="214">
        <f>Sheet1!L133</f>
        <v>39590.1</v>
      </c>
      <c r="M91" s="214">
        <f>Sheet1!M133</f>
        <v>5</v>
      </c>
      <c r="N91" s="214">
        <f>Sheet1!N133</f>
        <v>45</v>
      </c>
      <c r="O91" s="214">
        <f>Sheet1!O133</f>
        <v>37398.9</v>
      </c>
      <c r="P91" s="214">
        <f>Sheet1!P133</f>
        <v>336590.09999999986</v>
      </c>
      <c r="Q91" s="214">
        <f>Sheet1!Q133</f>
        <v>0</v>
      </c>
    </row>
    <row r="92" spans="1:17" s="24" customFormat="1" ht="18" customHeight="1">
      <c r="A92" s="87">
        <f>Sheet1!A92</f>
        <v>90</v>
      </c>
      <c r="B92" s="87">
        <f>Sheet1!B92</f>
        <v>0</v>
      </c>
      <c r="C92" s="214" t="str">
        <f>Sheet1!C9</f>
        <v>MRS. B. O. SOMIDE</v>
      </c>
      <c r="D92" s="214">
        <f>Sheet1!D9</f>
        <v>450000</v>
      </c>
      <c r="E92" s="214">
        <f>Sheet1!E9</f>
        <v>59985</v>
      </c>
      <c r="F92" s="214">
        <f>Sheet1!F9</f>
        <v>509985</v>
      </c>
      <c r="G92" s="214">
        <f>Sheet1!G9</f>
        <v>50</v>
      </c>
      <c r="H92" s="214">
        <f>Sheet1!H9</f>
        <v>10199.700000000001</v>
      </c>
      <c r="I92" s="214">
        <f>Sheet1!I9</f>
        <v>1199.7</v>
      </c>
      <c r="J92" s="214">
        <f>Sheet1!J9</f>
        <v>9000</v>
      </c>
      <c r="K92" s="214">
        <f>Sheet1!K9</f>
        <v>5998.5</v>
      </c>
      <c r="L92" s="214">
        <f>Sheet1!L9</f>
        <v>53986.5</v>
      </c>
      <c r="M92" s="214">
        <f>Sheet1!M9</f>
        <v>5</v>
      </c>
      <c r="N92" s="214">
        <f>Sheet1!N9</f>
        <v>45</v>
      </c>
      <c r="O92" s="214">
        <f>Sheet1!O9</f>
        <v>50998.5</v>
      </c>
      <c r="P92" s="214">
        <f>Sheet1!P9</f>
        <v>458986.49999999994</v>
      </c>
      <c r="Q92" s="214">
        <f>Sheet1!Q9</f>
        <v>0</v>
      </c>
    </row>
    <row r="93" spans="1:17" s="24" customFormat="1" ht="18" customHeight="1">
      <c r="A93" s="87">
        <f>Sheet1!A93</f>
        <v>91</v>
      </c>
      <c r="B93" s="87">
        <f>Sheet1!B93</f>
        <v>0</v>
      </c>
      <c r="C93" s="214" t="str">
        <f>Sheet1!C36</f>
        <v>MRS. B.S. ODEMAKINDE</v>
      </c>
      <c r="D93" s="214">
        <f>Sheet1!D36</f>
        <v>500000</v>
      </c>
      <c r="E93" s="214">
        <f>Sheet1!E36</f>
        <v>66650</v>
      </c>
      <c r="F93" s="214">
        <f>Sheet1!F36</f>
        <v>708312.5</v>
      </c>
      <c r="G93" s="214">
        <f>Sheet1!G36</f>
        <v>50</v>
      </c>
      <c r="H93" s="214">
        <f>Sheet1!H36</f>
        <v>14166.25</v>
      </c>
      <c r="I93" s="214">
        <f>Sheet1!I36</f>
        <v>1333</v>
      </c>
      <c r="J93" s="214">
        <f>Sheet1!J36</f>
        <v>10000</v>
      </c>
      <c r="K93" s="214">
        <f>Sheet1!K36</f>
        <v>29326</v>
      </c>
      <c r="L93" s="214">
        <f>Sheet1!L36</f>
        <v>37324</v>
      </c>
      <c r="M93" s="214">
        <f>Sheet1!M36</f>
        <v>22</v>
      </c>
      <c r="N93" s="214">
        <f>Sheet1!N36</f>
        <v>28</v>
      </c>
      <c r="O93" s="214">
        <f>Sheet1!O36</f>
        <v>252159.25</v>
      </c>
      <c r="P93" s="214">
        <f>Sheet1!P36</f>
        <v>314490.75</v>
      </c>
      <c r="Q93" s="214">
        <f>Sheet1!Q36</f>
        <v>0</v>
      </c>
    </row>
    <row r="94" spans="1:17" s="24" customFormat="1" ht="18" customHeight="1">
      <c r="A94" s="87">
        <f>Sheet1!A94</f>
        <v>92</v>
      </c>
      <c r="B94" s="87">
        <f>Sheet1!B94</f>
        <v>0</v>
      </c>
      <c r="C94" s="214" t="str">
        <f>Sheet1!C104</f>
        <v>MRS. D. O. ABODUNDE</v>
      </c>
      <c r="D94" s="214">
        <f>Sheet1!D104</f>
        <v>150000</v>
      </c>
      <c r="E94" s="214">
        <f>Sheet1!E104</f>
        <v>19995</v>
      </c>
      <c r="F94" s="214">
        <f>Sheet1!F104</f>
        <v>169995</v>
      </c>
      <c r="G94" s="214">
        <f>Sheet1!G104</f>
        <v>50</v>
      </c>
      <c r="H94" s="214">
        <f>Sheet1!H104</f>
        <v>3399.9</v>
      </c>
      <c r="I94" s="214">
        <f>Sheet1!I104</f>
        <v>399.9</v>
      </c>
      <c r="J94" s="214">
        <f>Sheet1!J104</f>
        <v>3000</v>
      </c>
      <c r="K94" s="214">
        <f>Sheet1!K104</f>
        <v>11997</v>
      </c>
      <c r="L94" s="214">
        <f>Sheet1!L104</f>
        <v>7998</v>
      </c>
      <c r="M94" s="214">
        <f>Sheet1!M104</f>
        <v>30</v>
      </c>
      <c r="N94" s="214">
        <f>Sheet1!N104</f>
        <v>20</v>
      </c>
      <c r="O94" s="214">
        <f>Sheet1!O104</f>
        <v>101951.99999999996</v>
      </c>
      <c r="P94" s="214">
        <f>Sheet1!P104</f>
        <v>68043.000000000175</v>
      </c>
      <c r="Q94" s="214">
        <f>Sheet1!Q104</f>
        <v>0</v>
      </c>
    </row>
    <row r="95" spans="1:17" s="24" customFormat="1" ht="18" customHeight="1">
      <c r="A95" s="87">
        <f>Sheet1!A95</f>
        <v>93</v>
      </c>
      <c r="B95" s="87">
        <f>Sheet1!B95</f>
        <v>0</v>
      </c>
      <c r="C95" s="214" t="str">
        <f>Sheet1!C81</f>
        <v>MRS. E. M. ABEGUNDE</v>
      </c>
      <c r="D95" s="214">
        <f>Sheet1!D81</f>
        <v>450000</v>
      </c>
      <c r="E95" s="214">
        <f>Sheet1!E81</f>
        <v>59985</v>
      </c>
      <c r="F95" s="214">
        <f>Sheet1!F81</f>
        <v>509995</v>
      </c>
      <c r="G95" s="214">
        <f>Sheet1!G81</f>
        <v>50</v>
      </c>
      <c r="H95" s="214">
        <f>Sheet1!H81</f>
        <v>10199.9</v>
      </c>
      <c r="I95" s="214">
        <f>Sheet1!I81</f>
        <v>1199.7</v>
      </c>
      <c r="J95" s="214">
        <f>Sheet1!J81</f>
        <v>9000</v>
      </c>
      <c r="K95" s="214">
        <f>Sheet1!K81</f>
        <v>16795.8</v>
      </c>
      <c r="L95" s="214">
        <f>Sheet1!L81</f>
        <v>43189.200000000004</v>
      </c>
      <c r="M95" s="214">
        <f>Sheet1!M81</f>
        <v>14</v>
      </c>
      <c r="N95" s="214">
        <f>Sheet1!N81</f>
        <v>36</v>
      </c>
      <c r="O95" s="214">
        <f>Sheet1!O81</f>
        <v>142798.59999999998</v>
      </c>
      <c r="P95" s="214">
        <f>Sheet1!P81</f>
        <v>367196.39999999967</v>
      </c>
      <c r="Q95" s="214">
        <f>Sheet1!Q81</f>
        <v>0</v>
      </c>
    </row>
    <row r="96" spans="1:17" s="24" customFormat="1" ht="18" customHeight="1">
      <c r="A96" s="87">
        <f>Sheet1!A96</f>
        <v>94</v>
      </c>
      <c r="B96" s="87">
        <f>Sheet1!B96</f>
        <v>0</v>
      </c>
      <c r="C96" s="214" t="str">
        <f>Sheet1!C85</f>
        <v>MRS. E. O. OMOJUWA</v>
      </c>
      <c r="D96" s="214">
        <f>Sheet1!D85</f>
        <v>330000</v>
      </c>
      <c r="E96" s="214">
        <f>Sheet1!E85</f>
        <v>43989</v>
      </c>
      <c r="F96" s="214">
        <f>Sheet1!F85</f>
        <v>351114.72000000003</v>
      </c>
      <c r="G96" s="214">
        <f>Sheet1!G85</f>
        <v>24</v>
      </c>
      <c r="H96" s="214">
        <f>Sheet1!H85</f>
        <v>14629.78</v>
      </c>
      <c r="I96" s="214">
        <f>Sheet1!I85</f>
        <v>1832.875</v>
      </c>
      <c r="J96" s="214">
        <f>Sheet1!J85</f>
        <v>13750</v>
      </c>
      <c r="K96" s="214">
        <f>Sheet1!K85</f>
        <v>27493.125</v>
      </c>
      <c r="L96" s="214">
        <f>Sheet1!L85</f>
        <v>64150.625</v>
      </c>
      <c r="M96" s="214">
        <f>Sheet1!M85</f>
        <v>15</v>
      </c>
      <c r="N96" s="214">
        <f>Sheet1!N85</f>
        <v>35</v>
      </c>
      <c r="O96" s="214">
        <f>Sheet1!O85</f>
        <v>219446.7</v>
      </c>
      <c r="P96" s="214">
        <f>Sheet1!P85</f>
        <v>131668.01999999981</v>
      </c>
      <c r="Q96" s="214">
        <f>Sheet1!Q85</f>
        <v>0</v>
      </c>
    </row>
    <row r="97" spans="1:17" s="24" customFormat="1" ht="18" customHeight="1">
      <c r="A97" s="87">
        <f>Sheet1!A97</f>
        <v>95</v>
      </c>
      <c r="B97" s="87">
        <f>Sheet1!B97</f>
        <v>0</v>
      </c>
      <c r="C97" s="214" t="str">
        <f>Sheet1!C109</f>
        <v>MRS. F. AYENI</v>
      </c>
      <c r="D97" s="214">
        <f>Sheet1!D109</f>
        <v>150000</v>
      </c>
      <c r="E97" s="214">
        <f>Sheet1!E109</f>
        <v>19995</v>
      </c>
      <c r="F97" s="214">
        <f>Sheet1!F109</f>
        <v>169995</v>
      </c>
      <c r="G97" s="214">
        <f>Sheet1!G109</f>
        <v>50</v>
      </c>
      <c r="H97" s="214">
        <f>Sheet1!H109</f>
        <v>3399.9</v>
      </c>
      <c r="I97" s="214">
        <f>Sheet1!I109</f>
        <v>399.9</v>
      </c>
      <c r="J97" s="214">
        <f>Sheet1!J109</f>
        <v>3000</v>
      </c>
      <c r="K97" s="214">
        <f>Sheet1!K109</f>
        <v>11597.099999999999</v>
      </c>
      <c r="L97" s="214">
        <f>Sheet1!L109</f>
        <v>8397.9</v>
      </c>
      <c r="M97" s="214">
        <f>Sheet1!M109</f>
        <v>29</v>
      </c>
      <c r="N97" s="214">
        <f>Sheet1!N109</f>
        <v>21</v>
      </c>
      <c r="O97" s="214">
        <f>Sheet1!O109</f>
        <v>101996.99999999996</v>
      </c>
      <c r="P97" s="214">
        <f>Sheet1!P109</f>
        <v>71397.900000000169</v>
      </c>
      <c r="Q97" s="214">
        <f>Sheet1!Q109</f>
        <v>0</v>
      </c>
    </row>
    <row r="98" spans="1:17" s="24" customFormat="1" ht="18" customHeight="1">
      <c r="A98" s="87">
        <f>Sheet1!A98</f>
        <v>96</v>
      </c>
      <c r="B98" s="87">
        <f>Sheet1!B98</f>
        <v>0</v>
      </c>
      <c r="C98" s="214" t="str">
        <f>Sheet1!C77</f>
        <v>MRS. F. B. OLAMILETRILLION</v>
      </c>
      <c r="D98" s="214">
        <f>Sheet1!D77</f>
        <v>330000</v>
      </c>
      <c r="E98" s="214">
        <f>Sheet1!E77</f>
        <v>43989</v>
      </c>
      <c r="F98" s="214">
        <f>Sheet1!F77</f>
        <v>373989</v>
      </c>
      <c r="G98" s="214">
        <f>Sheet1!G77</f>
        <v>50</v>
      </c>
      <c r="H98" s="214">
        <f>Sheet1!H77</f>
        <v>7479.78</v>
      </c>
      <c r="I98" s="214">
        <f>Sheet1!I77</f>
        <v>879.78</v>
      </c>
      <c r="J98" s="214">
        <f>Sheet1!J77</f>
        <v>6600</v>
      </c>
      <c r="K98" s="214">
        <f>Sheet1!K77</f>
        <v>15836.039999999999</v>
      </c>
      <c r="L98" s="214">
        <f>Sheet1!L77</f>
        <v>28152.959999999999</v>
      </c>
      <c r="M98" s="214">
        <f>Sheet1!M77</f>
        <v>18</v>
      </c>
      <c r="N98" s="214">
        <f>Sheet1!N77</f>
        <v>32</v>
      </c>
      <c r="O98" s="214">
        <f>Sheet1!O77</f>
        <v>134636.04</v>
      </c>
      <c r="P98" s="214">
        <f>Sheet1!P77</f>
        <v>239352.95999999961</v>
      </c>
      <c r="Q98" s="214">
        <f>Sheet1!Q77</f>
        <v>0</v>
      </c>
    </row>
    <row r="99" spans="1:17" s="24" customFormat="1" ht="18" customHeight="1">
      <c r="A99" s="87">
        <f>Sheet1!A99</f>
        <v>97</v>
      </c>
      <c r="B99" s="87">
        <f>Sheet1!B99</f>
        <v>0</v>
      </c>
      <c r="C99" s="214" t="str">
        <f>Sheet1!C118</f>
        <v>MRS. F. O. OLAGUNJU</v>
      </c>
      <c r="D99" s="214">
        <f>Sheet1!D118</f>
        <v>150000</v>
      </c>
      <c r="E99" s="214">
        <f>Sheet1!E118</f>
        <v>19995</v>
      </c>
      <c r="F99" s="214">
        <f>Sheet1!F118</f>
        <v>169995</v>
      </c>
      <c r="G99" s="214">
        <f>Sheet1!G118</f>
        <v>50</v>
      </c>
      <c r="H99" s="214">
        <f>Sheet1!H118</f>
        <v>3399.9</v>
      </c>
      <c r="I99" s="214">
        <f>Sheet1!I118</f>
        <v>399.9</v>
      </c>
      <c r="J99" s="214">
        <f>Sheet1!J118</f>
        <v>3000</v>
      </c>
      <c r="K99" s="214">
        <f>Sheet1!K118</f>
        <v>10797.3</v>
      </c>
      <c r="L99" s="214">
        <f>Sheet1!L118</f>
        <v>9597.5999999999985</v>
      </c>
      <c r="M99" s="214">
        <f>Sheet1!M118</f>
        <v>27</v>
      </c>
      <c r="N99" s="214">
        <f>Sheet1!N118</f>
        <v>24</v>
      </c>
      <c r="O99" s="214">
        <f>Sheet1!O118</f>
        <v>88397.399999999965</v>
      </c>
      <c r="P99" s="214">
        <f>Sheet1!P118</f>
        <v>81597.600000000049</v>
      </c>
      <c r="Q99" s="214">
        <f>Sheet1!Q118</f>
        <v>0</v>
      </c>
    </row>
    <row r="100" spans="1:17" s="24" customFormat="1" ht="18" customHeight="1">
      <c r="A100" s="87">
        <f>Sheet1!A100</f>
        <v>98</v>
      </c>
      <c r="B100" s="87">
        <f>Sheet1!B100</f>
        <v>0</v>
      </c>
      <c r="C100" s="214" t="str">
        <f>Sheet1!C106</f>
        <v>MRS. J. A. OWOADE</v>
      </c>
      <c r="D100" s="214">
        <f>Sheet1!D106</f>
        <v>330000</v>
      </c>
      <c r="E100" s="214">
        <f>Sheet1!E106</f>
        <v>43989</v>
      </c>
      <c r="F100" s="214">
        <f>Sheet1!F106</f>
        <v>373989</v>
      </c>
      <c r="G100" s="214">
        <f>Sheet1!G106</f>
        <v>50</v>
      </c>
      <c r="H100" s="214">
        <f>Sheet1!H106</f>
        <v>7479.78</v>
      </c>
      <c r="I100" s="214">
        <f>Sheet1!I106</f>
        <v>879.78</v>
      </c>
      <c r="J100" s="214">
        <f>Sheet1!J106</f>
        <v>6600</v>
      </c>
      <c r="K100" s="214">
        <f>Sheet1!K106</f>
        <v>26393.399999999998</v>
      </c>
      <c r="L100" s="214">
        <f>Sheet1!L106</f>
        <v>17595.599999999999</v>
      </c>
      <c r="M100" s="214">
        <f>Sheet1!M106</f>
        <v>30</v>
      </c>
      <c r="N100" s="214">
        <f>Sheet1!N106</f>
        <v>20</v>
      </c>
      <c r="O100" s="214">
        <f>Sheet1!O106</f>
        <v>224393.4</v>
      </c>
      <c r="P100" s="214">
        <f>Sheet1!P106</f>
        <v>149595.59999999963</v>
      </c>
      <c r="Q100" s="214">
        <f>Sheet1!Q106</f>
        <v>0</v>
      </c>
    </row>
    <row r="101" spans="1:17" s="24" customFormat="1" ht="18" customHeight="1">
      <c r="A101" s="87">
        <f>Sheet1!A101</f>
        <v>99</v>
      </c>
      <c r="B101" s="87">
        <f>Sheet1!B101</f>
        <v>0</v>
      </c>
      <c r="C101" s="214" t="str">
        <f>Sheet1!C117</f>
        <v>MRS. JAYEOBA O. Y</v>
      </c>
      <c r="D101" s="214">
        <f>Sheet1!D117</f>
        <v>150000</v>
      </c>
      <c r="E101" s="214">
        <f>Sheet1!E117</f>
        <v>19995</v>
      </c>
      <c r="F101" s="214">
        <f>Sheet1!F117</f>
        <v>169995</v>
      </c>
      <c r="G101" s="214">
        <f>Sheet1!G117</f>
        <v>50</v>
      </c>
      <c r="H101" s="214">
        <f>Sheet1!H117</f>
        <v>3399.9</v>
      </c>
      <c r="I101" s="214">
        <f>Sheet1!I117</f>
        <v>399.9</v>
      </c>
      <c r="J101" s="214">
        <f>Sheet1!J117</f>
        <v>3000</v>
      </c>
      <c r="K101" s="214">
        <f>Sheet1!K117</f>
        <v>4798.7999999999993</v>
      </c>
      <c r="L101" s="214">
        <f>Sheet1!L117</f>
        <v>15196.199999999999</v>
      </c>
      <c r="M101" s="214">
        <f>Sheet1!M117</f>
        <v>12</v>
      </c>
      <c r="N101" s="214">
        <f>Sheet1!N117</f>
        <v>38</v>
      </c>
      <c r="O101" s="214">
        <f>Sheet1!O117</f>
        <v>40798.80000000001</v>
      </c>
      <c r="P101" s="214">
        <f>Sheet1!P117</f>
        <v>129196.20000000007</v>
      </c>
      <c r="Q101" s="214">
        <f>Sheet1!Q117</f>
        <v>0</v>
      </c>
    </row>
    <row r="102" spans="1:17" s="24" customFormat="1" ht="18" customHeight="1">
      <c r="A102" s="87">
        <f>Sheet1!A102</f>
        <v>100</v>
      </c>
      <c r="B102" s="87">
        <f>Sheet1!B102</f>
        <v>0</v>
      </c>
      <c r="C102" s="214" t="str">
        <f>Sheet1!C138</f>
        <v>MRS. M. A. ALONGE</v>
      </c>
      <c r="D102" s="214">
        <f>Sheet1!D138</f>
        <v>450000</v>
      </c>
      <c r="E102" s="214">
        <f>Sheet1!E138</f>
        <v>59985</v>
      </c>
      <c r="F102" s="214">
        <f>Sheet1!F138</f>
        <v>509985.99999999994</v>
      </c>
      <c r="G102" s="214">
        <f>Sheet1!G138</f>
        <v>50</v>
      </c>
      <c r="H102" s="214">
        <f>Sheet1!H138</f>
        <v>10199.719999999999</v>
      </c>
      <c r="I102" s="214">
        <f>Sheet1!I138</f>
        <v>1199.7</v>
      </c>
      <c r="J102" s="214">
        <f>Sheet1!J138</f>
        <v>9000</v>
      </c>
      <c r="K102" s="214">
        <f>Sheet1!K138</f>
        <v>19195.2</v>
      </c>
      <c r="L102" s="214">
        <f>Sheet1!L138</f>
        <v>40789.800000000003</v>
      </c>
      <c r="M102" s="214">
        <f>Sheet1!M138</f>
        <v>16</v>
      </c>
      <c r="N102" s="214">
        <f>Sheet1!N138</f>
        <v>34</v>
      </c>
      <c r="O102" s="214">
        <f>Sheet1!O138</f>
        <v>173394.99999999997</v>
      </c>
      <c r="P102" s="214">
        <f>Sheet1!P138</f>
        <v>346789.7</v>
      </c>
      <c r="Q102" s="214">
        <f>Sheet1!Q138</f>
        <v>0</v>
      </c>
    </row>
    <row r="103" spans="1:17" s="24" customFormat="1" ht="18" customHeight="1">
      <c r="A103" s="87">
        <f>Sheet1!A103</f>
        <v>101</v>
      </c>
      <c r="B103" s="87">
        <f>Sheet1!B103</f>
        <v>0</v>
      </c>
      <c r="C103" s="214" t="str">
        <f>Sheet1!C35</f>
        <v>MRS. M. A. BAMIRO</v>
      </c>
      <c r="D103" s="214">
        <f>Sheet1!D35</f>
        <v>500000</v>
      </c>
      <c r="E103" s="214">
        <f>Sheet1!E35</f>
        <v>66650</v>
      </c>
      <c r="F103" s="214">
        <f>Sheet1!F35</f>
        <v>547984.79999999993</v>
      </c>
      <c r="G103" s="214">
        <f>Sheet1!G35</f>
        <v>36</v>
      </c>
      <c r="H103" s="214">
        <f>Sheet1!H35</f>
        <v>15221.8</v>
      </c>
      <c r="I103" s="214">
        <f>Sheet1!I35</f>
        <v>1851.3888888888889</v>
      </c>
      <c r="J103" s="214">
        <f>Sheet1!J35</f>
        <v>13888.888888888889</v>
      </c>
      <c r="K103" s="214">
        <f>Sheet1!K35</f>
        <v>24068.055555555555</v>
      </c>
      <c r="L103" s="214">
        <f>Sheet1!L35</f>
        <v>42581.944444444445</v>
      </c>
      <c r="M103" s="214">
        <f>Sheet1!M35</f>
        <v>13</v>
      </c>
      <c r="N103" s="214">
        <f>Sheet1!N35</f>
        <v>23</v>
      </c>
      <c r="O103" s="214">
        <f>Sheet1!O35</f>
        <v>197883.39999999997</v>
      </c>
      <c r="P103" s="214">
        <f>Sheet1!P35</f>
        <v>350101.40000000014</v>
      </c>
      <c r="Q103" s="214">
        <f>Sheet1!Q35</f>
        <v>0</v>
      </c>
    </row>
    <row r="104" spans="1:17" s="24" customFormat="1" ht="18" customHeight="1">
      <c r="A104" s="87">
        <f>Sheet1!A104</f>
        <v>102</v>
      </c>
      <c r="B104" s="87">
        <f>Sheet1!B104</f>
        <v>0</v>
      </c>
      <c r="C104" s="214" t="str">
        <f>Sheet1!C83</f>
        <v>MRS. M. O. AYOADE</v>
      </c>
      <c r="D104" s="214">
        <f>Sheet1!D83</f>
        <v>330000</v>
      </c>
      <c r="E104" s="214">
        <f>Sheet1!E83</f>
        <v>43989</v>
      </c>
      <c r="F104" s="214">
        <f>Sheet1!F83</f>
        <v>373989</v>
      </c>
      <c r="G104" s="214">
        <f>Sheet1!G83</f>
        <v>50</v>
      </c>
      <c r="H104" s="214">
        <f>Sheet1!H83</f>
        <v>7479.78</v>
      </c>
      <c r="I104" s="214">
        <f>Sheet1!I83</f>
        <v>879.78</v>
      </c>
      <c r="J104" s="214">
        <f>Sheet1!J83</f>
        <v>6600</v>
      </c>
      <c r="K104" s="214">
        <f>Sheet1!K83</f>
        <v>23754.059999999998</v>
      </c>
      <c r="L104" s="214">
        <f>Sheet1!L83</f>
        <v>20234.939999999999</v>
      </c>
      <c r="M104" s="214">
        <f>Sheet1!M83</f>
        <v>27</v>
      </c>
      <c r="N104" s="214">
        <f>Sheet1!N83</f>
        <v>23</v>
      </c>
      <c r="O104" s="214">
        <f>Sheet1!O83</f>
        <v>201954.06</v>
      </c>
      <c r="P104" s="214">
        <f>Sheet1!P83</f>
        <v>172034.93999999962</v>
      </c>
      <c r="Q104" s="214">
        <f>Sheet1!Q83</f>
        <v>0</v>
      </c>
    </row>
    <row r="105" spans="1:17" s="24" customFormat="1" ht="18" customHeight="1">
      <c r="A105" s="87">
        <f>Sheet1!A105</f>
        <v>103</v>
      </c>
      <c r="B105" s="87">
        <f>Sheet1!B105</f>
        <v>0</v>
      </c>
      <c r="C105" s="214" t="str">
        <f>Sheet1!C21</f>
        <v>MRS. O. A. AKANDE</v>
      </c>
      <c r="D105" s="214">
        <f>Sheet1!D21</f>
        <v>150000</v>
      </c>
      <c r="E105" s="214">
        <f>Sheet1!E21</f>
        <v>13500</v>
      </c>
      <c r="F105" s="214">
        <f>Sheet1!F21</f>
        <v>169995</v>
      </c>
      <c r="G105" s="214">
        <f>Sheet1!G21</f>
        <v>50</v>
      </c>
      <c r="H105" s="214">
        <f>Sheet1!H21</f>
        <v>3399.9</v>
      </c>
      <c r="I105" s="214">
        <f>Sheet1!I21</f>
        <v>270</v>
      </c>
      <c r="J105" s="214">
        <f>Sheet1!J21</f>
        <v>3000</v>
      </c>
      <c r="K105" s="214">
        <f>Sheet1!K21</f>
        <v>3240</v>
      </c>
      <c r="L105" s="214">
        <f>Sheet1!L21</f>
        <v>10260</v>
      </c>
      <c r="M105" s="214">
        <f>Sheet1!M21</f>
        <v>12</v>
      </c>
      <c r="N105" s="214">
        <f>Sheet1!N21</f>
        <v>38</v>
      </c>
      <c r="O105" s="214">
        <f>Sheet1!O21</f>
        <v>40798.80000000001</v>
      </c>
      <c r="P105" s="214">
        <f>Sheet1!P21</f>
        <v>129196.20000000007</v>
      </c>
      <c r="Q105" s="214">
        <f>Sheet1!Q21</f>
        <v>0</v>
      </c>
    </row>
    <row r="106" spans="1:17" s="24" customFormat="1" ht="18" customHeight="1">
      <c r="A106" s="87">
        <f>Sheet1!A106</f>
        <v>104</v>
      </c>
      <c r="B106" s="87">
        <f>Sheet1!B106</f>
        <v>0</v>
      </c>
      <c r="C106" s="214" t="str">
        <f>Sheet1!C32</f>
        <v>MRS. O. A. IDOWU</v>
      </c>
      <c r="D106" s="214">
        <f>Sheet1!D32</f>
        <v>330000</v>
      </c>
      <c r="E106" s="214">
        <f>Sheet1!E32</f>
        <v>43989</v>
      </c>
      <c r="F106" s="214">
        <f>Sheet1!F32</f>
        <v>373989</v>
      </c>
      <c r="G106" s="214">
        <f>Sheet1!G32</f>
        <v>50</v>
      </c>
      <c r="H106" s="214">
        <f>Sheet1!H32</f>
        <v>7479.78</v>
      </c>
      <c r="I106" s="214">
        <f>Sheet1!I32</f>
        <v>879.78</v>
      </c>
      <c r="J106" s="214">
        <f>Sheet1!J32</f>
        <v>6600</v>
      </c>
      <c r="K106" s="214">
        <f>Sheet1!K32</f>
        <v>4398.8999999999996</v>
      </c>
      <c r="L106" s="214">
        <f>Sheet1!L32</f>
        <v>39590.1</v>
      </c>
      <c r="M106" s="214">
        <f>Sheet1!M32</f>
        <v>5</v>
      </c>
      <c r="N106" s="214">
        <f>Sheet1!N32</f>
        <v>45</v>
      </c>
      <c r="O106" s="214">
        <f>Sheet1!O32</f>
        <v>37398.9</v>
      </c>
      <c r="P106" s="214">
        <f>Sheet1!P32</f>
        <v>336590.09999999986</v>
      </c>
      <c r="Q106" s="214">
        <f>Sheet1!Q32</f>
        <v>0</v>
      </c>
    </row>
    <row r="107" spans="1:17" s="24" customFormat="1">
      <c r="A107" s="87">
        <f>Sheet1!A107</f>
        <v>105</v>
      </c>
      <c r="B107" s="87">
        <f>Sheet1!B107</f>
        <v>0</v>
      </c>
      <c r="C107" s="214" t="str">
        <f>Sheet1!C84</f>
        <v>MRS. O. B. AYOOLA</v>
      </c>
      <c r="D107" s="214">
        <f>Sheet1!D84</f>
        <v>330000</v>
      </c>
      <c r="E107" s="214">
        <f>Sheet1!E84</f>
        <v>43989</v>
      </c>
      <c r="F107" s="214">
        <f>Sheet1!F84</f>
        <v>356393.4</v>
      </c>
      <c r="G107" s="214">
        <f>Sheet1!G84</f>
        <v>30</v>
      </c>
      <c r="H107" s="214">
        <f>Sheet1!H84</f>
        <v>11879.78</v>
      </c>
      <c r="I107" s="214">
        <f>Sheet1!I84</f>
        <v>1466.3</v>
      </c>
      <c r="J107" s="214">
        <f>Sheet1!J84</f>
        <v>11000</v>
      </c>
      <c r="K107" s="214">
        <f>Sheet1!K84</f>
        <v>23460.799999999999</v>
      </c>
      <c r="L107" s="214">
        <f>Sheet1!L84</f>
        <v>20528.2</v>
      </c>
      <c r="M107" s="214">
        <f>Sheet1!M84</f>
        <v>16</v>
      </c>
      <c r="N107" s="214">
        <f>Sheet1!N84</f>
        <v>14</v>
      </c>
      <c r="O107" s="214">
        <f>Sheet1!O84</f>
        <v>190076.48</v>
      </c>
      <c r="P107" s="214">
        <f>Sheet1!P84</f>
        <v>166316.91999999984</v>
      </c>
      <c r="Q107" s="214">
        <f>Sheet1!Q84</f>
        <v>0</v>
      </c>
    </row>
    <row r="108" spans="1:17" s="24" customFormat="1" ht="18" customHeight="1">
      <c r="A108" s="87">
        <f>Sheet1!A108</f>
        <v>106</v>
      </c>
      <c r="B108" s="87">
        <f>Sheet1!B108</f>
        <v>0</v>
      </c>
      <c r="C108" s="214" t="str">
        <f>Sheet1!C103</f>
        <v>MRS. O. Y. ALUKO</v>
      </c>
      <c r="D108" s="214">
        <f>Sheet1!D103</f>
        <v>150000</v>
      </c>
      <c r="E108" s="214">
        <f>Sheet1!E103</f>
        <v>19995</v>
      </c>
      <c r="F108" s="214">
        <f>Sheet1!F103</f>
        <v>169995</v>
      </c>
      <c r="G108" s="214">
        <f>Sheet1!G103</f>
        <v>50</v>
      </c>
      <c r="H108" s="214">
        <f>Sheet1!H103</f>
        <v>3399.9</v>
      </c>
      <c r="I108" s="214">
        <f>Sheet1!I103</f>
        <v>399.9</v>
      </c>
      <c r="J108" s="214">
        <f>Sheet1!J103</f>
        <v>3000</v>
      </c>
      <c r="K108" s="214">
        <f>Sheet1!K103</f>
        <v>11997</v>
      </c>
      <c r="L108" s="214">
        <f>Sheet1!L103</f>
        <v>7998</v>
      </c>
      <c r="M108" s="214">
        <f>Sheet1!M103</f>
        <v>30</v>
      </c>
      <c r="N108" s="214">
        <f>Sheet1!N103</f>
        <v>20</v>
      </c>
      <c r="O108" s="214">
        <f>Sheet1!O103</f>
        <v>101996.99999999996</v>
      </c>
      <c r="P108" s="214">
        <f>Sheet1!P103</f>
        <v>67998.000000000175</v>
      </c>
      <c r="Q108" s="214">
        <f>Sheet1!Q103</f>
        <v>0</v>
      </c>
    </row>
    <row r="109" spans="1:17" s="24" customFormat="1" ht="18" customHeight="1">
      <c r="A109" s="87">
        <f>Sheet1!A109</f>
        <v>107</v>
      </c>
      <c r="B109" s="87">
        <f>Sheet1!B109</f>
        <v>0</v>
      </c>
      <c r="C109" s="214" t="str">
        <f>Sheet1!C95</f>
        <v>MRS. ODUYELU</v>
      </c>
      <c r="D109" s="214">
        <f>Sheet1!D95</f>
        <v>150000</v>
      </c>
      <c r="E109" s="214">
        <f>Sheet1!E95</f>
        <v>19995</v>
      </c>
      <c r="F109" s="214">
        <f>Sheet1!F95</f>
        <v>169995</v>
      </c>
      <c r="G109" s="214">
        <f>Sheet1!G95</f>
        <v>50</v>
      </c>
      <c r="H109" s="214">
        <f>Sheet1!H95</f>
        <v>3399.9</v>
      </c>
      <c r="I109" s="214">
        <f>Sheet1!I95</f>
        <v>399.9</v>
      </c>
      <c r="J109" s="214">
        <f>Sheet1!J95</f>
        <v>3000</v>
      </c>
      <c r="K109" s="214">
        <f>Sheet1!K95</f>
        <v>4398.8999999999996</v>
      </c>
      <c r="L109" s="214">
        <f>Sheet1!L95</f>
        <v>15596.099999999999</v>
      </c>
      <c r="M109" s="214">
        <f>Sheet1!M95</f>
        <v>11</v>
      </c>
      <c r="N109" s="214">
        <f>Sheet1!N95</f>
        <v>39</v>
      </c>
      <c r="O109" s="214">
        <f>Sheet1!O95</f>
        <v>37398.900000000009</v>
      </c>
      <c r="P109" s="214">
        <f>Sheet1!P95</f>
        <v>132596.10000000006</v>
      </c>
      <c r="Q109" s="214">
        <f>Sheet1!Q95</f>
        <v>0</v>
      </c>
    </row>
    <row r="110" spans="1:17" s="24" customFormat="1" ht="18" customHeight="1">
      <c r="A110" s="87">
        <f>Sheet1!A110</f>
        <v>108</v>
      </c>
      <c r="B110" s="87">
        <f>Sheet1!B110</f>
        <v>0</v>
      </c>
      <c r="C110" s="214" t="str">
        <f>Sheet1!C93</f>
        <v>MRS. OLUGBADE OYEKALE</v>
      </c>
      <c r="D110" s="214">
        <f>Sheet1!D93</f>
        <v>150000</v>
      </c>
      <c r="E110" s="214">
        <f>Sheet1!E93</f>
        <v>19995</v>
      </c>
      <c r="F110" s="214">
        <f>Sheet1!F93</f>
        <v>169995</v>
      </c>
      <c r="G110" s="214">
        <f>Sheet1!G93</f>
        <v>50</v>
      </c>
      <c r="H110" s="214">
        <f>Sheet1!H93</f>
        <v>3399.9</v>
      </c>
      <c r="I110" s="214">
        <f>Sheet1!I93</f>
        <v>399.9</v>
      </c>
      <c r="J110" s="214">
        <f>Sheet1!J93</f>
        <v>3000</v>
      </c>
      <c r="K110" s="214">
        <f>Sheet1!K93</f>
        <v>6398.4</v>
      </c>
      <c r="L110" s="214">
        <f>Sheet1!L93</f>
        <v>13596.599999999999</v>
      </c>
      <c r="M110" s="214">
        <f>Sheet1!M93</f>
        <v>16</v>
      </c>
      <c r="N110" s="214">
        <f>Sheet1!N93</f>
        <v>34</v>
      </c>
      <c r="O110" s="214">
        <f>Sheet1!O93</f>
        <v>54398.400000000016</v>
      </c>
      <c r="P110" s="214">
        <f>Sheet1!P93</f>
        <v>115596.60000000009</v>
      </c>
      <c r="Q110" s="214">
        <f>Sheet1!Q93</f>
        <v>0</v>
      </c>
    </row>
    <row r="111" spans="1:17" s="24" customFormat="1" ht="18" customHeight="1">
      <c r="A111" s="87">
        <f>Sheet1!A111</f>
        <v>109</v>
      </c>
      <c r="B111" s="87">
        <f>Sheet1!B111</f>
        <v>0</v>
      </c>
      <c r="C111" s="214" t="str">
        <f>Sheet1!C80</f>
        <v>MRS. OLUWASOGO FATUNBI</v>
      </c>
      <c r="D111" s="214">
        <f>Sheet1!D80</f>
        <v>150000</v>
      </c>
      <c r="E111" s="214">
        <f>Sheet1!E80</f>
        <v>19995</v>
      </c>
      <c r="F111" s="214">
        <f>Sheet1!F80</f>
        <v>169995</v>
      </c>
      <c r="G111" s="214">
        <f>Sheet1!G80</f>
        <v>50</v>
      </c>
      <c r="H111" s="214">
        <f>Sheet1!H80</f>
        <v>3399.9</v>
      </c>
      <c r="I111" s="214">
        <f>Sheet1!I80</f>
        <v>399.9</v>
      </c>
      <c r="J111" s="214">
        <f>Sheet1!J80</f>
        <v>3000</v>
      </c>
      <c r="K111" s="214">
        <f>Sheet1!K80</f>
        <v>1999.5</v>
      </c>
      <c r="L111" s="214">
        <f>Sheet1!L80</f>
        <v>17995.5</v>
      </c>
      <c r="M111" s="214">
        <f>Sheet1!M80</f>
        <v>5</v>
      </c>
      <c r="N111" s="214">
        <f>Sheet1!N80</f>
        <v>45</v>
      </c>
      <c r="O111" s="214">
        <f>Sheet1!O80</f>
        <v>16999.5</v>
      </c>
      <c r="P111" s="214">
        <f>Sheet1!P80</f>
        <v>152995.50000000003</v>
      </c>
      <c r="Q111" s="214">
        <f>Sheet1!Q80</f>
        <v>0</v>
      </c>
    </row>
    <row r="112" spans="1:17" s="24" customFormat="1" ht="18" customHeight="1">
      <c r="A112" s="87">
        <f>Sheet1!A112</f>
        <v>110</v>
      </c>
      <c r="B112" s="87">
        <f>Sheet1!B112</f>
        <v>0</v>
      </c>
      <c r="C112" s="214" t="str">
        <f>Sheet1!C20</f>
        <v>MRS. PATRICIA ADETUYIBI</v>
      </c>
      <c r="D112" s="214">
        <f>Sheet1!D20</f>
        <v>500000</v>
      </c>
      <c r="E112" s="214">
        <f>Sheet1!E20</f>
        <v>45000</v>
      </c>
      <c r="F112" s="214">
        <f>Sheet1!F20</f>
        <v>566650</v>
      </c>
      <c r="G112" s="214">
        <f>Sheet1!G20</f>
        <v>50</v>
      </c>
      <c r="H112" s="214">
        <f>Sheet1!H20</f>
        <v>11333</v>
      </c>
      <c r="I112" s="214">
        <f>Sheet1!I20</f>
        <v>900</v>
      </c>
      <c r="J112" s="214">
        <f>Sheet1!J20</f>
        <v>10000</v>
      </c>
      <c r="K112" s="214">
        <f>Sheet1!K20</f>
        <v>11700</v>
      </c>
      <c r="L112" s="214">
        <f>Sheet1!L20</f>
        <v>33300</v>
      </c>
      <c r="M112" s="214">
        <f>Sheet1!M20</f>
        <v>13</v>
      </c>
      <c r="N112" s="214">
        <f>Sheet1!N20</f>
        <v>37</v>
      </c>
      <c r="O112" s="214">
        <f>Sheet1!O20</f>
        <v>147329</v>
      </c>
      <c r="P112" s="214">
        <f>Sheet1!P20</f>
        <v>419321</v>
      </c>
      <c r="Q112" s="214">
        <f>Sheet1!Q20</f>
        <v>0</v>
      </c>
    </row>
    <row r="113" spans="1:17" s="24" customFormat="1" ht="18" customHeight="1">
      <c r="A113" s="87">
        <f>Sheet1!A113</f>
        <v>111</v>
      </c>
      <c r="B113" s="87">
        <f>Sheet1!B113</f>
        <v>0</v>
      </c>
      <c r="C113" s="214" t="str">
        <f>Sheet1!C105</f>
        <v>MRS. R. A. OWOADE</v>
      </c>
      <c r="D113" s="214">
        <f>Sheet1!D105</f>
        <v>330000</v>
      </c>
      <c r="E113" s="214">
        <f>Sheet1!E105</f>
        <v>43989</v>
      </c>
      <c r="F113" s="214">
        <f>Sheet1!F105</f>
        <v>373989</v>
      </c>
      <c r="G113" s="214">
        <f>Sheet1!G105</f>
        <v>50</v>
      </c>
      <c r="H113" s="214">
        <f>Sheet1!H105</f>
        <v>7479.78</v>
      </c>
      <c r="I113" s="214">
        <f>Sheet1!I105</f>
        <v>879.78</v>
      </c>
      <c r="J113" s="214">
        <f>Sheet1!J105</f>
        <v>6600</v>
      </c>
      <c r="K113" s="214">
        <f>Sheet1!K105</f>
        <v>26393.399999999998</v>
      </c>
      <c r="L113" s="214">
        <f>Sheet1!L105</f>
        <v>17595.599999999999</v>
      </c>
      <c r="M113" s="214">
        <f>Sheet1!M105</f>
        <v>30</v>
      </c>
      <c r="N113" s="214">
        <f>Sheet1!N105</f>
        <v>20</v>
      </c>
      <c r="O113" s="214">
        <f>Sheet1!O105</f>
        <v>224393.4</v>
      </c>
      <c r="P113" s="214">
        <f>Sheet1!P105</f>
        <v>149595.59999999963</v>
      </c>
      <c r="Q113" s="214">
        <f>Sheet1!Q105</f>
        <v>0</v>
      </c>
    </row>
    <row r="114" spans="1:17" s="24" customFormat="1" ht="18" customHeight="1">
      <c r="A114" s="87">
        <f>Sheet1!A114</f>
        <v>112</v>
      </c>
      <c r="B114" s="87">
        <f>Sheet1!B114</f>
        <v>0</v>
      </c>
      <c r="C114" s="214" t="str">
        <f>Sheet1!C87</f>
        <v>MRS. R. T. LAWAL</v>
      </c>
      <c r="D114" s="214">
        <f>Sheet1!D87</f>
        <v>350000</v>
      </c>
      <c r="E114" s="214">
        <f>Sheet1!E87</f>
        <v>46655</v>
      </c>
      <c r="F114" s="214">
        <f>Sheet1!F87</f>
        <v>373989</v>
      </c>
      <c r="G114" s="214">
        <f>Sheet1!G87</f>
        <v>50</v>
      </c>
      <c r="H114" s="214">
        <f>Sheet1!H87</f>
        <v>7479.78</v>
      </c>
      <c r="I114" s="214">
        <f>Sheet1!I87</f>
        <v>933.1</v>
      </c>
      <c r="J114" s="214">
        <f>Sheet1!J87</f>
        <v>7000</v>
      </c>
      <c r="K114" s="214">
        <f>Sheet1!K87</f>
        <v>2799.3</v>
      </c>
      <c r="L114" s="214">
        <f>Sheet1!L87</f>
        <v>43855.700000000004</v>
      </c>
      <c r="M114" s="214">
        <f>Sheet1!M87</f>
        <v>3</v>
      </c>
      <c r="N114" s="214">
        <f>Sheet1!N87</f>
        <v>47</v>
      </c>
      <c r="O114" s="214">
        <f>Sheet1!O87</f>
        <v>22439.34</v>
      </c>
      <c r="P114" s="214">
        <f>Sheet1!P87</f>
        <v>351549.65999999992</v>
      </c>
      <c r="Q114" s="214">
        <f>Sheet1!Q87</f>
        <v>0</v>
      </c>
    </row>
    <row r="115" spans="1:17" s="24" customFormat="1" ht="18" customHeight="1">
      <c r="A115" s="87">
        <f>Sheet1!A115</f>
        <v>113</v>
      </c>
      <c r="B115" s="87">
        <f>Sheet1!B115</f>
        <v>0</v>
      </c>
      <c r="C115" s="214" t="str">
        <f>Sheet1!C30</f>
        <v>MRS. T. A. MOJEED</v>
      </c>
      <c r="D115" s="214">
        <f>Sheet1!D30</f>
        <v>130000</v>
      </c>
      <c r="E115" s="214">
        <f>Sheet1!E30</f>
        <v>17329</v>
      </c>
      <c r="F115" s="214">
        <f>Sheet1!F30</f>
        <v>169995</v>
      </c>
      <c r="G115" s="214">
        <f>Sheet1!G30</f>
        <v>50</v>
      </c>
      <c r="H115" s="214">
        <f>Sheet1!H30</f>
        <v>3399.9</v>
      </c>
      <c r="I115" s="214">
        <f>Sheet1!I30</f>
        <v>346.58</v>
      </c>
      <c r="J115" s="214">
        <f>Sheet1!J30</f>
        <v>2600</v>
      </c>
      <c r="K115" s="214">
        <f>Sheet1!K30</f>
        <v>346.58</v>
      </c>
      <c r="L115" s="214">
        <f>Sheet1!L30</f>
        <v>16982.419999999998</v>
      </c>
      <c r="M115" s="214">
        <f>Sheet1!M30</f>
        <v>1</v>
      </c>
      <c r="N115" s="214">
        <f>Sheet1!N30</f>
        <v>49</v>
      </c>
      <c r="O115" s="214">
        <f>Sheet1!O30</f>
        <v>282191.69999999995</v>
      </c>
      <c r="P115" s="214">
        <f>Sheet1!P30</f>
        <v>64598.100000000144</v>
      </c>
      <c r="Q115" s="214">
        <f>Sheet1!Q30</f>
        <v>0</v>
      </c>
    </row>
    <row r="116" spans="1:17" s="24" customFormat="1" ht="18" customHeight="1">
      <c r="A116" s="87">
        <f>Sheet1!A116</f>
        <v>114</v>
      </c>
      <c r="B116" s="87">
        <f>Sheet1!B116</f>
        <v>0</v>
      </c>
      <c r="C116" s="214" t="str">
        <f>Sheet1!C29</f>
        <v>MRS. TAIWO O. ADEJUMO</v>
      </c>
      <c r="D116" s="214">
        <f>Sheet1!D29</f>
        <v>330000</v>
      </c>
      <c r="E116" s="214">
        <f>Sheet1!E29</f>
        <v>43989</v>
      </c>
      <c r="F116" s="214">
        <f>Sheet1!F29</f>
        <v>373989</v>
      </c>
      <c r="G116" s="214">
        <f>Sheet1!G29</f>
        <v>50</v>
      </c>
      <c r="H116" s="214">
        <f>Sheet1!H29</f>
        <v>7479.78</v>
      </c>
      <c r="I116" s="214">
        <f>Sheet1!I29</f>
        <v>879.78</v>
      </c>
      <c r="J116" s="214">
        <f>Sheet1!J29</f>
        <v>6600</v>
      </c>
      <c r="K116" s="214">
        <f>Sheet1!K29</f>
        <v>15836.039999999999</v>
      </c>
      <c r="L116" s="214">
        <f>Sheet1!L29</f>
        <v>28152.959999999999</v>
      </c>
      <c r="M116" s="214">
        <f>Sheet1!M29</f>
        <v>18</v>
      </c>
      <c r="N116" s="214">
        <f>Sheet1!N29</f>
        <v>32</v>
      </c>
      <c r="O116" s="214">
        <f>Sheet1!O29</f>
        <v>134636.04</v>
      </c>
      <c r="P116" s="214">
        <f>Sheet1!P29</f>
        <v>239352.95999999961</v>
      </c>
      <c r="Q116" s="214">
        <f>Sheet1!Q29</f>
        <v>0</v>
      </c>
    </row>
    <row r="117" spans="1:17" s="24" customFormat="1">
      <c r="A117" s="87">
        <f>Sheet1!A117</f>
        <v>115</v>
      </c>
      <c r="B117" s="87">
        <f>Sheet1!B117</f>
        <v>0</v>
      </c>
      <c r="C117" s="214" t="str">
        <f>Sheet1!C69</f>
        <v>MRS. V. O. ADEYEMI</v>
      </c>
      <c r="D117" s="214">
        <f>Sheet1!D69</f>
        <v>330000</v>
      </c>
      <c r="E117" s="214">
        <f>Sheet1!E69</f>
        <v>43989</v>
      </c>
      <c r="F117" s="214">
        <f>Sheet1!F69</f>
        <v>373989</v>
      </c>
      <c r="G117" s="214">
        <f>Sheet1!G69</f>
        <v>50</v>
      </c>
      <c r="H117" s="214">
        <f>Sheet1!H69</f>
        <v>7479.78</v>
      </c>
      <c r="I117" s="214">
        <f>Sheet1!I69</f>
        <v>879.78</v>
      </c>
      <c r="J117" s="214">
        <f>Sheet1!J69</f>
        <v>6600</v>
      </c>
      <c r="K117" s="214">
        <f>Sheet1!K69</f>
        <v>11437.14</v>
      </c>
      <c r="L117" s="214">
        <f>Sheet1!L69</f>
        <v>32551.86</v>
      </c>
      <c r="M117" s="214">
        <f>Sheet1!M69</f>
        <v>13</v>
      </c>
      <c r="N117" s="214">
        <f>Sheet1!N69</f>
        <v>37</v>
      </c>
      <c r="O117" s="214">
        <f>Sheet1!O69</f>
        <v>97237.14</v>
      </c>
      <c r="P117" s="214">
        <f>Sheet1!P69</f>
        <v>276751.85999999964</v>
      </c>
      <c r="Q117" s="214">
        <f>Sheet1!Q69</f>
        <v>0</v>
      </c>
    </row>
    <row r="118" spans="1:17" s="24" customFormat="1" ht="18" customHeight="1">
      <c r="A118" s="87">
        <f>Sheet1!A118</f>
        <v>116</v>
      </c>
      <c r="B118" s="87">
        <f>Sheet1!B118</f>
        <v>0</v>
      </c>
      <c r="C118" s="214" t="str">
        <f>Sheet1!C108</f>
        <v>MRS. Y. S. OGUNSIJI</v>
      </c>
      <c r="D118" s="214">
        <f>Sheet1!D108</f>
        <v>150000</v>
      </c>
      <c r="E118" s="214">
        <f>Sheet1!E108</f>
        <v>19995</v>
      </c>
      <c r="F118" s="214">
        <f>Sheet1!F108</f>
        <v>169995</v>
      </c>
      <c r="G118" s="214">
        <f>Sheet1!G108</f>
        <v>50</v>
      </c>
      <c r="H118" s="214">
        <f>Sheet1!H108</f>
        <v>3399.9</v>
      </c>
      <c r="I118" s="214">
        <f>Sheet1!I108</f>
        <v>399.9</v>
      </c>
      <c r="J118" s="214">
        <f>Sheet1!J108</f>
        <v>3000</v>
      </c>
      <c r="K118" s="214">
        <f>Sheet1!K108</f>
        <v>11597.099999999999</v>
      </c>
      <c r="L118" s="214">
        <f>Sheet1!L108</f>
        <v>8397.9</v>
      </c>
      <c r="M118" s="214">
        <f>Sheet1!M108</f>
        <v>29</v>
      </c>
      <c r="N118" s="214">
        <f>Sheet1!N108</f>
        <v>21</v>
      </c>
      <c r="O118" s="214">
        <f>Sheet1!O108</f>
        <v>101996.99999999996</v>
      </c>
      <c r="P118" s="214">
        <f>Sheet1!P108</f>
        <v>71397.900000000169</v>
      </c>
      <c r="Q118" s="214">
        <f>Sheet1!Q108</f>
        <v>0</v>
      </c>
    </row>
    <row r="119" spans="1:17" s="24" customFormat="1" ht="18" customHeight="1">
      <c r="A119" s="87">
        <f>Sheet1!A119</f>
        <v>117</v>
      </c>
      <c r="B119" s="87">
        <f>Sheet1!B119</f>
        <v>0</v>
      </c>
      <c r="C119" s="214" t="str">
        <f>Sheet1!C130</f>
        <v>MUSTAPHA DAUDA</v>
      </c>
      <c r="D119" s="214">
        <f>Sheet1!D130</f>
        <v>330000</v>
      </c>
      <c r="E119" s="214">
        <f>Sheet1!E130</f>
        <v>43989</v>
      </c>
      <c r="F119" s="214">
        <f>Sheet1!F130</f>
        <v>373989</v>
      </c>
      <c r="G119" s="214">
        <f>Sheet1!G130</f>
        <v>50</v>
      </c>
      <c r="H119" s="214">
        <f>Sheet1!H130</f>
        <v>7479.78</v>
      </c>
      <c r="I119" s="214">
        <f>Sheet1!I130</f>
        <v>879.78</v>
      </c>
      <c r="J119" s="214">
        <f>Sheet1!J130</f>
        <v>6600</v>
      </c>
      <c r="K119" s="214">
        <f>Sheet1!K130</f>
        <v>36070.979999999996</v>
      </c>
      <c r="L119" s="214">
        <f>Sheet1!L130</f>
        <v>8797.7999999999993</v>
      </c>
      <c r="M119" s="214">
        <f>Sheet1!M130</f>
        <v>41</v>
      </c>
      <c r="N119" s="214">
        <f>Sheet1!N130</f>
        <v>10</v>
      </c>
      <c r="O119" s="214">
        <f>Sheet1!O130</f>
        <v>299191.20000000013</v>
      </c>
      <c r="P119" s="214">
        <f>Sheet1!P130</f>
        <v>74797.799999999756</v>
      </c>
      <c r="Q119" s="214">
        <f>Sheet1!Q130</f>
        <v>0</v>
      </c>
    </row>
    <row r="120" spans="1:17" s="24" customFormat="1" ht="18" customHeight="1">
      <c r="A120" s="87">
        <f>Sheet1!A120</f>
        <v>118</v>
      </c>
      <c r="B120" s="87">
        <f>Sheet1!B120</f>
        <v>0</v>
      </c>
      <c r="C120" s="214" t="str">
        <f>Sheet1!C92</f>
        <v>O. A. ASOLO</v>
      </c>
      <c r="D120" s="214">
        <f>Sheet1!D92</f>
        <v>150000</v>
      </c>
      <c r="E120" s="214">
        <f>Sheet1!E92</f>
        <v>19995</v>
      </c>
      <c r="F120" s="214">
        <f>Sheet1!F92</f>
        <v>169995</v>
      </c>
      <c r="G120" s="214">
        <f>Sheet1!G92</f>
        <v>50</v>
      </c>
      <c r="H120" s="214">
        <f>Sheet1!H92</f>
        <v>3399.9</v>
      </c>
      <c r="I120" s="214">
        <f>Sheet1!I92</f>
        <v>399.9</v>
      </c>
      <c r="J120" s="214">
        <f>Sheet1!J92</f>
        <v>3000</v>
      </c>
      <c r="K120" s="214">
        <f>Sheet1!K92</f>
        <v>11997</v>
      </c>
      <c r="L120" s="214">
        <f>Sheet1!L92</f>
        <v>7998</v>
      </c>
      <c r="M120" s="214">
        <f>Sheet1!M92</f>
        <v>30</v>
      </c>
      <c r="N120" s="214">
        <f>Sheet1!N92</f>
        <v>20</v>
      </c>
      <c r="O120" s="214">
        <f>Sheet1!O92</f>
        <v>101996.99999999996</v>
      </c>
      <c r="P120" s="214">
        <f>Sheet1!P92</f>
        <v>67998.000000000175</v>
      </c>
      <c r="Q120" s="214">
        <f>Sheet1!Q92</f>
        <v>0</v>
      </c>
    </row>
    <row r="121" spans="1:17" s="24" customFormat="1" ht="18" customHeight="1">
      <c r="A121" s="87">
        <f>Sheet1!A121</f>
        <v>119</v>
      </c>
      <c r="B121" s="87">
        <f>Sheet1!B121</f>
        <v>0</v>
      </c>
      <c r="C121" s="214" t="str">
        <f>Sheet1!C132</f>
        <v>O. ADEWOYIN</v>
      </c>
      <c r="D121" s="214">
        <f>Sheet1!D132</f>
        <v>150000</v>
      </c>
      <c r="E121" s="214">
        <f>Sheet1!E132</f>
        <v>19995</v>
      </c>
      <c r="F121" s="214">
        <f>Sheet1!F132</f>
        <v>169995</v>
      </c>
      <c r="G121" s="214">
        <f>Sheet1!G132</f>
        <v>50</v>
      </c>
      <c r="H121" s="214">
        <f>Sheet1!H132</f>
        <v>3399.9</v>
      </c>
      <c r="I121" s="214">
        <f>Sheet1!I132</f>
        <v>399.9</v>
      </c>
      <c r="J121" s="214">
        <f>Sheet1!J132</f>
        <v>3000</v>
      </c>
      <c r="K121" s="214">
        <f>Sheet1!K132</f>
        <v>11997</v>
      </c>
      <c r="L121" s="214">
        <f>Sheet1!L132</f>
        <v>7998</v>
      </c>
      <c r="M121" s="214">
        <f>Sheet1!M132</f>
        <v>30</v>
      </c>
      <c r="N121" s="214">
        <f>Sheet1!N132</f>
        <v>20</v>
      </c>
      <c r="O121" s="214">
        <f>Sheet1!O132</f>
        <v>105396.89999999995</v>
      </c>
      <c r="P121" s="214">
        <f>Sheet1!P132</f>
        <v>67998.000000000175</v>
      </c>
      <c r="Q121" s="214">
        <f>Sheet1!Q132</f>
        <v>0</v>
      </c>
    </row>
    <row r="122" spans="1:17" s="24" customFormat="1" ht="18" customHeight="1">
      <c r="A122" s="87">
        <f>Sheet1!A122</f>
        <v>120</v>
      </c>
      <c r="B122" s="87">
        <f>Sheet1!B122</f>
        <v>0</v>
      </c>
      <c r="C122" s="214" t="str">
        <f>Sheet1!C15</f>
        <v>O. M. AKINLABI</v>
      </c>
      <c r="D122" s="214">
        <f>Sheet1!D15</f>
        <v>150000</v>
      </c>
      <c r="E122" s="214">
        <f>Sheet1!E15</f>
        <v>19995</v>
      </c>
      <c r="F122" s="214">
        <f>Sheet1!F15</f>
        <v>169995</v>
      </c>
      <c r="G122" s="214">
        <f>Sheet1!G15</f>
        <v>50</v>
      </c>
      <c r="H122" s="214">
        <f>Sheet1!H15</f>
        <v>3399.9</v>
      </c>
      <c r="I122" s="214">
        <f>Sheet1!I15</f>
        <v>399.9</v>
      </c>
      <c r="J122" s="214">
        <f>Sheet1!J15</f>
        <v>3000</v>
      </c>
      <c r="K122" s="214">
        <f>Sheet1!K15</f>
        <v>7598.0999999999995</v>
      </c>
      <c r="L122" s="214">
        <f>Sheet1!L15</f>
        <v>12396.9</v>
      </c>
      <c r="M122" s="214">
        <f>Sheet1!M15</f>
        <v>19</v>
      </c>
      <c r="N122" s="214">
        <f>Sheet1!N15</f>
        <v>31</v>
      </c>
      <c r="O122" s="214">
        <f>Sheet1!O15</f>
        <v>101994.29999999996</v>
      </c>
      <c r="P122" s="214">
        <f>Sheet1!P15</f>
        <v>68000.700000000157</v>
      </c>
      <c r="Q122" s="214">
        <f>Sheet1!Q15</f>
        <v>0</v>
      </c>
    </row>
    <row r="123" spans="1:17" s="24" customFormat="1" ht="18" customHeight="1">
      <c r="A123" s="87">
        <f>Sheet1!A123</f>
        <v>121</v>
      </c>
      <c r="B123" s="87">
        <f>Sheet1!B123</f>
        <v>0</v>
      </c>
      <c r="C123" s="214" t="str">
        <f>Sheet1!C66</f>
        <v>O. O. SUNMONU</v>
      </c>
      <c r="D123" s="214">
        <f>Sheet1!D66</f>
        <v>330000</v>
      </c>
      <c r="E123" s="214">
        <f>Sheet1!E66</f>
        <v>43989</v>
      </c>
      <c r="F123" s="214">
        <f>Sheet1!F66</f>
        <v>373989</v>
      </c>
      <c r="G123" s="214">
        <f>Sheet1!G66</f>
        <v>50</v>
      </c>
      <c r="H123" s="214">
        <f>Sheet1!H66</f>
        <v>7479.78</v>
      </c>
      <c r="I123" s="214">
        <f>Sheet1!I66</f>
        <v>879.78</v>
      </c>
      <c r="J123" s="214">
        <f>Sheet1!J66</f>
        <v>6600</v>
      </c>
      <c r="K123" s="214">
        <f>Sheet1!K66</f>
        <v>26393.399999999998</v>
      </c>
      <c r="L123" s="214">
        <f>Sheet1!L66</f>
        <v>17595.599999999999</v>
      </c>
      <c r="M123" s="214">
        <f>Sheet1!M66</f>
        <v>30</v>
      </c>
      <c r="N123" s="214">
        <f>Sheet1!N66</f>
        <v>20</v>
      </c>
      <c r="O123" s="214">
        <f>Sheet1!O66</f>
        <v>224393.4</v>
      </c>
      <c r="P123" s="214">
        <f>Sheet1!P66</f>
        <v>149595.59999999963</v>
      </c>
      <c r="Q123" s="214">
        <f>Sheet1!Q66</f>
        <v>0</v>
      </c>
    </row>
    <row r="124" spans="1:17" s="24" customFormat="1" ht="18" customHeight="1">
      <c r="A124" s="87">
        <f>Sheet1!A124</f>
        <v>122</v>
      </c>
      <c r="B124" s="87">
        <f>Sheet1!B124</f>
        <v>0</v>
      </c>
      <c r="C124" s="214" t="str">
        <f>Sheet1!C89</f>
        <v>OBASOOTO O. R</v>
      </c>
      <c r="D124" s="214">
        <f>Sheet1!D89</f>
        <v>500000</v>
      </c>
      <c r="E124" s="214">
        <f>Sheet1!E89</f>
        <v>66650</v>
      </c>
      <c r="F124" s="214">
        <f>Sheet1!F89</f>
        <v>424987.5</v>
      </c>
      <c r="G124" s="214">
        <f>Sheet1!G89</f>
        <v>50</v>
      </c>
      <c r="H124" s="214">
        <f>Sheet1!H89</f>
        <v>8499.75</v>
      </c>
      <c r="I124" s="214">
        <f>Sheet1!I89</f>
        <v>1333</v>
      </c>
      <c r="J124" s="214">
        <f>Sheet1!J89</f>
        <v>10000</v>
      </c>
      <c r="K124" s="214">
        <f>Sheet1!K89</f>
        <v>2666</v>
      </c>
      <c r="L124" s="214">
        <f>Sheet1!L89</f>
        <v>65317</v>
      </c>
      <c r="M124" s="214">
        <f>Sheet1!M89</f>
        <v>2</v>
      </c>
      <c r="N124" s="214">
        <f>Sheet1!N89</f>
        <v>49</v>
      </c>
      <c r="O124" s="214">
        <f>Sheet1!O89</f>
        <v>16999.5</v>
      </c>
      <c r="P124" s="214">
        <f>Sheet1!P89</f>
        <v>492985.5</v>
      </c>
      <c r="Q124" s="214">
        <f>Sheet1!Q89</f>
        <v>0</v>
      </c>
    </row>
    <row r="125" spans="1:17" s="24" customFormat="1" ht="18" customHeight="1">
      <c r="A125" s="87">
        <f>Sheet1!A125</f>
        <v>123</v>
      </c>
      <c r="B125" s="87">
        <f>Sheet1!B125</f>
        <v>0</v>
      </c>
      <c r="C125" s="214" t="str">
        <f>Sheet1!C122</f>
        <v>ODUFUWA-ABAYOMI O. A.</v>
      </c>
      <c r="D125" s="214">
        <f>Sheet1!D122</f>
        <v>330000</v>
      </c>
      <c r="E125" s="214">
        <f>Sheet1!E122</f>
        <v>43989</v>
      </c>
      <c r="F125" s="214">
        <f>Sheet1!F122</f>
        <v>373989</v>
      </c>
      <c r="G125" s="214">
        <f>Sheet1!G122</f>
        <v>50</v>
      </c>
      <c r="H125" s="214">
        <f>Sheet1!H122</f>
        <v>7479.78</v>
      </c>
      <c r="I125" s="214">
        <f>Sheet1!I122</f>
        <v>879.78</v>
      </c>
      <c r="J125" s="214">
        <f>Sheet1!J122</f>
        <v>6600</v>
      </c>
      <c r="K125" s="214">
        <f>Sheet1!K122</f>
        <v>36950.76</v>
      </c>
      <c r="L125" s="214">
        <f>Sheet1!L122</f>
        <v>7918.0199999999995</v>
      </c>
      <c r="M125" s="214">
        <f>Sheet1!M122</f>
        <v>42</v>
      </c>
      <c r="N125" s="214">
        <f>Sheet1!N122</f>
        <v>9</v>
      </c>
      <c r="O125" s="214">
        <f>Sheet1!O122</f>
        <v>306670.98000000016</v>
      </c>
      <c r="P125" s="214">
        <f>Sheet1!P122</f>
        <v>67318.019999999815</v>
      </c>
      <c r="Q125" s="214">
        <f>Sheet1!Q122</f>
        <v>0</v>
      </c>
    </row>
    <row r="126" spans="1:17" s="24" customFormat="1" ht="18" customHeight="1">
      <c r="A126" s="87">
        <f>Sheet1!A126</f>
        <v>124</v>
      </c>
      <c r="B126" s="87" t="str">
        <f>Sheet1!B126</f>
        <v>*</v>
      </c>
      <c r="C126" s="214" t="str">
        <f>Sheet1!C126</f>
        <v>OHU ABOSEDE</v>
      </c>
      <c r="D126" s="214">
        <f>Sheet1!D126</f>
        <v>150000</v>
      </c>
      <c r="E126" s="214">
        <f>Sheet1!E126</f>
        <v>19995</v>
      </c>
      <c r="F126" s="214">
        <f>Sheet1!F126</f>
        <v>169995</v>
      </c>
      <c r="G126" s="214">
        <f>Sheet1!G126</f>
        <v>50</v>
      </c>
      <c r="H126" s="214">
        <f>Sheet1!H126</f>
        <v>3399.9</v>
      </c>
      <c r="I126" s="214">
        <f>Sheet1!I126</f>
        <v>399.9</v>
      </c>
      <c r="J126" s="214">
        <f>Sheet1!J126</f>
        <v>3000</v>
      </c>
      <c r="K126" s="214">
        <f>Sheet1!K126</f>
        <v>11597.099999999999</v>
      </c>
      <c r="L126" s="214">
        <f>Sheet1!L126</f>
        <v>8397.9</v>
      </c>
      <c r="M126" s="214">
        <f>Sheet1!M126</f>
        <v>29</v>
      </c>
      <c r="N126" s="214">
        <f>Sheet1!N126</f>
        <v>21</v>
      </c>
      <c r="O126" s="214">
        <f>Sheet1!O126</f>
        <v>101996.99999999996</v>
      </c>
      <c r="P126" s="214">
        <f>Sheet1!P126</f>
        <v>71397.900000000169</v>
      </c>
      <c r="Q126" s="214">
        <f>Sheet1!Q126</f>
        <v>0</v>
      </c>
    </row>
    <row r="127" spans="1:17" s="24" customFormat="1" ht="18" customHeight="1">
      <c r="A127" s="87">
        <f>Sheet1!A127</f>
        <v>125</v>
      </c>
      <c r="B127" s="87">
        <f>Sheet1!B127</f>
        <v>0</v>
      </c>
      <c r="C127" s="214" t="str">
        <f>Sheet1!C73</f>
        <v>OKULAJA A. F., B.</v>
      </c>
      <c r="D127" s="214">
        <f>Sheet1!D73</f>
        <v>330000</v>
      </c>
      <c r="E127" s="214">
        <f>Sheet1!E73</f>
        <v>43989</v>
      </c>
      <c r="F127" s="214">
        <f>Sheet1!F73</f>
        <v>373989</v>
      </c>
      <c r="G127" s="214">
        <f>Sheet1!G73</f>
        <v>50</v>
      </c>
      <c r="H127" s="214">
        <f>Sheet1!H73</f>
        <v>7479.78</v>
      </c>
      <c r="I127" s="214">
        <f>Sheet1!I73</f>
        <v>879.78</v>
      </c>
      <c r="J127" s="214">
        <f>Sheet1!J73</f>
        <v>6600</v>
      </c>
      <c r="K127" s="214">
        <f>Sheet1!K73</f>
        <v>43989</v>
      </c>
      <c r="L127" s="214">
        <f>Sheet1!L73</f>
        <v>879.78</v>
      </c>
      <c r="M127" s="214">
        <f>Sheet1!M73</f>
        <v>50</v>
      </c>
      <c r="N127" s="214">
        <f>Sheet1!N73</f>
        <v>1</v>
      </c>
      <c r="O127" s="214">
        <f>Sheet1!O73</f>
        <v>321630.54000000021</v>
      </c>
      <c r="P127" s="214">
        <f>Sheet1!P73</f>
        <v>89757.360000000015</v>
      </c>
      <c r="Q127" s="214">
        <f>Sheet1!Q73</f>
        <v>0</v>
      </c>
    </row>
    <row r="128" spans="1:17" s="24" customFormat="1" ht="18" customHeight="1">
      <c r="A128" s="87">
        <f>Sheet1!A128</f>
        <v>126</v>
      </c>
      <c r="B128" s="87">
        <f>Sheet1!B128</f>
        <v>0</v>
      </c>
      <c r="C128" s="214" t="str">
        <f>Sheet1!C99</f>
        <v>OLABAMIJI ADETUTU</v>
      </c>
      <c r="D128" s="214">
        <f>Sheet1!D99</f>
        <v>330000</v>
      </c>
      <c r="E128" s="214">
        <f>Sheet1!E99</f>
        <v>43989</v>
      </c>
      <c r="F128" s="214">
        <f>Sheet1!F99</f>
        <v>373989</v>
      </c>
      <c r="G128" s="214">
        <f>Sheet1!G99</f>
        <v>50</v>
      </c>
      <c r="H128" s="214">
        <f>Sheet1!H99</f>
        <v>7479.78</v>
      </c>
      <c r="I128" s="214">
        <f>Sheet1!I99</f>
        <v>879.78</v>
      </c>
      <c r="J128" s="214">
        <f>Sheet1!J99</f>
        <v>6600</v>
      </c>
      <c r="K128" s="214">
        <f>Sheet1!K99</f>
        <v>20234.939999999999</v>
      </c>
      <c r="L128" s="214">
        <f>Sheet1!L99</f>
        <v>23754.059999999998</v>
      </c>
      <c r="M128" s="214">
        <f>Sheet1!M99</f>
        <v>23</v>
      </c>
      <c r="N128" s="214">
        <f>Sheet1!N99</f>
        <v>27</v>
      </c>
      <c r="O128" s="214">
        <f>Sheet1!O99</f>
        <v>172034.94</v>
      </c>
      <c r="P128" s="214">
        <f>Sheet1!P99</f>
        <v>201954.05999999962</v>
      </c>
      <c r="Q128" s="214" t="str">
        <f>Sheet1!Q99</f>
        <v>*</v>
      </c>
    </row>
    <row r="129" spans="1:17" s="24" customFormat="1">
      <c r="A129" s="87">
        <f>Sheet1!A129</f>
        <v>127</v>
      </c>
      <c r="B129" s="87">
        <f>Sheet1!B129</f>
        <v>0</v>
      </c>
      <c r="C129" s="214" t="str">
        <f>Sheet1!C74</f>
        <v>OLAIYAPO I. B.</v>
      </c>
      <c r="D129" s="214">
        <f>Sheet1!D74</f>
        <v>150000</v>
      </c>
      <c r="E129" s="214">
        <f>Sheet1!E74</f>
        <v>19995</v>
      </c>
      <c r="F129" s="214">
        <f>Sheet1!F74</f>
        <v>169995</v>
      </c>
      <c r="G129" s="214">
        <f>Sheet1!G74</f>
        <v>50</v>
      </c>
      <c r="H129" s="214">
        <f>Sheet1!H74</f>
        <v>3399.9</v>
      </c>
      <c r="I129" s="214">
        <f>Sheet1!I74</f>
        <v>399.9</v>
      </c>
      <c r="J129" s="214">
        <f>Sheet1!J74</f>
        <v>3000</v>
      </c>
      <c r="K129" s="214">
        <f>Sheet1!K74</f>
        <v>15196.199999999999</v>
      </c>
      <c r="L129" s="214">
        <f>Sheet1!L74</f>
        <v>5198.7</v>
      </c>
      <c r="M129" s="214">
        <f>Sheet1!M74</f>
        <v>38</v>
      </c>
      <c r="N129" s="214">
        <f>Sheet1!N74</f>
        <v>13</v>
      </c>
      <c r="O129" s="214">
        <f>Sheet1!O74</f>
        <v>125796.2999999999</v>
      </c>
      <c r="P129" s="214">
        <f>Sheet1!P74</f>
        <v>44198.700000000164</v>
      </c>
      <c r="Q129" s="214">
        <f>Sheet1!Q74</f>
        <v>0</v>
      </c>
    </row>
    <row r="130" spans="1:17" s="24" customFormat="1">
      <c r="A130" s="87">
        <f>Sheet1!A130</f>
        <v>128</v>
      </c>
      <c r="B130" s="87">
        <f>Sheet1!B130</f>
        <v>0</v>
      </c>
      <c r="C130" s="214" t="str">
        <f>Sheet1!C41</f>
        <v>OLANIYAN O.</v>
      </c>
      <c r="D130" s="214">
        <f>Sheet1!D41</f>
        <v>330000</v>
      </c>
      <c r="E130" s="214">
        <f>Sheet1!E41</f>
        <v>43989</v>
      </c>
      <c r="F130" s="214">
        <f>Sheet1!F41</f>
        <v>373989</v>
      </c>
      <c r="G130" s="214">
        <f>Sheet1!G41</f>
        <v>50</v>
      </c>
      <c r="H130" s="214">
        <f>Sheet1!H41</f>
        <v>7479.78</v>
      </c>
      <c r="I130" s="214">
        <f>Sheet1!I41</f>
        <v>879.78</v>
      </c>
      <c r="J130" s="214">
        <f>Sheet1!J41</f>
        <v>6600</v>
      </c>
      <c r="K130" s="214">
        <f>Sheet1!K41</f>
        <v>43109.22</v>
      </c>
      <c r="L130" s="214">
        <f>Sheet1!L41</f>
        <v>1759.56</v>
      </c>
      <c r="M130" s="214">
        <f>Sheet1!M41</f>
        <v>49</v>
      </c>
      <c r="N130" s="214">
        <f>Sheet1!N41</f>
        <v>2</v>
      </c>
      <c r="O130" s="214">
        <f>Sheet1!O41</f>
        <v>306670.98000000016</v>
      </c>
      <c r="P130" s="214">
        <f>Sheet1!P41</f>
        <v>0</v>
      </c>
      <c r="Q130" s="214">
        <f>Sheet1!Q41</f>
        <v>0</v>
      </c>
    </row>
    <row r="131" spans="1:17" s="24" customFormat="1">
      <c r="A131" s="87">
        <f>Sheet1!A131</f>
        <v>129</v>
      </c>
      <c r="B131" s="87">
        <f>Sheet1!B131</f>
        <v>0</v>
      </c>
      <c r="C131" s="214" t="str">
        <f>Sheet1!C14</f>
        <v>OLASUNKANMI A.</v>
      </c>
      <c r="D131" s="214">
        <f>Sheet1!D14</f>
        <v>450000</v>
      </c>
      <c r="E131" s="214">
        <f>Sheet1!E14</f>
        <v>59985</v>
      </c>
      <c r="F131" s="214">
        <f>Sheet1!F14</f>
        <v>509985.00000000006</v>
      </c>
      <c r="G131" s="214">
        <f>Sheet1!G14</f>
        <v>50</v>
      </c>
      <c r="H131" s="214">
        <f>Sheet1!H14</f>
        <v>10199.700000000001</v>
      </c>
      <c r="I131" s="214">
        <f>Sheet1!I14</f>
        <v>1199.7</v>
      </c>
      <c r="J131" s="214">
        <f>Sheet1!J14</f>
        <v>9000</v>
      </c>
      <c r="K131" s="214">
        <f>Sheet1!K14</f>
        <v>61184.700000000004</v>
      </c>
      <c r="L131" s="214">
        <f>Sheet1!L14</f>
        <v>0</v>
      </c>
      <c r="M131" s="214">
        <f>Sheet1!M14</f>
        <v>51</v>
      </c>
      <c r="N131" s="214">
        <f>Sheet1!N14</f>
        <v>0</v>
      </c>
      <c r="O131" s="214">
        <f>Sheet1!O14</f>
        <v>438587.10000000038</v>
      </c>
      <c r="P131" s="214">
        <f>Sheet1!P14</f>
        <v>71397.899999999703</v>
      </c>
      <c r="Q131" s="214">
        <f>Sheet1!Q14</f>
        <v>0</v>
      </c>
    </row>
    <row r="132" spans="1:17" s="24" customFormat="1" ht="18" customHeight="1">
      <c r="A132" s="87">
        <f>Sheet1!A132</f>
        <v>130</v>
      </c>
      <c r="B132" s="87">
        <f>Sheet1!B132</f>
        <v>0</v>
      </c>
      <c r="C132" s="214" t="str">
        <f>Sheet1!C28</f>
        <v>OLAWORE MICHEAL F.</v>
      </c>
      <c r="D132" s="214">
        <f>Sheet1!D28</f>
        <v>330000</v>
      </c>
      <c r="E132" s="214">
        <f>Sheet1!E28</f>
        <v>43989</v>
      </c>
      <c r="F132" s="214">
        <f>Sheet1!F28</f>
        <v>373989</v>
      </c>
      <c r="G132" s="214">
        <f>Sheet1!G28</f>
        <v>50</v>
      </c>
      <c r="H132" s="214">
        <f>Sheet1!H28</f>
        <v>7479.78</v>
      </c>
      <c r="I132" s="214">
        <f>Sheet1!I28</f>
        <v>879.78</v>
      </c>
      <c r="J132" s="214">
        <f>Sheet1!J28</f>
        <v>6600</v>
      </c>
      <c r="K132" s="214">
        <f>Sheet1!K28</f>
        <v>38710.32</v>
      </c>
      <c r="L132" s="214">
        <f>Sheet1!L28</f>
        <v>6158.46</v>
      </c>
      <c r="M132" s="214">
        <f>Sheet1!M28</f>
        <v>44</v>
      </c>
      <c r="N132" s="214">
        <f>Sheet1!N28</f>
        <v>7</v>
      </c>
      <c r="O132" s="214">
        <f>Sheet1!O28</f>
        <v>321630.54000000021</v>
      </c>
      <c r="P132" s="214">
        <f>Sheet1!P28</f>
        <v>52358.459999999875</v>
      </c>
      <c r="Q132" s="214">
        <f>Sheet1!Q28</f>
        <v>0</v>
      </c>
    </row>
    <row r="133" spans="1:17" s="24" customFormat="1" ht="18" customHeight="1">
      <c r="A133" s="87">
        <f>Sheet1!A133</f>
        <v>131</v>
      </c>
      <c r="B133" s="87">
        <f>Sheet1!B133</f>
        <v>0</v>
      </c>
      <c r="C133" s="214" t="str">
        <f>Sheet1!C113</f>
        <v>OLAYIWOLA BASIRAT</v>
      </c>
      <c r="D133" s="214">
        <f>Sheet1!D113</f>
        <v>150000</v>
      </c>
      <c r="E133" s="214">
        <f>Sheet1!E113</f>
        <v>19995</v>
      </c>
      <c r="F133" s="214">
        <f>Sheet1!F113</f>
        <v>169995</v>
      </c>
      <c r="G133" s="214">
        <f>Sheet1!G113</f>
        <v>50</v>
      </c>
      <c r="H133" s="214">
        <f>Sheet1!H113</f>
        <v>3399.9</v>
      </c>
      <c r="I133" s="214">
        <f>Sheet1!I113</f>
        <v>399.9</v>
      </c>
      <c r="J133" s="214">
        <f>Sheet1!J113</f>
        <v>3000</v>
      </c>
      <c r="K133" s="214">
        <f>Sheet1!K113</f>
        <v>7198.2</v>
      </c>
      <c r="L133" s="214">
        <f>Sheet1!L113</f>
        <v>12796.8</v>
      </c>
      <c r="M133" s="214">
        <f>Sheet1!M113</f>
        <v>18</v>
      </c>
      <c r="N133" s="214">
        <f>Sheet1!N113</f>
        <v>32</v>
      </c>
      <c r="O133" s="214">
        <f>Sheet1!O113</f>
        <v>61198.200000000019</v>
      </c>
      <c r="P133" s="214">
        <f>Sheet1!P113</f>
        <v>108796.8000000001</v>
      </c>
      <c r="Q133" s="214">
        <f>Sheet1!Q113</f>
        <v>0</v>
      </c>
    </row>
    <row r="134" spans="1:17" s="24" customFormat="1" ht="18" customHeight="1">
      <c r="A134" s="87">
        <f>Sheet1!A134</f>
        <v>132</v>
      </c>
      <c r="B134" s="87">
        <f>Sheet1!B134</f>
        <v>0</v>
      </c>
      <c r="C134" s="214" t="str">
        <f>Sheet1!C27</f>
        <v>OLUSANYA FLORENCE O.</v>
      </c>
      <c r="D134" s="214">
        <f>Sheet1!D27</f>
        <v>450000</v>
      </c>
      <c r="E134" s="214">
        <f>Sheet1!E27</f>
        <v>59985</v>
      </c>
      <c r="F134" s="214">
        <f>Sheet1!F27</f>
        <v>509985.00000000006</v>
      </c>
      <c r="G134" s="214">
        <f>Sheet1!G27</f>
        <v>50</v>
      </c>
      <c r="H134" s="214">
        <f>Sheet1!H27</f>
        <v>10199.700000000001</v>
      </c>
      <c r="I134" s="214">
        <f>Sheet1!I27</f>
        <v>1199.7</v>
      </c>
      <c r="J134" s="214">
        <f>Sheet1!J27</f>
        <v>9000</v>
      </c>
      <c r="K134" s="214">
        <f>Sheet1!K27</f>
        <v>52786.8</v>
      </c>
      <c r="L134" s="214">
        <f>Sheet1!L27</f>
        <v>8397.9</v>
      </c>
      <c r="M134" s="214">
        <f>Sheet1!M27</f>
        <v>44</v>
      </c>
      <c r="N134" s="214">
        <f>Sheet1!N27</f>
        <v>7</v>
      </c>
      <c r="O134" s="214">
        <f>Sheet1!O27</f>
        <v>438687.10000000038</v>
      </c>
      <c r="P134" s="214">
        <f>Sheet1!P27</f>
        <v>71297.899999999703</v>
      </c>
      <c r="Q134" s="214">
        <f>Sheet1!Q27</f>
        <v>0</v>
      </c>
    </row>
    <row r="135" spans="1:17" s="24" customFormat="1" ht="18" customHeight="1">
      <c r="A135" s="87">
        <f>Sheet1!A135</f>
        <v>133</v>
      </c>
      <c r="B135" s="87">
        <f>Sheet1!B135</f>
        <v>0</v>
      </c>
      <c r="C135" s="214" t="str">
        <f>Sheet1!C67</f>
        <v>OWOADE OBEMBE. S.</v>
      </c>
      <c r="D135" s="214">
        <f>Sheet1!D67</f>
        <v>330000</v>
      </c>
      <c r="E135" s="214">
        <f>Sheet1!E67</f>
        <v>43989</v>
      </c>
      <c r="F135" s="214">
        <f>Sheet1!F67</f>
        <v>373989</v>
      </c>
      <c r="G135" s="214">
        <f>Sheet1!G67</f>
        <v>50</v>
      </c>
      <c r="H135" s="214">
        <f>Sheet1!H67</f>
        <v>7479.78</v>
      </c>
      <c r="I135" s="214">
        <f>Sheet1!I67</f>
        <v>879.78</v>
      </c>
      <c r="J135" s="214">
        <f>Sheet1!J67</f>
        <v>6600</v>
      </c>
      <c r="K135" s="214">
        <f>Sheet1!K67</f>
        <v>33431.64</v>
      </c>
      <c r="L135" s="214">
        <f>Sheet1!L67</f>
        <v>11437.14</v>
      </c>
      <c r="M135" s="214">
        <f>Sheet1!M67</f>
        <v>38</v>
      </c>
      <c r="N135" s="214">
        <f>Sheet1!N67</f>
        <v>13</v>
      </c>
      <c r="O135" s="214">
        <f>Sheet1!O67</f>
        <v>276754.26</v>
      </c>
      <c r="P135" s="214">
        <f>Sheet1!P67</f>
        <v>97234.740000000078</v>
      </c>
      <c r="Q135" s="214">
        <f>Sheet1!Q67</f>
        <v>0</v>
      </c>
    </row>
    <row r="136" spans="1:17" s="24" customFormat="1" ht="18" customHeight="1">
      <c r="A136" s="87">
        <f>Sheet1!A136</f>
        <v>134</v>
      </c>
      <c r="B136" s="87">
        <f>Sheet1!B136</f>
        <v>0</v>
      </c>
      <c r="C136" s="214" t="str">
        <f>Sheet1!C82</f>
        <v>OYEJIDE F. O.</v>
      </c>
      <c r="D136" s="214">
        <f>Sheet1!D82</f>
        <v>450000</v>
      </c>
      <c r="E136" s="214">
        <f>Sheet1!E82</f>
        <v>59985</v>
      </c>
      <c r="F136" s="214">
        <f>Sheet1!F82</f>
        <v>509494.5</v>
      </c>
      <c r="G136" s="214">
        <f>Sheet1!G82</f>
        <v>50</v>
      </c>
      <c r="H136" s="214">
        <f>Sheet1!H82</f>
        <v>10189.89</v>
      </c>
      <c r="I136" s="214">
        <f>Sheet1!I82</f>
        <v>1199.7</v>
      </c>
      <c r="J136" s="214">
        <f>Sheet1!J82</f>
        <v>9000</v>
      </c>
      <c r="K136" s="214">
        <f>Sheet1!K82</f>
        <v>61184.700000000004</v>
      </c>
      <c r="L136" s="214">
        <f>Sheet1!L82</f>
        <v>0</v>
      </c>
      <c r="M136" s="214">
        <f>Sheet1!M82</f>
        <v>51</v>
      </c>
      <c r="N136" s="214">
        <f>Sheet1!N82</f>
        <v>0</v>
      </c>
      <c r="O136" s="214">
        <f>Sheet1!O82</f>
        <v>438595.49000000034</v>
      </c>
      <c r="P136" s="214">
        <f>Sheet1!P82</f>
        <v>71399.509999999733</v>
      </c>
      <c r="Q136" s="214">
        <f>Sheet1!Q82</f>
        <v>0</v>
      </c>
    </row>
    <row r="137" spans="1:17" s="24" customFormat="1" ht="18" customHeight="1">
      <c r="A137" s="87">
        <f>Sheet1!A137</f>
        <v>135</v>
      </c>
      <c r="B137" s="87">
        <f>Sheet1!B137</f>
        <v>0</v>
      </c>
      <c r="C137" s="214" t="str">
        <f>Sheet1!C136</f>
        <v>R. K. AREMU</v>
      </c>
      <c r="D137" s="214">
        <f>Sheet1!D136</f>
        <v>330000</v>
      </c>
      <c r="E137" s="214">
        <f>Sheet1!E136</f>
        <v>43989</v>
      </c>
      <c r="F137" s="214">
        <f>Sheet1!F136</f>
        <v>373989</v>
      </c>
      <c r="G137" s="214">
        <f>Sheet1!G136</f>
        <v>50</v>
      </c>
      <c r="H137" s="214">
        <f>Sheet1!H136</f>
        <v>7479.78</v>
      </c>
      <c r="I137" s="214">
        <f>Sheet1!I136</f>
        <v>879.78</v>
      </c>
      <c r="J137" s="214">
        <f>Sheet1!J136</f>
        <v>6600</v>
      </c>
      <c r="K137" s="214">
        <f>Sheet1!K136</f>
        <v>26393.399999999998</v>
      </c>
      <c r="L137" s="214">
        <f>Sheet1!L136</f>
        <v>17595.599999999999</v>
      </c>
      <c r="M137" s="214">
        <f>Sheet1!M136</f>
        <v>30</v>
      </c>
      <c r="N137" s="214">
        <f>Sheet1!N136</f>
        <v>20</v>
      </c>
      <c r="O137" s="214">
        <f>Sheet1!O136</f>
        <v>224393.4</v>
      </c>
      <c r="P137" s="214">
        <f>Sheet1!P136</f>
        <v>149595.59999999963</v>
      </c>
      <c r="Q137" s="214">
        <f>Sheet1!Q136</f>
        <v>0</v>
      </c>
    </row>
    <row r="138" spans="1:17" s="24" customFormat="1" ht="18" customHeight="1">
      <c r="A138" s="87">
        <f>Sheet1!A138</f>
        <v>136</v>
      </c>
      <c r="B138" s="87">
        <f>Sheet1!B138</f>
        <v>0</v>
      </c>
      <c r="C138" s="214" t="str">
        <f>Sheet1!C54</f>
        <v>SAFIU-OLALERE S, K</v>
      </c>
      <c r="D138" s="214">
        <f>Sheet1!D54</f>
        <v>330000</v>
      </c>
      <c r="E138" s="214">
        <f>Sheet1!E54</f>
        <v>43989</v>
      </c>
      <c r="F138" s="214">
        <f>Sheet1!F54</f>
        <v>373989</v>
      </c>
      <c r="G138" s="214">
        <f>Sheet1!G54</f>
        <v>50</v>
      </c>
      <c r="H138" s="214">
        <f>Sheet1!H54</f>
        <v>7479.78</v>
      </c>
      <c r="I138" s="214">
        <f>Sheet1!I54</f>
        <v>879.78</v>
      </c>
      <c r="J138" s="214">
        <f>Sheet1!J54</f>
        <v>6600</v>
      </c>
      <c r="K138" s="214">
        <f>Sheet1!K54</f>
        <v>25513.62</v>
      </c>
      <c r="L138" s="214">
        <f>Sheet1!L54</f>
        <v>18475.38</v>
      </c>
      <c r="M138" s="214">
        <f>Sheet1!M54</f>
        <v>29</v>
      </c>
      <c r="N138" s="214">
        <f>Sheet1!N54</f>
        <v>21</v>
      </c>
      <c r="O138" s="214">
        <f>Sheet1!O54</f>
        <v>216913.62</v>
      </c>
      <c r="P138" s="214">
        <f>Sheet1!P54</f>
        <v>157075.37999999963</v>
      </c>
      <c r="Q138" s="214">
        <f>Sheet1!Q54</f>
        <v>0</v>
      </c>
    </row>
    <row r="139" spans="1:17" s="24" customFormat="1" ht="18" customHeight="1">
      <c r="A139" s="87">
        <f>Sheet1!A139</f>
        <v>137</v>
      </c>
      <c r="B139" s="87">
        <f>Sheet1!B139</f>
        <v>0</v>
      </c>
      <c r="C139" s="214" t="str">
        <f>Sheet1!C128</f>
        <v>SODEINDE MOSES</v>
      </c>
      <c r="D139" s="214">
        <f>Sheet1!D128</f>
        <v>150000</v>
      </c>
      <c r="E139" s="214">
        <f>Sheet1!E128</f>
        <v>19995</v>
      </c>
      <c r="F139" s="214">
        <f>Sheet1!F128</f>
        <v>169995</v>
      </c>
      <c r="G139" s="214">
        <f>Sheet1!G128</f>
        <v>50</v>
      </c>
      <c r="H139" s="214">
        <f>Sheet1!H128</f>
        <v>3399.9</v>
      </c>
      <c r="I139" s="214">
        <f>Sheet1!I128</f>
        <v>399.9</v>
      </c>
      <c r="J139" s="214">
        <f>Sheet1!J128</f>
        <v>3000</v>
      </c>
      <c r="K139" s="214">
        <f>Sheet1!K128</f>
        <v>399.9</v>
      </c>
      <c r="L139" s="214">
        <f>Sheet1!L128</f>
        <v>19595.099999999999</v>
      </c>
      <c r="M139" s="214">
        <f>Sheet1!M128</f>
        <v>1</v>
      </c>
      <c r="N139" s="214">
        <f>Sheet1!N128</f>
        <v>49</v>
      </c>
      <c r="O139" s="214">
        <f>Sheet1!O128</f>
        <v>10199.700000000001</v>
      </c>
      <c r="P139" s="214">
        <f>Sheet1!P128</f>
        <v>159795.30000000002</v>
      </c>
      <c r="Q139" s="214">
        <f>Sheet1!Q128</f>
        <v>0</v>
      </c>
    </row>
    <row r="140" spans="1:17" s="24" customFormat="1" ht="18" customHeight="1">
      <c r="A140" s="87">
        <f>Sheet1!A140</f>
        <v>138</v>
      </c>
      <c r="B140" s="87">
        <f>Sheet1!B140</f>
        <v>0</v>
      </c>
      <c r="C140" s="214" t="str">
        <f>Sheet1!C57</f>
        <v>TIJANI S. D.</v>
      </c>
      <c r="D140" s="214">
        <f>Sheet1!D57</f>
        <v>330000</v>
      </c>
      <c r="E140" s="214">
        <f>Sheet1!E57</f>
        <v>43989</v>
      </c>
      <c r="F140" s="214">
        <f>Sheet1!F57</f>
        <v>273993</v>
      </c>
      <c r="G140" s="214">
        <f>Sheet1!G57</f>
        <v>50</v>
      </c>
      <c r="H140" s="214">
        <f>Sheet1!H57</f>
        <v>5479.86</v>
      </c>
      <c r="I140" s="214">
        <f>Sheet1!I57</f>
        <v>879.78</v>
      </c>
      <c r="J140" s="214">
        <f>Sheet1!J57</f>
        <v>6600</v>
      </c>
      <c r="K140" s="214">
        <f>Sheet1!K57</f>
        <v>43989</v>
      </c>
      <c r="L140" s="214">
        <f>Sheet1!L57</f>
        <v>879.78</v>
      </c>
      <c r="M140" s="214">
        <f>Sheet1!M57</f>
        <v>50</v>
      </c>
      <c r="N140" s="214">
        <f>Sheet1!N57</f>
        <v>1</v>
      </c>
      <c r="O140" s="214">
        <f>Sheet1!O57</f>
        <v>319630.62000000017</v>
      </c>
      <c r="P140" s="214">
        <f>Sheet1!P57</f>
        <v>66797.719999999958</v>
      </c>
      <c r="Q140" s="214">
        <f>Sheet1!Q57</f>
        <v>0</v>
      </c>
    </row>
    <row r="141" spans="1:17" s="24" customFormat="1" ht="18" customHeight="1">
      <c r="A141" s="87"/>
      <c r="B141" s="87"/>
      <c r="C141" s="214">
        <f>Sheet1!C141</f>
        <v>0</v>
      </c>
      <c r="D141" s="214">
        <f>Sheet1!D141</f>
        <v>0</v>
      </c>
      <c r="E141" s="214">
        <f>Sheet1!E141</f>
        <v>0</v>
      </c>
      <c r="F141" s="214">
        <f>Sheet1!F141</f>
        <v>0</v>
      </c>
      <c r="G141" s="214">
        <f>Sheet1!G141</f>
        <v>0</v>
      </c>
      <c r="H141" s="214">
        <f>Sheet1!H141</f>
        <v>1045244.6500000019</v>
      </c>
      <c r="I141" s="214">
        <f>Sheet1!I141</f>
        <v>0</v>
      </c>
      <c r="J141" s="214">
        <f>Sheet1!J141</f>
        <v>0</v>
      </c>
      <c r="K141" s="214">
        <f>Sheet1!K141</f>
        <v>0</v>
      </c>
      <c r="L141" s="214">
        <f>Sheet1!L141</f>
        <v>0</v>
      </c>
      <c r="M141" s="214">
        <f>Sheet1!M141</f>
        <v>0</v>
      </c>
      <c r="N141" s="214">
        <f>Sheet1!N141</f>
        <v>0</v>
      </c>
      <c r="O141" s="214">
        <f>Sheet1!O141</f>
        <v>20008860.199999996</v>
      </c>
      <c r="P141" s="214">
        <f>Sheet1!P141</f>
        <v>30758542.639999993</v>
      </c>
      <c r="Q141" s="214">
        <f>Sheet1!Q141</f>
        <v>0</v>
      </c>
    </row>
  </sheetData>
  <sortState ref="C3:Q140">
    <sortCondition ref="C3:C140"/>
  </sortState>
  <mergeCells count="1">
    <mergeCell ref="A1:Q1"/>
  </mergeCells>
  <pageMargins left="0.7" right="0.7" top="0.75" bottom="0.75" header="0.3" footer="0.3"/>
  <pageSetup paperSize="9" scale="5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62"/>
  <sheetViews>
    <sheetView topLeftCell="A358" workbookViewId="0">
      <selection activeCell="E106" sqref="E106:F117"/>
    </sheetView>
  </sheetViews>
  <sheetFormatPr defaultRowHeight="15"/>
  <cols>
    <col min="1" max="1" width="30.7109375" style="24" bestFit="1" customWidth="1"/>
    <col min="2" max="2" width="13.140625" style="24" bestFit="1" customWidth="1"/>
    <col min="3" max="3" width="4.42578125" style="24" bestFit="1" customWidth="1"/>
    <col min="4" max="4" width="3.7109375" style="44" bestFit="1" customWidth="1"/>
    <col min="5" max="5" width="27.140625" style="24" customWidth="1"/>
    <col min="6" max="6" width="13.140625" style="19" bestFit="1" customWidth="1"/>
    <col min="7" max="7" width="9.140625" style="24"/>
  </cols>
  <sheetData>
    <row r="1" spans="1:6">
      <c r="A1" s="39" t="s">
        <v>1</v>
      </c>
      <c r="B1" s="54" t="s">
        <v>2</v>
      </c>
      <c r="C1" s="55" t="s">
        <v>0</v>
      </c>
      <c r="D1" s="56" t="s">
        <v>301</v>
      </c>
      <c r="E1" s="55" t="s">
        <v>302</v>
      </c>
      <c r="F1" s="57" t="s">
        <v>394</v>
      </c>
    </row>
    <row r="2" spans="1:6">
      <c r="A2" s="33" t="s">
        <v>461</v>
      </c>
      <c r="B2" s="52">
        <v>11333</v>
      </c>
      <c r="C2" s="55">
        <v>1</v>
      </c>
      <c r="D2" s="56">
        <v>0</v>
      </c>
      <c r="E2" s="58" t="s">
        <v>456</v>
      </c>
      <c r="F2" s="52">
        <v>11333</v>
      </c>
    </row>
    <row r="3" spans="1:6">
      <c r="A3" s="33" t="s">
        <v>3</v>
      </c>
      <c r="B3" s="52">
        <v>10199.700000000001</v>
      </c>
      <c r="C3" s="55">
        <v>2</v>
      </c>
      <c r="D3" s="56">
        <v>0</v>
      </c>
      <c r="E3" s="58" t="s">
        <v>3</v>
      </c>
      <c r="F3" s="52">
        <v>10199.700000000001</v>
      </c>
    </row>
    <row r="4" spans="1:6">
      <c r="A4" s="33" t="s">
        <v>184</v>
      </c>
      <c r="B4" s="52">
        <v>10199.700000000001</v>
      </c>
      <c r="C4" s="55">
        <v>3</v>
      </c>
      <c r="D4" s="56">
        <v>0</v>
      </c>
      <c r="E4" s="58" t="s">
        <v>184</v>
      </c>
      <c r="F4" s="52">
        <v>10199.700000000001</v>
      </c>
    </row>
    <row r="5" spans="1:6">
      <c r="A5" s="33" t="s">
        <v>4</v>
      </c>
      <c r="B5" s="52">
        <v>10199.700000000001</v>
      </c>
      <c r="C5" s="55">
        <v>4</v>
      </c>
      <c r="D5" s="56">
        <v>0</v>
      </c>
      <c r="E5" s="58" t="s">
        <v>4</v>
      </c>
      <c r="F5" s="52">
        <v>10199.700000000001</v>
      </c>
    </row>
    <row r="6" spans="1:6">
      <c r="A6" s="33" t="s">
        <v>185</v>
      </c>
      <c r="B6" s="52">
        <v>7479.78</v>
      </c>
      <c r="C6" s="55">
        <v>6</v>
      </c>
      <c r="D6" s="56">
        <v>0</v>
      </c>
      <c r="E6" s="58" t="s">
        <v>185</v>
      </c>
      <c r="F6" s="52">
        <v>7479.78</v>
      </c>
    </row>
    <row r="7" spans="1:6">
      <c r="A7" s="33" t="s">
        <v>7</v>
      </c>
      <c r="B7" s="52">
        <v>7479.78</v>
      </c>
      <c r="C7" s="55">
        <v>7</v>
      </c>
      <c r="D7" s="56">
        <v>0</v>
      </c>
      <c r="E7" s="58" t="s">
        <v>7</v>
      </c>
      <c r="F7" s="52">
        <v>7479.78</v>
      </c>
    </row>
    <row r="8" spans="1:6">
      <c r="A8" s="33" t="s">
        <v>186</v>
      </c>
      <c r="B8" s="52">
        <v>7479.78</v>
      </c>
      <c r="C8" s="55">
        <v>8</v>
      </c>
      <c r="D8" s="56">
        <v>0</v>
      </c>
      <c r="E8" s="58" t="s">
        <v>186</v>
      </c>
      <c r="F8" s="52">
        <v>7479.78</v>
      </c>
    </row>
    <row r="9" spans="1:6">
      <c r="A9" s="33" t="s">
        <v>447</v>
      </c>
      <c r="B9" s="52">
        <v>7479.78</v>
      </c>
      <c r="C9" s="55">
        <v>9</v>
      </c>
      <c r="D9" s="56">
        <v>0</v>
      </c>
      <c r="E9" s="58" t="s">
        <v>447</v>
      </c>
      <c r="F9" s="52">
        <v>7479.78</v>
      </c>
    </row>
    <row r="10" spans="1:6">
      <c r="A10" s="33" t="s">
        <v>187</v>
      </c>
      <c r="B10" s="52">
        <v>7479.78</v>
      </c>
      <c r="C10" s="55">
        <v>10</v>
      </c>
      <c r="D10" s="56">
        <v>0</v>
      </c>
      <c r="E10" s="58" t="s">
        <v>187</v>
      </c>
      <c r="F10" s="52">
        <v>7479.78</v>
      </c>
    </row>
    <row r="11" spans="1:6">
      <c r="A11" s="33" t="s">
        <v>10</v>
      </c>
      <c r="B11" s="52">
        <v>3399.9</v>
      </c>
      <c r="C11" s="55">
        <v>11</v>
      </c>
      <c r="D11" s="56">
        <v>0</v>
      </c>
      <c r="E11" s="58" t="s">
        <v>10</v>
      </c>
      <c r="F11" s="52">
        <v>3399.9</v>
      </c>
    </row>
    <row r="12" spans="1:6">
      <c r="A12" s="33" t="s">
        <v>12</v>
      </c>
      <c r="B12" s="52">
        <v>1699.95</v>
      </c>
      <c r="C12" s="55">
        <v>12</v>
      </c>
      <c r="D12" s="56">
        <v>0</v>
      </c>
      <c r="E12" s="58" t="s">
        <v>12</v>
      </c>
      <c r="F12" s="52">
        <v>1699.95</v>
      </c>
    </row>
    <row r="13" spans="1:6">
      <c r="A13" s="33" t="s">
        <v>188</v>
      </c>
      <c r="B13" s="52">
        <v>7479.78</v>
      </c>
      <c r="C13" s="55">
        <v>13</v>
      </c>
      <c r="D13" s="56">
        <v>0</v>
      </c>
      <c r="E13" s="58" t="s">
        <v>380</v>
      </c>
      <c r="F13" s="52">
        <v>7479.78</v>
      </c>
    </row>
    <row r="14" spans="1:6">
      <c r="A14" s="33" t="s">
        <v>299</v>
      </c>
      <c r="B14" s="52">
        <v>7479.78</v>
      </c>
      <c r="C14" s="55">
        <v>14</v>
      </c>
      <c r="D14" s="56">
        <v>0</v>
      </c>
      <c r="E14" s="58" t="s">
        <v>188</v>
      </c>
      <c r="F14" s="52">
        <v>7479.78</v>
      </c>
    </row>
    <row r="15" spans="1:6">
      <c r="A15" s="33" t="s">
        <v>189</v>
      </c>
      <c r="B15" s="52">
        <v>3399.9</v>
      </c>
      <c r="C15" s="55">
        <v>16</v>
      </c>
      <c r="D15" s="56">
        <v>0</v>
      </c>
      <c r="E15" s="58" t="s">
        <v>189</v>
      </c>
      <c r="F15" s="52">
        <v>3399.9</v>
      </c>
    </row>
    <row r="16" spans="1:6">
      <c r="A16" s="33" t="s">
        <v>190</v>
      </c>
      <c r="B16" s="52">
        <v>7479.78</v>
      </c>
      <c r="C16" s="55">
        <v>17</v>
      </c>
      <c r="D16" s="56">
        <v>0</v>
      </c>
      <c r="E16" s="58" t="s">
        <v>190</v>
      </c>
      <c r="F16" s="52">
        <v>7479.78</v>
      </c>
    </row>
    <row r="17" spans="1:6">
      <c r="A17" s="33" t="s">
        <v>191</v>
      </c>
      <c r="B17" s="52">
        <v>7479.78</v>
      </c>
      <c r="C17" s="55">
        <v>18</v>
      </c>
      <c r="D17" s="56">
        <v>0</v>
      </c>
      <c r="E17" s="58" t="s">
        <v>191</v>
      </c>
      <c r="F17" s="52">
        <v>7479.78</v>
      </c>
    </row>
    <row r="18" spans="1:6">
      <c r="A18" s="33" t="s">
        <v>18</v>
      </c>
      <c r="B18" s="52">
        <v>3399.9</v>
      </c>
      <c r="C18" s="55">
        <v>19</v>
      </c>
      <c r="D18" s="56">
        <v>0</v>
      </c>
      <c r="E18" s="58" t="s">
        <v>18</v>
      </c>
      <c r="F18" s="52">
        <v>3399.9</v>
      </c>
    </row>
    <row r="19" spans="1:6">
      <c r="A19" s="33" t="s">
        <v>192</v>
      </c>
      <c r="B19" s="52">
        <v>10199.700000000001</v>
      </c>
      <c r="C19" s="55">
        <v>20</v>
      </c>
      <c r="D19" s="56">
        <v>0</v>
      </c>
      <c r="E19" s="58" t="s">
        <v>192</v>
      </c>
      <c r="F19" s="52">
        <v>10199.700000000001</v>
      </c>
    </row>
    <row r="20" spans="1:6">
      <c r="A20" s="33" t="s">
        <v>193</v>
      </c>
      <c r="B20" s="52">
        <v>11333</v>
      </c>
      <c r="C20" s="55">
        <v>21</v>
      </c>
      <c r="D20" s="56">
        <v>0</v>
      </c>
      <c r="E20" s="58" t="s">
        <v>193</v>
      </c>
      <c r="F20" s="52">
        <v>11333</v>
      </c>
    </row>
    <row r="21" spans="1:6">
      <c r="A21" s="33" t="s">
        <v>420</v>
      </c>
      <c r="B21" s="52">
        <v>11333</v>
      </c>
      <c r="C21" s="55">
        <v>22</v>
      </c>
      <c r="D21" s="56">
        <v>0</v>
      </c>
      <c r="E21" s="58" t="s">
        <v>179</v>
      </c>
      <c r="F21" s="52">
        <v>11333</v>
      </c>
    </row>
    <row r="22" spans="1:6">
      <c r="A22" s="33" t="s">
        <v>179</v>
      </c>
      <c r="B22" s="52">
        <v>11333</v>
      </c>
      <c r="C22" s="55">
        <v>23</v>
      </c>
      <c r="D22" s="56">
        <v>0</v>
      </c>
      <c r="E22" s="58" t="s">
        <v>406</v>
      </c>
      <c r="F22" s="52">
        <v>11333</v>
      </c>
    </row>
    <row r="23" spans="1:6">
      <c r="A23" s="33" t="s">
        <v>194</v>
      </c>
      <c r="B23" s="52">
        <v>11333</v>
      </c>
      <c r="C23" s="55">
        <v>24</v>
      </c>
      <c r="D23" s="56">
        <v>0</v>
      </c>
      <c r="E23" s="58" t="s">
        <v>194</v>
      </c>
      <c r="F23" s="52">
        <v>11333</v>
      </c>
    </row>
    <row r="24" spans="1:6">
      <c r="A24" s="33" t="s">
        <v>195</v>
      </c>
      <c r="B24" s="52">
        <v>11333</v>
      </c>
      <c r="C24" s="55">
        <v>25</v>
      </c>
      <c r="D24" s="56">
        <v>0</v>
      </c>
      <c r="E24" s="58" t="s">
        <v>195</v>
      </c>
      <c r="F24" s="52">
        <v>11333</v>
      </c>
    </row>
    <row r="25" spans="1:6">
      <c r="A25" s="33" t="s">
        <v>23</v>
      </c>
      <c r="B25" s="52">
        <v>10199.700000000001</v>
      </c>
      <c r="C25" s="55">
        <v>26</v>
      </c>
      <c r="D25" s="56">
        <v>0</v>
      </c>
      <c r="E25" s="58" t="s">
        <v>23</v>
      </c>
      <c r="F25" s="52">
        <v>10199.700000000001</v>
      </c>
    </row>
    <row r="26" spans="1:6">
      <c r="A26" s="33" t="s">
        <v>196</v>
      </c>
      <c r="B26" s="52">
        <v>10199.700000000001</v>
      </c>
      <c r="C26" s="55">
        <v>27</v>
      </c>
      <c r="D26" s="56">
        <v>0</v>
      </c>
      <c r="E26" s="58" t="s">
        <v>196</v>
      </c>
      <c r="F26" s="52">
        <v>10199.700000000001</v>
      </c>
    </row>
    <row r="27" spans="1:6">
      <c r="A27" s="33" t="s">
        <v>421</v>
      </c>
      <c r="B27" s="52">
        <v>7479.78</v>
      </c>
      <c r="C27" s="55">
        <v>28</v>
      </c>
      <c r="D27" s="56">
        <v>0</v>
      </c>
      <c r="E27" s="58" t="s">
        <v>407</v>
      </c>
      <c r="F27" s="52">
        <v>7479.78</v>
      </c>
    </row>
    <row r="28" spans="1:6">
      <c r="A28" s="33" t="s">
        <v>422</v>
      </c>
      <c r="B28" s="52">
        <v>3399.9</v>
      </c>
      <c r="C28" s="55">
        <v>29</v>
      </c>
      <c r="D28" s="56">
        <v>0</v>
      </c>
      <c r="E28" s="58" t="s">
        <v>408</v>
      </c>
      <c r="F28" s="52">
        <v>3399.9</v>
      </c>
    </row>
    <row r="29" spans="1:6">
      <c r="A29" s="33" t="s">
        <v>198</v>
      </c>
      <c r="B29" s="52">
        <v>10199.700000000001</v>
      </c>
      <c r="C29" s="55">
        <v>30</v>
      </c>
      <c r="D29" s="56">
        <v>0</v>
      </c>
      <c r="E29" s="58" t="s">
        <v>198</v>
      </c>
      <c r="F29" s="52">
        <v>10199.700000000001</v>
      </c>
    </row>
    <row r="30" spans="1:6">
      <c r="A30" s="33" t="s">
        <v>199</v>
      </c>
      <c r="B30" s="52">
        <v>7479.78</v>
      </c>
      <c r="C30" s="55">
        <v>31</v>
      </c>
      <c r="D30" s="56">
        <v>0</v>
      </c>
      <c r="E30" s="58" t="s">
        <v>199</v>
      </c>
      <c r="F30" s="52">
        <v>7479.78</v>
      </c>
    </row>
    <row r="31" spans="1:6">
      <c r="A31" s="33" t="s">
        <v>200</v>
      </c>
      <c r="B31" s="52">
        <v>7479.78</v>
      </c>
      <c r="C31" s="55">
        <v>32</v>
      </c>
      <c r="D31" s="56">
        <v>0</v>
      </c>
      <c r="E31" s="58" t="s">
        <v>200</v>
      </c>
      <c r="F31" s="52">
        <v>7479.78</v>
      </c>
    </row>
    <row r="32" spans="1:6">
      <c r="A32" s="33" t="s">
        <v>201</v>
      </c>
      <c r="B32" s="52">
        <v>7479.78</v>
      </c>
      <c r="C32" s="55">
        <v>33</v>
      </c>
      <c r="D32" s="56">
        <v>0</v>
      </c>
      <c r="E32" s="58" t="s">
        <v>201</v>
      </c>
      <c r="F32" s="52">
        <v>7479.78</v>
      </c>
    </row>
    <row r="33" spans="1:6">
      <c r="A33" s="33" t="s">
        <v>202</v>
      </c>
      <c r="B33" s="52">
        <v>7479.78</v>
      </c>
      <c r="C33" s="55">
        <v>34</v>
      </c>
      <c r="D33" s="56">
        <v>0</v>
      </c>
      <c r="E33" s="58" t="s">
        <v>202</v>
      </c>
      <c r="F33" s="52">
        <v>7479.78</v>
      </c>
    </row>
    <row r="34" spans="1:6">
      <c r="A34" s="33" t="s">
        <v>203</v>
      </c>
      <c r="B34" s="52">
        <v>7479.78</v>
      </c>
      <c r="C34" s="55">
        <v>35</v>
      </c>
      <c r="D34" s="56">
        <v>0</v>
      </c>
      <c r="E34" s="58" t="s">
        <v>203</v>
      </c>
      <c r="F34" s="52">
        <v>7479.78</v>
      </c>
    </row>
    <row r="35" spans="1:6">
      <c r="A35" s="33" t="s">
        <v>170</v>
      </c>
      <c r="B35" s="52">
        <v>3399.9</v>
      </c>
      <c r="C35" s="55">
        <v>36</v>
      </c>
      <c r="D35" s="56">
        <v>0</v>
      </c>
      <c r="E35" s="58" t="s">
        <v>170</v>
      </c>
      <c r="F35" s="52">
        <v>3399.9</v>
      </c>
    </row>
    <row r="36" spans="1:6">
      <c r="A36" s="33" t="s">
        <v>402</v>
      </c>
      <c r="B36" s="52">
        <v>3399.9</v>
      </c>
      <c r="C36" s="55">
        <v>37</v>
      </c>
      <c r="D36" s="56">
        <v>0</v>
      </c>
      <c r="E36" s="58" t="s">
        <v>398</v>
      </c>
      <c r="F36" s="52">
        <v>3399.9</v>
      </c>
    </row>
    <row r="37" spans="1:6">
      <c r="A37" s="33" t="s">
        <v>204</v>
      </c>
      <c r="B37" s="52">
        <v>3399.9</v>
      </c>
      <c r="C37" s="55">
        <v>38</v>
      </c>
      <c r="D37" s="56">
        <v>0</v>
      </c>
      <c r="E37" s="58" t="s">
        <v>204</v>
      </c>
      <c r="F37" s="52">
        <v>3399.9</v>
      </c>
    </row>
    <row r="38" spans="1:6">
      <c r="A38" s="33" t="s">
        <v>39</v>
      </c>
      <c r="B38" s="52">
        <v>11333</v>
      </c>
      <c r="C38" s="55">
        <v>39</v>
      </c>
      <c r="D38" s="56">
        <v>0</v>
      </c>
      <c r="E38" s="63" t="s">
        <v>39</v>
      </c>
      <c r="F38" s="52">
        <v>11333</v>
      </c>
    </row>
    <row r="39" spans="1:6">
      <c r="A39" s="33" t="s">
        <v>205</v>
      </c>
      <c r="B39" s="52">
        <v>11333</v>
      </c>
      <c r="C39" s="55">
        <v>40</v>
      </c>
      <c r="D39" s="56">
        <v>0</v>
      </c>
      <c r="E39" s="58" t="s">
        <v>205</v>
      </c>
      <c r="F39" s="52">
        <v>11333</v>
      </c>
    </row>
    <row r="40" spans="1:6">
      <c r="A40" s="33" t="s">
        <v>41</v>
      </c>
      <c r="B40" s="52">
        <v>11333</v>
      </c>
      <c r="C40" s="55">
        <v>41</v>
      </c>
      <c r="D40" s="56">
        <v>0</v>
      </c>
      <c r="E40" s="58" t="s">
        <v>41</v>
      </c>
      <c r="F40" s="52">
        <v>11333</v>
      </c>
    </row>
    <row r="41" spans="1:6">
      <c r="A41" s="33" t="s">
        <v>42</v>
      </c>
      <c r="B41" s="52">
        <v>11333</v>
      </c>
      <c r="C41" s="55">
        <v>42</v>
      </c>
      <c r="D41" s="56">
        <v>0</v>
      </c>
      <c r="E41" s="58" t="s">
        <v>42</v>
      </c>
      <c r="F41" s="52">
        <v>11333</v>
      </c>
    </row>
    <row r="42" spans="1:6">
      <c r="A42" s="33" t="s">
        <v>43</v>
      </c>
      <c r="B42" s="52">
        <v>11333</v>
      </c>
      <c r="C42" s="55">
        <v>43</v>
      </c>
      <c r="D42" s="56"/>
      <c r="E42" s="58" t="s">
        <v>493</v>
      </c>
      <c r="F42" s="52">
        <v>11333</v>
      </c>
    </row>
    <row r="43" spans="1:6">
      <c r="A43" s="33" t="s">
        <v>441</v>
      </c>
      <c r="B43" s="52">
        <v>10199.700000000001</v>
      </c>
      <c r="C43" s="55">
        <v>44</v>
      </c>
      <c r="D43" s="56">
        <v>0</v>
      </c>
      <c r="E43" s="58" t="s">
        <v>441</v>
      </c>
      <c r="F43" s="52">
        <v>10199.700000000001</v>
      </c>
    </row>
    <row r="44" spans="1:6">
      <c r="A44" s="33" t="s">
        <v>206</v>
      </c>
      <c r="B44" s="52">
        <v>10199.700000000001</v>
      </c>
      <c r="C44" s="55">
        <v>45</v>
      </c>
      <c r="D44" s="56">
        <v>0</v>
      </c>
      <c r="E44" s="58" t="s">
        <v>206</v>
      </c>
      <c r="F44" s="52">
        <v>10199.700000000001</v>
      </c>
    </row>
    <row r="45" spans="1:6">
      <c r="A45" s="33" t="s">
        <v>47</v>
      </c>
      <c r="B45" s="52">
        <v>7479.78</v>
      </c>
      <c r="C45" s="55">
        <v>46</v>
      </c>
      <c r="D45" s="56">
        <v>0</v>
      </c>
      <c r="E45" s="58" t="s">
        <v>47</v>
      </c>
      <c r="F45" s="52">
        <v>7479.78</v>
      </c>
    </row>
    <row r="46" spans="1:6">
      <c r="A46" s="33" t="s">
        <v>423</v>
      </c>
      <c r="B46" s="52">
        <v>7479.78</v>
      </c>
      <c r="C46" s="55">
        <v>47</v>
      </c>
      <c r="D46" s="56">
        <v>0</v>
      </c>
      <c r="E46" s="58" t="s">
        <v>409</v>
      </c>
      <c r="F46" s="52">
        <v>7479.78</v>
      </c>
    </row>
    <row r="47" spans="1:6">
      <c r="A47" s="33" t="s">
        <v>384</v>
      </c>
      <c r="B47" s="52">
        <v>7479.78</v>
      </c>
      <c r="C47" s="55">
        <v>48</v>
      </c>
      <c r="D47" s="56">
        <v>0</v>
      </c>
      <c r="E47" s="58" t="s">
        <v>395</v>
      </c>
      <c r="F47" s="52">
        <v>7479.78</v>
      </c>
    </row>
    <row r="48" spans="1:6">
      <c r="A48" s="33" t="s">
        <v>208</v>
      </c>
      <c r="B48" s="52">
        <v>7479.78</v>
      </c>
      <c r="C48" s="55">
        <v>50</v>
      </c>
      <c r="D48" s="56">
        <v>0</v>
      </c>
      <c r="E48" s="58" t="s">
        <v>208</v>
      </c>
      <c r="F48" s="52">
        <v>7479.78</v>
      </c>
    </row>
    <row r="49" spans="1:6">
      <c r="A49" s="33" t="s">
        <v>258</v>
      </c>
      <c r="B49" s="52">
        <v>11333</v>
      </c>
      <c r="C49" s="55">
        <v>51</v>
      </c>
      <c r="D49" s="56">
        <v>0</v>
      </c>
      <c r="E49" s="58" t="s">
        <v>258</v>
      </c>
      <c r="F49" s="52">
        <v>11333</v>
      </c>
    </row>
    <row r="50" spans="1:6">
      <c r="A50" s="33" t="s">
        <v>462</v>
      </c>
      <c r="B50" s="52">
        <v>7479.78</v>
      </c>
      <c r="C50" s="55">
        <v>52</v>
      </c>
      <c r="D50" s="56">
        <v>0</v>
      </c>
      <c r="E50" s="58" t="s">
        <v>209</v>
      </c>
      <c r="F50" s="52">
        <v>7479.78</v>
      </c>
    </row>
    <row r="51" spans="1:6">
      <c r="A51" s="33" t="s">
        <v>209</v>
      </c>
      <c r="B51" s="52">
        <v>7479.78</v>
      </c>
      <c r="C51" s="55">
        <v>53</v>
      </c>
      <c r="D51" s="56">
        <v>0</v>
      </c>
      <c r="E51" s="58" t="s">
        <v>442</v>
      </c>
      <c r="F51" s="52">
        <v>7479.78</v>
      </c>
    </row>
    <row r="52" spans="1:6">
      <c r="A52" s="33" t="s">
        <v>503</v>
      </c>
      <c r="B52" s="52">
        <v>13699.7</v>
      </c>
      <c r="C52" s="55">
        <v>54</v>
      </c>
      <c r="D52" s="56">
        <v>0</v>
      </c>
      <c r="E52" s="58" t="s">
        <v>210</v>
      </c>
      <c r="F52" s="52">
        <v>7479.78</v>
      </c>
    </row>
    <row r="53" spans="1:6">
      <c r="A53" s="33" t="s">
        <v>210</v>
      </c>
      <c r="B53" s="52">
        <v>7479.78</v>
      </c>
      <c r="C53" s="55">
        <v>55</v>
      </c>
      <c r="D53" s="56">
        <v>0</v>
      </c>
      <c r="E53" s="58" t="s">
        <v>211</v>
      </c>
      <c r="F53" s="52">
        <v>7479.78</v>
      </c>
    </row>
    <row r="54" spans="1:6">
      <c r="A54" s="33" t="s">
        <v>211</v>
      </c>
      <c r="B54" s="52">
        <v>7479.78</v>
      </c>
      <c r="C54" s="55">
        <v>56</v>
      </c>
      <c r="D54" s="56">
        <v>0</v>
      </c>
      <c r="E54" s="58" t="s">
        <v>212</v>
      </c>
      <c r="F54" s="52">
        <v>7479.78</v>
      </c>
    </row>
    <row r="55" spans="1:6">
      <c r="A55" s="33" t="s">
        <v>212</v>
      </c>
      <c r="B55" s="52">
        <v>7479.78</v>
      </c>
      <c r="C55" s="55">
        <v>57</v>
      </c>
      <c r="D55" s="56">
        <v>0</v>
      </c>
      <c r="E55" s="58" t="s">
        <v>167</v>
      </c>
      <c r="F55" s="52">
        <v>3399.9</v>
      </c>
    </row>
    <row r="56" spans="1:6">
      <c r="A56" s="33" t="s">
        <v>463</v>
      </c>
      <c r="B56" s="52">
        <v>7479.78</v>
      </c>
      <c r="C56" s="55">
        <v>58</v>
      </c>
      <c r="D56" s="56">
        <v>0</v>
      </c>
      <c r="E56" s="58" t="s">
        <v>55</v>
      </c>
      <c r="F56" s="52">
        <v>12979.78</v>
      </c>
    </row>
    <row r="57" spans="1:6">
      <c r="A57" s="33" t="s">
        <v>167</v>
      </c>
      <c r="B57" s="52">
        <v>3399.9</v>
      </c>
      <c r="C57" s="55">
        <v>59</v>
      </c>
      <c r="D57" s="56">
        <v>0</v>
      </c>
      <c r="E57" s="58" t="s">
        <v>213</v>
      </c>
      <c r="F57" s="52">
        <v>3399.9</v>
      </c>
    </row>
    <row r="58" spans="1:6">
      <c r="A58" s="33" t="s">
        <v>55</v>
      </c>
      <c r="B58" s="52">
        <v>12979.78</v>
      </c>
      <c r="C58" s="55">
        <v>60</v>
      </c>
      <c r="D58" s="56">
        <v>0</v>
      </c>
      <c r="E58" s="58" t="s">
        <v>457</v>
      </c>
      <c r="F58" s="52">
        <v>7479.78</v>
      </c>
    </row>
    <row r="59" spans="1:6">
      <c r="A59" s="33" t="s">
        <v>213</v>
      </c>
      <c r="B59" s="52">
        <v>3399.9</v>
      </c>
      <c r="C59" s="55">
        <v>61</v>
      </c>
      <c r="D59" s="56"/>
      <c r="E59" s="58" t="s">
        <v>501</v>
      </c>
      <c r="F59" s="52">
        <v>13699.7</v>
      </c>
    </row>
    <row r="60" spans="1:6">
      <c r="A60" s="33" t="s">
        <v>215</v>
      </c>
      <c r="B60" s="52">
        <v>10199.700000000001</v>
      </c>
      <c r="C60" s="55">
        <v>62</v>
      </c>
      <c r="D60" s="56">
        <v>0</v>
      </c>
      <c r="E60" s="58" t="s">
        <v>215</v>
      </c>
      <c r="F60" s="52">
        <v>10199.700000000001</v>
      </c>
    </row>
    <row r="61" spans="1:6">
      <c r="A61" s="33" t="s">
        <v>424</v>
      </c>
      <c r="B61" s="52">
        <v>10199.700000000001</v>
      </c>
      <c r="C61" s="55">
        <v>63</v>
      </c>
      <c r="D61" s="56">
        <v>0</v>
      </c>
      <c r="E61" s="58" t="s">
        <v>410</v>
      </c>
      <c r="F61" s="52">
        <v>10199.700000000001</v>
      </c>
    </row>
    <row r="62" spans="1:6">
      <c r="A62" s="33" t="s">
        <v>216</v>
      </c>
      <c r="B62" s="52">
        <v>10199.700000000001</v>
      </c>
      <c r="C62" s="55">
        <v>64</v>
      </c>
      <c r="D62" s="56">
        <v>0</v>
      </c>
      <c r="E62" s="58" t="s">
        <v>216</v>
      </c>
      <c r="F62" s="52">
        <v>10199.700000000001</v>
      </c>
    </row>
    <row r="63" spans="1:6">
      <c r="A63" s="33" t="s">
        <v>464</v>
      </c>
      <c r="B63" s="52">
        <v>7479.78</v>
      </c>
      <c r="C63" s="55">
        <v>66</v>
      </c>
      <c r="D63" s="56">
        <v>0</v>
      </c>
      <c r="E63" s="58" t="s">
        <v>448</v>
      </c>
      <c r="F63" s="52">
        <v>7479.78</v>
      </c>
    </row>
    <row r="64" spans="1:6">
      <c r="A64" s="33" t="s">
        <v>66</v>
      </c>
      <c r="B64" s="52">
        <v>15999.75</v>
      </c>
      <c r="C64" s="55">
        <v>67</v>
      </c>
      <c r="D64" s="56">
        <v>0</v>
      </c>
      <c r="E64" s="58" t="s">
        <v>66</v>
      </c>
      <c r="F64" s="52">
        <v>15999.75</v>
      </c>
    </row>
    <row r="65" spans="1:6">
      <c r="A65" s="33" t="s">
        <v>465</v>
      </c>
      <c r="B65" s="52">
        <v>7479.78</v>
      </c>
      <c r="C65" s="55">
        <v>68</v>
      </c>
      <c r="D65" s="56">
        <v>0</v>
      </c>
      <c r="E65" s="58" t="s">
        <v>465</v>
      </c>
      <c r="F65" s="52">
        <v>7479.78</v>
      </c>
    </row>
    <row r="66" spans="1:6">
      <c r="A66" s="33" t="s">
        <v>466</v>
      </c>
      <c r="B66" s="52">
        <v>7479.78</v>
      </c>
      <c r="C66" s="55">
        <v>69</v>
      </c>
      <c r="D66" s="56">
        <v>0</v>
      </c>
      <c r="E66" s="58" t="s">
        <v>443</v>
      </c>
      <c r="F66" s="52">
        <v>7479.78</v>
      </c>
    </row>
    <row r="67" spans="1:6">
      <c r="A67" s="33" t="s">
        <v>217</v>
      </c>
      <c r="B67" s="52">
        <v>7479.78</v>
      </c>
      <c r="C67" s="55">
        <v>70</v>
      </c>
      <c r="D67" s="56">
        <v>0</v>
      </c>
      <c r="E67" s="58" t="s">
        <v>217</v>
      </c>
      <c r="F67" s="52">
        <v>7479.78</v>
      </c>
    </row>
    <row r="68" spans="1:6">
      <c r="A68" s="33" t="s">
        <v>467</v>
      </c>
      <c r="B68" s="52">
        <v>7479.78</v>
      </c>
      <c r="C68" s="55">
        <v>71</v>
      </c>
      <c r="D68" s="56">
        <v>0</v>
      </c>
      <c r="E68" s="58" t="s">
        <v>449</v>
      </c>
      <c r="F68" s="52">
        <v>7479.78</v>
      </c>
    </row>
    <row r="69" spans="1:6">
      <c r="A69" s="33" t="s">
        <v>71</v>
      </c>
      <c r="B69" s="52">
        <v>7479.78</v>
      </c>
      <c r="C69" s="55">
        <v>72</v>
      </c>
      <c r="D69" s="56">
        <v>0</v>
      </c>
      <c r="E69" s="58" t="s">
        <v>71</v>
      </c>
      <c r="F69" s="52">
        <v>7479.78</v>
      </c>
    </row>
    <row r="70" spans="1:6">
      <c r="A70" s="33" t="s">
        <v>219</v>
      </c>
      <c r="B70" s="52">
        <v>7479.78</v>
      </c>
      <c r="C70" s="55">
        <v>73</v>
      </c>
      <c r="D70" s="56">
        <v>0</v>
      </c>
      <c r="E70" s="58" t="s">
        <v>219</v>
      </c>
      <c r="F70" s="52">
        <v>7479.78</v>
      </c>
    </row>
    <row r="71" spans="1:6">
      <c r="A71" s="33" t="s">
        <v>330</v>
      </c>
      <c r="B71" s="52">
        <v>7479.78</v>
      </c>
      <c r="C71" s="55">
        <v>74</v>
      </c>
      <c r="D71" s="56">
        <v>0</v>
      </c>
      <c r="E71" s="58" t="s">
        <v>381</v>
      </c>
      <c r="F71" s="52">
        <v>7479.78</v>
      </c>
    </row>
    <row r="72" spans="1:6">
      <c r="A72" s="33" t="s">
        <v>220</v>
      </c>
      <c r="B72" s="52">
        <v>7479.78</v>
      </c>
      <c r="C72" s="55">
        <v>75</v>
      </c>
      <c r="D72" s="56">
        <v>0</v>
      </c>
      <c r="E72" s="58" t="s">
        <v>220</v>
      </c>
      <c r="F72" s="52">
        <v>7479.78</v>
      </c>
    </row>
    <row r="73" spans="1:6">
      <c r="A73" s="33" t="s">
        <v>425</v>
      </c>
      <c r="B73" s="52">
        <v>7479.78</v>
      </c>
      <c r="C73" s="55">
        <v>76</v>
      </c>
      <c r="D73" s="56">
        <v>0</v>
      </c>
      <c r="E73" s="58" t="s">
        <v>411</v>
      </c>
      <c r="F73" s="52">
        <v>7479.78</v>
      </c>
    </row>
    <row r="74" spans="1:6">
      <c r="A74" s="33" t="s">
        <v>385</v>
      </c>
      <c r="B74" s="52">
        <v>7479.78</v>
      </c>
      <c r="C74" s="55">
        <v>77</v>
      </c>
      <c r="D74" s="56">
        <v>0</v>
      </c>
      <c r="E74" s="63" t="s">
        <v>385</v>
      </c>
      <c r="F74" s="52">
        <v>7479.78</v>
      </c>
    </row>
    <row r="75" spans="1:6">
      <c r="A75" s="33" t="s">
        <v>76</v>
      </c>
      <c r="B75" s="52">
        <v>7479.78</v>
      </c>
      <c r="C75" s="55">
        <v>78</v>
      </c>
      <c r="D75" s="56">
        <v>0</v>
      </c>
      <c r="E75" s="63" t="s">
        <v>76</v>
      </c>
      <c r="F75" s="52">
        <v>7479.78</v>
      </c>
    </row>
    <row r="76" spans="1:6">
      <c r="A76" s="33" t="s">
        <v>470</v>
      </c>
      <c r="B76" s="52">
        <v>7479.78</v>
      </c>
      <c r="C76" s="55">
        <v>79</v>
      </c>
      <c r="D76" s="56">
        <v>0</v>
      </c>
      <c r="E76" s="33" t="s">
        <v>470</v>
      </c>
      <c r="F76" s="52">
        <v>7479.78</v>
      </c>
    </row>
    <row r="77" spans="1:6">
      <c r="A77" s="33" t="s">
        <v>471</v>
      </c>
      <c r="B77" s="52">
        <v>7479.78</v>
      </c>
      <c r="C77" s="55">
        <v>80</v>
      </c>
      <c r="D77" s="56">
        <v>0</v>
      </c>
      <c r="E77" s="33" t="s">
        <v>471</v>
      </c>
      <c r="F77" s="52">
        <v>7479.78</v>
      </c>
    </row>
    <row r="78" spans="1:6">
      <c r="A78" s="33" t="s">
        <v>468</v>
      </c>
      <c r="B78" s="52">
        <v>10046.44</v>
      </c>
      <c r="C78" s="55">
        <v>81</v>
      </c>
      <c r="D78" s="56">
        <v>0</v>
      </c>
      <c r="E78" s="63" t="s">
        <v>450</v>
      </c>
      <c r="F78" s="52">
        <v>10046.44</v>
      </c>
    </row>
    <row r="79" spans="1:6">
      <c r="A79" s="33" t="s">
        <v>469</v>
      </c>
      <c r="B79" s="52">
        <v>7479.78</v>
      </c>
      <c r="C79" s="55">
        <v>82</v>
      </c>
      <c r="D79" s="56">
        <v>0</v>
      </c>
      <c r="E79" s="33" t="s">
        <v>469</v>
      </c>
      <c r="F79" s="52">
        <v>7479.78</v>
      </c>
    </row>
    <row r="80" spans="1:6">
      <c r="A80" s="33" t="s">
        <v>221</v>
      </c>
      <c r="B80" s="52">
        <v>7479.78</v>
      </c>
      <c r="C80" s="55">
        <v>83</v>
      </c>
      <c r="D80" s="56">
        <v>0</v>
      </c>
      <c r="E80" s="58" t="s">
        <v>221</v>
      </c>
      <c r="F80" s="52">
        <v>7479.78</v>
      </c>
    </row>
    <row r="81" spans="1:6">
      <c r="A81" s="33" t="s">
        <v>77</v>
      </c>
      <c r="B81" s="52">
        <v>7479.78</v>
      </c>
      <c r="C81" s="55">
        <v>84</v>
      </c>
      <c r="D81" s="56">
        <v>0</v>
      </c>
      <c r="E81" s="58" t="s">
        <v>77</v>
      </c>
      <c r="F81" s="52">
        <v>7479.78</v>
      </c>
    </row>
    <row r="82" spans="1:6">
      <c r="A82" s="33" t="s">
        <v>222</v>
      </c>
      <c r="B82" s="52">
        <v>7479.78</v>
      </c>
      <c r="C82" s="55">
        <v>85</v>
      </c>
      <c r="D82" s="56">
        <v>0</v>
      </c>
      <c r="E82" s="58" t="s">
        <v>222</v>
      </c>
      <c r="F82" s="52">
        <v>7479.78</v>
      </c>
    </row>
    <row r="83" spans="1:6">
      <c r="A83" s="33" t="s">
        <v>78</v>
      </c>
      <c r="B83" s="52">
        <v>7479.78</v>
      </c>
      <c r="C83" s="55">
        <v>86</v>
      </c>
      <c r="D83" s="56">
        <v>0</v>
      </c>
      <c r="E83" s="58" t="s">
        <v>78</v>
      </c>
      <c r="F83" s="52">
        <v>7479.78</v>
      </c>
    </row>
    <row r="84" spans="1:6">
      <c r="A84" s="33" t="s">
        <v>426</v>
      </c>
      <c r="B84" s="52">
        <v>7479.78</v>
      </c>
      <c r="C84" s="55">
        <v>87</v>
      </c>
      <c r="D84" s="56">
        <v>0</v>
      </c>
      <c r="E84" s="58" t="s">
        <v>412</v>
      </c>
      <c r="F84" s="52">
        <v>7479.78</v>
      </c>
    </row>
    <row r="85" spans="1:6">
      <c r="A85" s="33" t="s">
        <v>386</v>
      </c>
      <c r="B85" s="52">
        <v>7479.78</v>
      </c>
      <c r="C85" s="55">
        <v>88</v>
      </c>
      <c r="D85" s="56">
        <v>0</v>
      </c>
      <c r="E85" s="63" t="s">
        <v>386</v>
      </c>
      <c r="F85" s="52">
        <v>7479.78</v>
      </c>
    </row>
    <row r="86" spans="1:6">
      <c r="A86" s="33" t="s">
        <v>223</v>
      </c>
      <c r="B86" s="52">
        <v>7479.78</v>
      </c>
      <c r="C86" s="55">
        <v>89</v>
      </c>
      <c r="D86" s="56">
        <v>0</v>
      </c>
      <c r="E86" s="58" t="s">
        <v>223</v>
      </c>
      <c r="F86" s="52">
        <v>7479.78</v>
      </c>
    </row>
    <row r="87" spans="1:6">
      <c r="A87" s="33" t="s">
        <v>224</v>
      </c>
      <c r="B87" s="52">
        <v>7479.78</v>
      </c>
      <c r="C87" s="55">
        <v>90</v>
      </c>
      <c r="D87" s="56">
        <v>0</v>
      </c>
      <c r="E87" s="58" t="s">
        <v>224</v>
      </c>
      <c r="F87" s="52">
        <v>7479.78</v>
      </c>
    </row>
    <row r="88" spans="1:6">
      <c r="A88" s="33" t="s">
        <v>225</v>
      </c>
      <c r="B88" s="52">
        <v>7479.78</v>
      </c>
      <c r="C88" s="55">
        <v>91</v>
      </c>
      <c r="D88" s="56">
        <v>0</v>
      </c>
      <c r="E88" s="58" t="s">
        <v>225</v>
      </c>
      <c r="F88" s="52">
        <v>7479.78</v>
      </c>
    </row>
    <row r="89" spans="1:6">
      <c r="A89" s="33" t="s">
        <v>83</v>
      </c>
      <c r="B89" s="52">
        <v>3399.9</v>
      </c>
      <c r="C89" s="55">
        <v>92</v>
      </c>
      <c r="D89" s="56">
        <v>0</v>
      </c>
      <c r="E89" s="58" t="s">
        <v>83</v>
      </c>
      <c r="F89" s="52">
        <v>3399.9</v>
      </c>
    </row>
    <row r="90" spans="1:6">
      <c r="A90" s="33" t="s">
        <v>300</v>
      </c>
      <c r="B90" s="52">
        <v>7479.78</v>
      </c>
      <c r="C90" s="55">
        <v>94</v>
      </c>
      <c r="D90" s="56">
        <v>0</v>
      </c>
      <c r="E90" s="58" t="s">
        <v>382</v>
      </c>
      <c r="F90" s="52">
        <v>7479.78</v>
      </c>
    </row>
    <row r="91" spans="1:6">
      <c r="A91" s="33" t="s">
        <v>259</v>
      </c>
      <c r="B91" s="52">
        <v>7479.78</v>
      </c>
      <c r="C91" s="55">
        <v>96</v>
      </c>
      <c r="D91" s="56">
        <v>0</v>
      </c>
      <c r="E91" s="58" t="s">
        <v>259</v>
      </c>
      <c r="F91" s="52">
        <v>7479.78</v>
      </c>
    </row>
    <row r="92" spans="1:6">
      <c r="A92" s="33" t="s">
        <v>86</v>
      </c>
      <c r="B92" s="52">
        <v>6800.1</v>
      </c>
      <c r="C92" s="55">
        <v>97</v>
      </c>
      <c r="D92" s="56">
        <v>0</v>
      </c>
      <c r="E92" s="58" t="s">
        <v>86</v>
      </c>
      <c r="F92" s="52">
        <v>6800.1</v>
      </c>
    </row>
    <row r="93" spans="1:6">
      <c r="A93" s="33" t="s">
        <v>87</v>
      </c>
      <c r="B93" s="52">
        <v>7479.78</v>
      </c>
      <c r="C93" s="55">
        <v>98</v>
      </c>
      <c r="D93" s="56">
        <v>0</v>
      </c>
      <c r="E93" s="58" t="s">
        <v>87</v>
      </c>
      <c r="F93" s="52">
        <v>7479.78</v>
      </c>
    </row>
    <row r="94" spans="1:6">
      <c r="A94" s="33" t="s">
        <v>387</v>
      </c>
      <c r="B94" s="52">
        <v>3399.9</v>
      </c>
      <c r="C94" s="55">
        <v>99</v>
      </c>
      <c r="D94" s="56">
        <v>0</v>
      </c>
      <c r="E94" s="63" t="s">
        <v>387</v>
      </c>
      <c r="F94" s="52">
        <v>3399.9</v>
      </c>
    </row>
    <row r="95" spans="1:6">
      <c r="A95" s="33" t="s">
        <v>472</v>
      </c>
      <c r="B95" s="52">
        <v>11879.78</v>
      </c>
      <c r="C95" s="55">
        <v>100</v>
      </c>
      <c r="D95" s="56">
        <v>0</v>
      </c>
      <c r="E95" s="63" t="s">
        <v>451</v>
      </c>
      <c r="F95" s="52">
        <v>11879.78</v>
      </c>
    </row>
    <row r="96" spans="1:6">
      <c r="A96" s="33" t="s">
        <v>473</v>
      </c>
      <c r="B96" s="52">
        <v>3399.9</v>
      </c>
      <c r="C96" s="55">
        <v>101</v>
      </c>
      <c r="D96" s="56">
        <v>0</v>
      </c>
      <c r="E96" s="63" t="s">
        <v>452</v>
      </c>
      <c r="F96" s="52">
        <v>3399.9</v>
      </c>
    </row>
    <row r="97" spans="1:6">
      <c r="A97" s="33" t="s">
        <v>169</v>
      </c>
      <c r="B97" s="52">
        <v>3399.9</v>
      </c>
      <c r="C97" s="55">
        <v>102</v>
      </c>
      <c r="D97" s="56">
        <v>0</v>
      </c>
      <c r="E97" s="58" t="s">
        <v>169</v>
      </c>
      <c r="F97" s="52">
        <v>3399.9</v>
      </c>
    </row>
    <row r="98" spans="1:6">
      <c r="A98" s="33" t="s">
        <v>171</v>
      </c>
      <c r="B98" s="52">
        <v>3399.9</v>
      </c>
      <c r="C98" s="55">
        <v>103</v>
      </c>
      <c r="D98" s="56">
        <v>0</v>
      </c>
      <c r="E98" s="58" t="s">
        <v>171</v>
      </c>
      <c r="F98" s="52">
        <v>3399.9</v>
      </c>
    </row>
    <row r="99" spans="1:6">
      <c r="A99" s="33" t="s">
        <v>499</v>
      </c>
      <c r="B99" s="52">
        <v>7479.78</v>
      </c>
      <c r="C99" s="55">
        <v>104</v>
      </c>
      <c r="D99" s="56"/>
      <c r="E99" s="58" t="s">
        <v>494</v>
      </c>
      <c r="F99" s="52">
        <v>7479.78</v>
      </c>
    </row>
    <row r="100" spans="1:6">
      <c r="A100" s="33" t="s">
        <v>226</v>
      </c>
      <c r="B100" s="52">
        <v>10199.9</v>
      </c>
      <c r="C100" s="55">
        <v>105</v>
      </c>
      <c r="D100" s="56">
        <v>0</v>
      </c>
      <c r="E100" s="58" t="s">
        <v>226</v>
      </c>
      <c r="F100" s="52">
        <v>10199.9</v>
      </c>
    </row>
    <row r="101" spans="1:6">
      <c r="A101" s="33" t="s">
        <v>474</v>
      </c>
      <c r="B101" s="52">
        <v>7479.78</v>
      </c>
      <c r="C101" s="55">
        <v>106</v>
      </c>
      <c r="D101" s="56">
        <v>0</v>
      </c>
      <c r="E101" s="58" t="s">
        <v>453</v>
      </c>
      <c r="F101" s="52">
        <v>7479.78</v>
      </c>
    </row>
    <row r="102" spans="1:6">
      <c r="A102" s="33" t="s">
        <v>227</v>
      </c>
      <c r="B102" s="52">
        <v>7479.89</v>
      </c>
      <c r="C102" s="55">
        <v>107</v>
      </c>
      <c r="D102" s="56">
        <v>0</v>
      </c>
      <c r="E102" s="58" t="s">
        <v>227</v>
      </c>
      <c r="F102" s="52">
        <v>7479.89</v>
      </c>
    </row>
    <row r="103" spans="1:6">
      <c r="A103" s="33" t="s">
        <v>228</v>
      </c>
      <c r="B103" s="52">
        <v>7479.78</v>
      </c>
      <c r="C103" s="55">
        <v>108</v>
      </c>
      <c r="D103" s="56">
        <v>0</v>
      </c>
      <c r="E103" s="58" t="s">
        <v>228</v>
      </c>
      <c r="F103" s="52">
        <v>7479.78</v>
      </c>
    </row>
    <row r="104" spans="1:6">
      <c r="A104" s="33" t="s">
        <v>229</v>
      </c>
      <c r="B104" s="52">
        <v>7479.89</v>
      </c>
      <c r="C104" s="55">
        <v>109</v>
      </c>
      <c r="D104" s="56">
        <v>0</v>
      </c>
      <c r="E104" s="58" t="s">
        <v>229</v>
      </c>
      <c r="F104" s="52">
        <v>7479.89</v>
      </c>
    </row>
    <row r="105" spans="1:6">
      <c r="A105" s="33" t="s">
        <v>103</v>
      </c>
      <c r="B105" s="52">
        <v>3399.9</v>
      </c>
      <c r="C105" s="55">
        <v>110</v>
      </c>
      <c r="D105" s="56">
        <v>0</v>
      </c>
      <c r="E105" s="58" t="s">
        <v>103</v>
      </c>
      <c r="F105" s="52">
        <v>3399.9</v>
      </c>
    </row>
    <row r="106" spans="1:6">
      <c r="A106" s="33" t="s">
        <v>230</v>
      </c>
      <c r="B106" s="52">
        <v>3399.9</v>
      </c>
      <c r="C106" s="55">
        <v>111</v>
      </c>
      <c r="D106" s="56">
        <v>0</v>
      </c>
      <c r="E106" s="58" t="s">
        <v>230</v>
      </c>
      <c r="F106" s="52">
        <v>3399.9</v>
      </c>
    </row>
    <row r="107" spans="1:6">
      <c r="A107" s="33" t="s">
        <v>231</v>
      </c>
      <c r="B107" s="52">
        <v>7479.89</v>
      </c>
      <c r="C107" s="55">
        <v>112</v>
      </c>
      <c r="D107" s="56">
        <v>0</v>
      </c>
      <c r="E107" s="58" t="s">
        <v>231</v>
      </c>
      <c r="F107" s="52">
        <v>7479.89</v>
      </c>
    </row>
    <row r="108" spans="1:6">
      <c r="A108" s="33" t="s">
        <v>427</v>
      </c>
      <c r="B108" s="52">
        <v>3399.9</v>
      </c>
      <c r="C108" s="55">
        <v>113</v>
      </c>
      <c r="D108" s="56">
        <v>0</v>
      </c>
      <c r="E108" s="58" t="s">
        <v>111</v>
      </c>
      <c r="F108" s="52">
        <v>0</v>
      </c>
    </row>
    <row r="109" spans="1:6">
      <c r="A109" s="33" t="s">
        <v>111</v>
      </c>
      <c r="B109" s="52">
        <v>3399.9</v>
      </c>
      <c r="C109" s="55">
        <v>114</v>
      </c>
      <c r="D109" s="56">
        <v>0</v>
      </c>
      <c r="E109" s="58" t="s">
        <v>113</v>
      </c>
      <c r="F109" s="52">
        <v>0</v>
      </c>
    </row>
    <row r="110" spans="1:6">
      <c r="A110" s="33" t="s">
        <v>428</v>
      </c>
      <c r="B110" s="52">
        <v>3399.9</v>
      </c>
      <c r="C110" s="55">
        <v>115</v>
      </c>
      <c r="D110" s="56">
        <v>0</v>
      </c>
      <c r="E110" s="63" t="s">
        <v>388</v>
      </c>
      <c r="F110" s="52">
        <v>3399.9</v>
      </c>
    </row>
    <row r="111" spans="1:6">
      <c r="A111" s="33" t="s">
        <v>429</v>
      </c>
      <c r="B111" s="52">
        <v>3399.9</v>
      </c>
      <c r="C111" s="55">
        <v>116</v>
      </c>
      <c r="D111" s="56">
        <v>0</v>
      </c>
      <c r="E111" s="58" t="s">
        <v>120</v>
      </c>
      <c r="F111" s="52">
        <v>3399.9</v>
      </c>
    </row>
    <row r="112" spans="1:6">
      <c r="A112" s="33" t="s">
        <v>504</v>
      </c>
      <c r="B112" s="52">
        <v>0</v>
      </c>
      <c r="C112" s="55">
        <v>117</v>
      </c>
      <c r="D112" s="56">
        <v>0</v>
      </c>
      <c r="E112" s="58" t="s">
        <v>233</v>
      </c>
      <c r="F112" s="52">
        <v>3399.9</v>
      </c>
    </row>
    <row r="113" spans="1:6">
      <c r="A113" s="33" t="s">
        <v>118</v>
      </c>
      <c r="B113" s="52">
        <v>0</v>
      </c>
      <c r="C113" s="55">
        <v>118</v>
      </c>
      <c r="D113" s="56">
        <v>0</v>
      </c>
      <c r="E113" s="58" t="s">
        <v>121</v>
      </c>
      <c r="F113" s="52">
        <v>3399.9</v>
      </c>
    </row>
    <row r="114" spans="1:6">
      <c r="A114" s="33" t="s">
        <v>505</v>
      </c>
      <c r="B114" s="52">
        <v>0</v>
      </c>
      <c r="C114" s="55">
        <v>119</v>
      </c>
      <c r="D114" s="56">
        <v>0</v>
      </c>
      <c r="E114" s="58" t="s">
        <v>413</v>
      </c>
      <c r="F114" s="52">
        <v>3399.9</v>
      </c>
    </row>
    <row r="115" spans="1:6">
      <c r="A115" s="33" t="s">
        <v>506</v>
      </c>
      <c r="B115" s="52">
        <v>0</v>
      </c>
      <c r="C115" s="55">
        <v>120</v>
      </c>
      <c r="D115" s="56">
        <v>0</v>
      </c>
      <c r="E115" s="58" t="s">
        <v>414</v>
      </c>
      <c r="F115" s="52">
        <v>3399.9</v>
      </c>
    </row>
    <row r="116" spans="1:6">
      <c r="A116" s="33" t="s">
        <v>112</v>
      </c>
      <c r="B116" s="52">
        <v>0</v>
      </c>
      <c r="C116" s="55">
        <v>121</v>
      </c>
      <c r="D116" s="56">
        <v>0</v>
      </c>
      <c r="E116" s="58" t="s">
        <v>415</v>
      </c>
      <c r="F116" s="52">
        <v>3399.9</v>
      </c>
    </row>
    <row r="117" spans="1:6">
      <c r="A117" s="33" t="s">
        <v>113</v>
      </c>
      <c r="B117" s="52">
        <v>3399.9</v>
      </c>
      <c r="C117" s="55">
        <v>122</v>
      </c>
      <c r="D117" s="56">
        <v>0</v>
      </c>
      <c r="E117" s="58" t="s">
        <v>416</v>
      </c>
      <c r="F117" s="52">
        <v>3399.9</v>
      </c>
    </row>
    <row r="118" spans="1:6">
      <c r="A118" s="33" t="s">
        <v>475</v>
      </c>
      <c r="B118" s="52">
        <v>3399.9</v>
      </c>
      <c r="C118" s="55">
        <v>123</v>
      </c>
      <c r="D118" s="56">
        <v>0</v>
      </c>
      <c r="E118" s="58" t="s">
        <v>492</v>
      </c>
      <c r="F118" s="52">
        <v>7479.78</v>
      </c>
    </row>
    <row r="119" spans="1:6">
      <c r="A119" s="33" t="s">
        <v>114</v>
      </c>
      <c r="B119" s="52">
        <v>0</v>
      </c>
      <c r="C119" s="55">
        <v>124</v>
      </c>
      <c r="D119" s="56">
        <v>0</v>
      </c>
      <c r="E119" s="58" t="s">
        <v>400</v>
      </c>
      <c r="F119" s="52">
        <v>7479.78</v>
      </c>
    </row>
    <row r="120" spans="1:6">
      <c r="A120" s="33" t="s">
        <v>115</v>
      </c>
      <c r="B120" s="52">
        <v>0</v>
      </c>
      <c r="C120" s="55">
        <v>125</v>
      </c>
      <c r="D120" s="56">
        <v>0</v>
      </c>
      <c r="E120" s="58" t="s">
        <v>125</v>
      </c>
      <c r="F120" s="52">
        <v>3399.9</v>
      </c>
    </row>
    <row r="121" spans="1:6">
      <c r="A121" s="33" t="s">
        <v>116</v>
      </c>
      <c r="B121" s="52">
        <v>0</v>
      </c>
      <c r="C121" s="55">
        <v>126</v>
      </c>
      <c r="D121" s="56">
        <v>0</v>
      </c>
      <c r="E121" s="58" t="s">
        <v>399</v>
      </c>
      <c r="F121" s="52">
        <v>3399.9</v>
      </c>
    </row>
    <row r="122" spans="1:6">
      <c r="A122" s="33" t="s">
        <v>507</v>
      </c>
      <c r="B122" s="52">
        <v>0</v>
      </c>
      <c r="C122" s="55">
        <v>127</v>
      </c>
      <c r="D122" s="56">
        <v>0</v>
      </c>
      <c r="E122" s="58" t="s">
        <v>236</v>
      </c>
      <c r="F122" s="52">
        <v>3399.95</v>
      </c>
    </row>
    <row r="123" spans="1:6">
      <c r="A123" s="33" t="s">
        <v>508</v>
      </c>
      <c r="B123" s="52">
        <v>0</v>
      </c>
      <c r="C123" s="55">
        <v>128</v>
      </c>
      <c r="D123" s="56">
        <v>0</v>
      </c>
      <c r="E123" s="58" t="s">
        <v>172</v>
      </c>
      <c r="F123" s="52">
        <v>3399.9</v>
      </c>
    </row>
    <row r="124" spans="1:6">
      <c r="A124" s="33" t="s">
        <v>509</v>
      </c>
      <c r="B124" s="52">
        <v>0</v>
      </c>
      <c r="C124" s="55">
        <v>129</v>
      </c>
      <c r="D124" s="56">
        <v>0</v>
      </c>
      <c r="E124" s="58" t="s">
        <v>131</v>
      </c>
      <c r="F124" s="52">
        <v>3399.9</v>
      </c>
    </row>
    <row r="125" spans="1:6">
      <c r="A125" s="33" t="s">
        <v>119</v>
      </c>
      <c r="B125" s="52">
        <v>0</v>
      </c>
      <c r="C125" s="55">
        <v>130</v>
      </c>
      <c r="D125" s="56">
        <v>0</v>
      </c>
      <c r="E125" s="58" t="s">
        <v>135</v>
      </c>
      <c r="F125" s="52">
        <v>3399.9</v>
      </c>
    </row>
    <row r="126" spans="1:6">
      <c r="A126" s="33" t="s">
        <v>510</v>
      </c>
      <c r="B126" s="52">
        <v>0</v>
      </c>
      <c r="C126" s="55">
        <v>131</v>
      </c>
      <c r="D126" s="56">
        <v>0</v>
      </c>
      <c r="E126" s="58" t="s">
        <v>138</v>
      </c>
      <c r="F126" s="52">
        <v>3399.9</v>
      </c>
    </row>
    <row r="127" spans="1:6">
      <c r="A127" s="33" t="s">
        <v>511</v>
      </c>
      <c r="B127" s="52">
        <v>0</v>
      </c>
      <c r="C127" s="55">
        <v>132</v>
      </c>
      <c r="D127" s="56">
        <v>0</v>
      </c>
      <c r="E127" s="58" t="s">
        <v>237</v>
      </c>
      <c r="F127" s="52">
        <v>3399.95</v>
      </c>
    </row>
    <row r="128" spans="1:6">
      <c r="A128" s="33" t="s">
        <v>388</v>
      </c>
      <c r="B128" s="52">
        <v>3399.9</v>
      </c>
      <c r="C128" s="55">
        <v>133</v>
      </c>
      <c r="D128" s="56">
        <v>0</v>
      </c>
      <c r="E128" s="58" t="s">
        <v>435</v>
      </c>
      <c r="F128" s="52">
        <v>7479.78</v>
      </c>
    </row>
    <row r="129" spans="1:6">
      <c r="A129" s="33" t="s">
        <v>120</v>
      </c>
      <c r="B129" s="52">
        <v>3399.9</v>
      </c>
      <c r="C129" s="55">
        <v>134</v>
      </c>
      <c r="D129" s="56">
        <v>0</v>
      </c>
      <c r="E129" s="58" t="s">
        <v>436</v>
      </c>
      <c r="F129" s="52">
        <v>3399.9</v>
      </c>
    </row>
    <row r="130" spans="1:6">
      <c r="A130" s="33" t="s">
        <v>233</v>
      </c>
      <c r="B130" s="52">
        <v>3399.9</v>
      </c>
      <c r="C130" s="55">
        <v>135</v>
      </c>
      <c r="D130" s="56">
        <v>0</v>
      </c>
      <c r="E130" s="58" t="s">
        <v>437</v>
      </c>
      <c r="F130" s="52">
        <v>3399.9</v>
      </c>
    </row>
    <row r="131" spans="1:6">
      <c r="A131" s="33" t="s">
        <v>512</v>
      </c>
      <c r="B131" s="52">
        <v>0</v>
      </c>
      <c r="C131" s="55">
        <v>136</v>
      </c>
      <c r="D131" s="56">
        <v>0</v>
      </c>
      <c r="E131" s="58" t="s">
        <v>438</v>
      </c>
      <c r="F131" s="52">
        <v>7479.78</v>
      </c>
    </row>
    <row r="132" spans="1:6">
      <c r="A132" s="33" t="s">
        <v>121</v>
      </c>
      <c r="B132" s="52">
        <v>3399.9</v>
      </c>
      <c r="C132" s="55">
        <v>137</v>
      </c>
      <c r="D132" s="56">
        <v>0</v>
      </c>
      <c r="E132" s="58" t="s">
        <v>439</v>
      </c>
      <c r="F132" s="52">
        <v>7479.78</v>
      </c>
    </row>
    <row r="133" spans="1:6">
      <c r="A133" s="33" t="s">
        <v>513</v>
      </c>
      <c r="B133" s="52">
        <v>0</v>
      </c>
      <c r="C133" s="55">
        <v>138</v>
      </c>
      <c r="D133" s="56">
        <v>0</v>
      </c>
      <c r="E133" s="58" t="s">
        <v>440</v>
      </c>
      <c r="F133" s="52">
        <v>3399.9</v>
      </c>
    </row>
    <row r="134" spans="1:6">
      <c r="A134" s="33" t="s">
        <v>122</v>
      </c>
      <c r="B134" s="52">
        <v>0</v>
      </c>
      <c r="C134" s="55">
        <v>139</v>
      </c>
      <c r="D134" s="56">
        <v>0</v>
      </c>
      <c r="E134" s="58" t="s">
        <v>444</v>
      </c>
      <c r="F134" s="52">
        <v>3399.9</v>
      </c>
    </row>
    <row r="135" spans="1:6">
      <c r="A135" s="33" t="s">
        <v>514</v>
      </c>
      <c r="B135" s="52">
        <v>0</v>
      </c>
      <c r="C135" s="55">
        <v>140</v>
      </c>
      <c r="D135" s="56">
        <v>0</v>
      </c>
      <c r="E135" s="58" t="s">
        <v>445</v>
      </c>
      <c r="F135" s="52">
        <v>3399.9</v>
      </c>
    </row>
    <row r="136" spans="1:6">
      <c r="A136" s="33" t="s">
        <v>515</v>
      </c>
      <c r="B136" s="52">
        <v>0</v>
      </c>
      <c r="C136" s="55">
        <v>141</v>
      </c>
      <c r="D136" s="56">
        <v>0</v>
      </c>
      <c r="E136" s="58" t="s">
        <v>454</v>
      </c>
      <c r="F136" s="52">
        <v>14629.78</v>
      </c>
    </row>
    <row r="137" spans="1:6">
      <c r="A137" s="33" t="s">
        <v>516</v>
      </c>
      <c r="B137" s="52">
        <v>0</v>
      </c>
      <c r="C137" s="55">
        <v>142</v>
      </c>
      <c r="D137" s="56">
        <v>0</v>
      </c>
      <c r="E137" s="58" t="s">
        <v>495</v>
      </c>
      <c r="F137" s="52">
        <v>3399.9</v>
      </c>
    </row>
    <row r="138" spans="1:6">
      <c r="A138" s="33" t="s">
        <v>517</v>
      </c>
      <c r="B138" s="52"/>
      <c r="C138" s="55">
        <v>143</v>
      </c>
      <c r="D138" s="56"/>
      <c r="E138" s="58" t="s">
        <v>498</v>
      </c>
      <c r="F138" s="52">
        <v>6799.8</v>
      </c>
    </row>
    <row r="139" spans="1:6">
      <c r="A139" s="33" t="s">
        <v>518</v>
      </c>
      <c r="B139" s="52">
        <v>0</v>
      </c>
      <c r="C139" s="55">
        <v>144</v>
      </c>
      <c r="D139" s="56">
        <v>0</v>
      </c>
      <c r="E139" s="58" t="s">
        <v>260</v>
      </c>
      <c r="F139" s="52">
        <v>7479.78</v>
      </c>
    </row>
    <row r="140" spans="1:6">
      <c r="A140" s="33" t="s">
        <v>519</v>
      </c>
      <c r="B140" s="52">
        <v>0</v>
      </c>
      <c r="C140" s="55">
        <v>145</v>
      </c>
      <c r="D140" s="56">
        <v>0</v>
      </c>
      <c r="E140" s="58" t="s">
        <v>458</v>
      </c>
      <c r="F140" s="52">
        <v>3399.9</v>
      </c>
    </row>
    <row r="141" spans="1:6">
      <c r="A141" s="33" t="s">
        <v>520</v>
      </c>
      <c r="B141" s="52">
        <v>0</v>
      </c>
      <c r="C141" s="55">
        <v>146</v>
      </c>
      <c r="D141" s="56">
        <v>0</v>
      </c>
      <c r="E141" s="58" t="s">
        <v>173</v>
      </c>
      <c r="F141" s="52">
        <v>3399.9</v>
      </c>
    </row>
    <row r="142" spans="1:6">
      <c r="A142" s="33" t="s">
        <v>502</v>
      </c>
      <c r="B142" s="52">
        <f>SUM(B106:B141)</f>
        <v>44878.790000000008</v>
      </c>
      <c r="C142" s="55">
        <v>147</v>
      </c>
      <c r="D142" s="56">
        <v>0</v>
      </c>
      <c r="E142" s="58" t="s">
        <v>183</v>
      </c>
      <c r="F142" s="52">
        <v>3399.9</v>
      </c>
    </row>
    <row r="143" spans="1:6">
      <c r="A143" s="66"/>
      <c r="B143" s="67"/>
      <c r="C143" s="55">
        <v>148</v>
      </c>
      <c r="D143" s="56">
        <v>0</v>
      </c>
      <c r="E143" s="58" t="s">
        <v>164</v>
      </c>
      <c r="F143" s="52">
        <v>3399.9</v>
      </c>
    </row>
    <row r="144" spans="1:6">
      <c r="A144" s="66"/>
      <c r="B144" s="67"/>
      <c r="C144" s="55">
        <v>149</v>
      </c>
      <c r="D144" s="56">
        <v>0</v>
      </c>
      <c r="E144" s="58" t="s">
        <v>174</v>
      </c>
      <c r="F144" s="52">
        <v>3399.9</v>
      </c>
    </row>
    <row r="145" spans="1:6">
      <c r="A145" s="66"/>
      <c r="B145" s="67"/>
      <c r="C145" s="55">
        <v>150</v>
      </c>
      <c r="D145" s="56">
        <v>0</v>
      </c>
      <c r="E145" s="58" t="s">
        <v>238</v>
      </c>
      <c r="F145" s="52">
        <v>3399.9</v>
      </c>
    </row>
    <row r="146" spans="1:6">
      <c r="A146" s="68"/>
      <c r="B146" s="69"/>
      <c r="C146" s="55">
        <v>151</v>
      </c>
      <c r="D146" s="56">
        <v>0</v>
      </c>
      <c r="E146" s="58" t="s">
        <v>459</v>
      </c>
      <c r="F146" s="52">
        <v>3399.9</v>
      </c>
    </row>
    <row r="147" spans="1:6">
      <c r="A147" s="61"/>
      <c r="B147" s="62"/>
      <c r="C147" s="55">
        <v>152</v>
      </c>
      <c r="D147" s="56">
        <v>0</v>
      </c>
      <c r="E147" s="58" t="s">
        <v>239</v>
      </c>
      <c r="F147" s="52">
        <v>3399.9</v>
      </c>
    </row>
    <row r="148" spans="1:6">
      <c r="A148" s="61"/>
      <c r="B148" s="62"/>
      <c r="C148" s="55">
        <v>153</v>
      </c>
      <c r="D148" s="56">
        <v>0</v>
      </c>
      <c r="E148" s="58" t="s">
        <v>175</v>
      </c>
      <c r="F148" s="52">
        <v>3399.9</v>
      </c>
    </row>
    <row r="149" spans="1:6">
      <c r="A149" s="262"/>
      <c r="B149" s="262"/>
      <c r="C149" s="55">
        <v>154</v>
      </c>
      <c r="D149" s="64" t="s">
        <v>433</v>
      </c>
      <c r="E149" s="58" t="s">
        <v>446</v>
      </c>
      <c r="F149" s="52">
        <v>3399.9</v>
      </c>
    </row>
    <row r="150" spans="1:6">
      <c r="A150" s="262"/>
      <c r="B150" s="262"/>
      <c r="C150" s="55">
        <v>155</v>
      </c>
      <c r="D150" s="64"/>
      <c r="E150" s="58" t="s">
        <v>460</v>
      </c>
      <c r="F150" s="52">
        <v>3399.9</v>
      </c>
    </row>
    <row r="151" spans="1:6">
      <c r="A151" s="263"/>
      <c r="B151" s="263"/>
      <c r="C151" s="55">
        <v>156</v>
      </c>
      <c r="D151" s="64"/>
      <c r="E151" s="58" t="s">
        <v>176</v>
      </c>
      <c r="F151" s="52">
        <v>3399.9</v>
      </c>
    </row>
    <row r="152" spans="1:6">
      <c r="A152" s="264"/>
      <c r="B152" s="264"/>
      <c r="C152" s="55">
        <v>157</v>
      </c>
      <c r="D152" s="64"/>
      <c r="E152" s="58" t="s">
        <v>177</v>
      </c>
      <c r="F152" s="52">
        <v>3399.9</v>
      </c>
    </row>
    <row r="153" spans="1:6">
      <c r="A153" s="33" t="s">
        <v>1</v>
      </c>
      <c r="B153" s="52" t="s">
        <v>2</v>
      </c>
      <c r="C153" s="55">
        <v>158</v>
      </c>
      <c r="D153" s="64"/>
      <c r="E153" s="58" t="s">
        <v>242</v>
      </c>
      <c r="F153" s="52">
        <v>3399.9</v>
      </c>
    </row>
    <row r="154" spans="1:6">
      <c r="A154" s="33" t="s">
        <v>476</v>
      </c>
      <c r="B154" s="52">
        <v>7479.78</v>
      </c>
      <c r="C154" s="55">
        <v>159</v>
      </c>
      <c r="D154" s="64"/>
      <c r="E154" s="58" t="s">
        <v>165</v>
      </c>
      <c r="F154" s="52">
        <v>3399.9</v>
      </c>
    </row>
    <row r="155" spans="1:6">
      <c r="A155" s="33" t="s">
        <v>477</v>
      </c>
      <c r="B155" s="52">
        <v>7479.78</v>
      </c>
      <c r="C155" s="55">
        <v>160</v>
      </c>
      <c r="D155" s="64"/>
      <c r="E155" s="58" t="s">
        <v>166</v>
      </c>
      <c r="F155" s="52">
        <v>3399.9</v>
      </c>
    </row>
    <row r="156" spans="1:6">
      <c r="A156" s="33" t="s">
        <v>478</v>
      </c>
      <c r="B156" s="52">
        <v>14629.78</v>
      </c>
      <c r="C156" s="55">
        <v>161</v>
      </c>
      <c r="D156" s="64"/>
      <c r="E156" s="58" t="s">
        <v>178</v>
      </c>
      <c r="F156" s="52">
        <v>3399.9</v>
      </c>
    </row>
    <row r="157" spans="1:6">
      <c r="A157" s="33" t="s">
        <v>521</v>
      </c>
      <c r="B157" s="52">
        <v>0</v>
      </c>
      <c r="C157" s="55">
        <v>162</v>
      </c>
      <c r="D157" s="64"/>
      <c r="E157" s="58" t="s">
        <v>243</v>
      </c>
      <c r="F157" s="52">
        <v>3399.9</v>
      </c>
    </row>
    <row r="158" spans="1:6">
      <c r="A158" s="33" t="s">
        <v>479</v>
      </c>
      <c r="B158" s="52">
        <v>7479.78</v>
      </c>
      <c r="C158" s="55">
        <v>163</v>
      </c>
      <c r="D158" s="64"/>
      <c r="E158" s="58" t="s">
        <v>496</v>
      </c>
      <c r="F158" s="52">
        <v>3399.9</v>
      </c>
    </row>
    <row r="159" spans="1:6">
      <c r="A159" s="33" t="s">
        <v>123</v>
      </c>
      <c r="B159" s="52">
        <v>0</v>
      </c>
      <c r="C159" s="55">
        <v>164</v>
      </c>
      <c r="D159" s="64"/>
      <c r="E159" s="58" t="s">
        <v>497</v>
      </c>
      <c r="F159" s="52">
        <v>3399.9</v>
      </c>
    </row>
    <row r="160" spans="1:6">
      <c r="A160" s="33" t="s">
        <v>522</v>
      </c>
      <c r="B160" s="52"/>
      <c r="C160" s="55">
        <v>165</v>
      </c>
      <c r="D160" s="64"/>
      <c r="E160" s="58" t="s">
        <v>143</v>
      </c>
      <c r="F160" s="52">
        <v>10199.700000000001</v>
      </c>
    </row>
    <row r="161" spans="1:6">
      <c r="A161" s="33" t="s">
        <v>523</v>
      </c>
      <c r="B161" s="52">
        <v>0</v>
      </c>
      <c r="C161" s="55">
        <v>166</v>
      </c>
      <c r="D161" s="64"/>
      <c r="E161" s="58" t="s">
        <v>244</v>
      </c>
      <c r="F161" s="52">
        <v>7479.78</v>
      </c>
    </row>
    <row r="162" spans="1:6">
      <c r="A162" s="33" t="s">
        <v>480</v>
      </c>
      <c r="B162" s="52">
        <v>7479.78</v>
      </c>
      <c r="C162" s="55">
        <v>167</v>
      </c>
      <c r="D162" s="64"/>
      <c r="E162" s="58" t="s">
        <v>261</v>
      </c>
      <c r="F162" s="52">
        <v>7479.78</v>
      </c>
    </row>
    <row r="163" spans="1:6">
      <c r="A163" s="33" t="s">
        <v>481</v>
      </c>
      <c r="B163" s="52">
        <v>7479.78</v>
      </c>
      <c r="C163" s="55">
        <v>168</v>
      </c>
      <c r="D163" s="64"/>
      <c r="E163" s="63" t="s">
        <v>389</v>
      </c>
      <c r="F163" s="52">
        <v>3399.9</v>
      </c>
    </row>
    <row r="164" spans="1:6">
      <c r="A164" s="33" t="s">
        <v>524</v>
      </c>
      <c r="B164" s="52">
        <v>0</v>
      </c>
      <c r="C164" s="55">
        <v>169</v>
      </c>
      <c r="D164" s="64"/>
      <c r="E164" s="58" t="s">
        <v>417</v>
      </c>
      <c r="F164" s="52">
        <v>3399.9</v>
      </c>
    </row>
    <row r="165" spans="1:6">
      <c r="A165" s="33" t="s">
        <v>124</v>
      </c>
      <c r="B165" s="52">
        <v>0</v>
      </c>
      <c r="C165" s="55">
        <v>170</v>
      </c>
      <c r="D165" s="64"/>
      <c r="E165" s="58" t="s">
        <v>245</v>
      </c>
      <c r="F165" s="52">
        <v>7479.78</v>
      </c>
    </row>
    <row r="166" spans="1:6">
      <c r="A166" s="33" t="s">
        <v>525</v>
      </c>
      <c r="B166" s="52">
        <v>0</v>
      </c>
      <c r="C166" s="55">
        <v>171</v>
      </c>
      <c r="D166" s="64"/>
      <c r="E166" s="58" t="s">
        <v>246</v>
      </c>
      <c r="F166" s="52">
        <v>7479.78</v>
      </c>
    </row>
    <row r="167" spans="1:6">
      <c r="A167" s="33" t="s">
        <v>526</v>
      </c>
      <c r="B167" s="52"/>
      <c r="C167" s="55">
        <v>172</v>
      </c>
      <c r="D167" s="64"/>
      <c r="E167" s="58" t="s">
        <v>247</v>
      </c>
      <c r="F167" s="52">
        <v>7479.78</v>
      </c>
    </row>
    <row r="168" spans="1:6">
      <c r="A168" s="33" t="s">
        <v>482</v>
      </c>
      <c r="B168" s="52">
        <v>3399.9</v>
      </c>
      <c r="C168" s="55">
        <v>173</v>
      </c>
      <c r="D168" s="64"/>
      <c r="E168" s="63" t="s">
        <v>248</v>
      </c>
      <c r="F168" s="52">
        <v>7479.78</v>
      </c>
    </row>
    <row r="169" spans="1:6">
      <c r="A169" s="33" t="s">
        <v>527</v>
      </c>
      <c r="B169" s="52">
        <v>0</v>
      </c>
      <c r="C169" s="55">
        <v>174</v>
      </c>
      <c r="D169" s="64"/>
      <c r="E169" s="58" t="s">
        <v>249</v>
      </c>
      <c r="F169" s="52">
        <v>7479.78</v>
      </c>
    </row>
    <row r="170" spans="1:6">
      <c r="A170" s="33" t="s">
        <v>125</v>
      </c>
      <c r="B170" s="52">
        <v>3399.9</v>
      </c>
      <c r="C170" s="55">
        <v>175</v>
      </c>
      <c r="D170" s="64"/>
      <c r="E170" s="58" t="s">
        <v>250</v>
      </c>
      <c r="F170" s="52">
        <v>7479.78</v>
      </c>
    </row>
    <row r="171" spans="1:6">
      <c r="A171" s="33" t="s">
        <v>404</v>
      </c>
      <c r="B171" s="52">
        <v>3399.9</v>
      </c>
      <c r="C171" s="55">
        <v>176</v>
      </c>
      <c r="D171" s="64"/>
      <c r="E171" s="58" t="s">
        <v>156</v>
      </c>
      <c r="F171" s="52">
        <v>7479.78</v>
      </c>
    </row>
    <row r="172" spans="1:6">
      <c r="A172" s="33" t="s">
        <v>528</v>
      </c>
      <c r="B172" s="52">
        <v>0</v>
      </c>
      <c r="C172" s="55">
        <v>177</v>
      </c>
      <c r="D172" s="64"/>
      <c r="E172" s="58" t="s">
        <v>157</v>
      </c>
      <c r="F172" s="52">
        <v>3399.9</v>
      </c>
    </row>
    <row r="173" spans="1:6">
      <c r="A173" s="33" t="s">
        <v>235</v>
      </c>
      <c r="B173" s="52">
        <v>0</v>
      </c>
      <c r="C173" s="55">
        <v>178</v>
      </c>
      <c r="D173" s="64"/>
      <c r="E173" s="58" t="s">
        <v>251</v>
      </c>
      <c r="F173" s="52">
        <v>7479.78</v>
      </c>
    </row>
    <row r="174" spans="1:6">
      <c r="A174" s="33" t="s">
        <v>126</v>
      </c>
      <c r="B174" s="52">
        <v>0</v>
      </c>
      <c r="C174" s="55">
        <v>179</v>
      </c>
      <c r="D174" s="64"/>
      <c r="E174" s="58" t="s">
        <v>418</v>
      </c>
      <c r="F174" s="52">
        <v>3399.9</v>
      </c>
    </row>
    <row r="175" spans="1:6">
      <c r="A175" s="33" t="s">
        <v>529</v>
      </c>
      <c r="B175" s="52">
        <v>0</v>
      </c>
      <c r="C175" s="55">
        <v>180</v>
      </c>
      <c r="D175" s="64"/>
      <c r="E175" s="58" t="s">
        <v>253</v>
      </c>
      <c r="F175" s="52">
        <v>7479.78</v>
      </c>
    </row>
    <row r="176" spans="1:6">
      <c r="A176" s="33" t="s">
        <v>530</v>
      </c>
      <c r="B176" s="52">
        <v>0</v>
      </c>
      <c r="C176" s="55">
        <v>181</v>
      </c>
      <c r="D176" s="64"/>
      <c r="E176" s="58" t="s">
        <v>419</v>
      </c>
      <c r="F176" s="52">
        <v>7479.78</v>
      </c>
    </row>
    <row r="177" spans="1:6">
      <c r="A177" s="33" t="s">
        <v>127</v>
      </c>
      <c r="B177" s="52">
        <v>0</v>
      </c>
      <c r="C177" s="55">
        <v>182</v>
      </c>
      <c r="D177" s="64"/>
      <c r="E177" s="58" t="s">
        <v>254</v>
      </c>
      <c r="F177" s="52">
        <v>3399.9</v>
      </c>
    </row>
    <row r="178" spans="1:6">
      <c r="A178" s="33" t="s">
        <v>128</v>
      </c>
      <c r="B178" s="52"/>
      <c r="C178" s="55">
        <v>183</v>
      </c>
      <c r="D178" s="64"/>
      <c r="E178" s="58" t="s">
        <v>255</v>
      </c>
      <c r="F178" s="52">
        <v>3399.9</v>
      </c>
    </row>
    <row r="179" spans="1:6">
      <c r="A179" s="33" t="s">
        <v>236</v>
      </c>
      <c r="B179" s="52">
        <v>3399.95</v>
      </c>
      <c r="C179" s="55">
        <v>184</v>
      </c>
      <c r="D179" s="64"/>
      <c r="E179" s="58" t="s">
        <v>160</v>
      </c>
      <c r="F179" s="52">
        <v>10199.700000000001</v>
      </c>
    </row>
    <row r="180" spans="1:6">
      <c r="A180" s="33" t="s">
        <v>531</v>
      </c>
      <c r="B180" s="52">
        <v>0</v>
      </c>
      <c r="C180" s="55">
        <v>185</v>
      </c>
      <c r="D180" s="64"/>
      <c r="E180" s="58" t="s">
        <v>256</v>
      </c>
      <c r="F180" s="52">
        <v>7479.78</v>
      </c>
    </row>
    <row r="181" spans="1:6">
      <c r="A181" s="33" t="s">
        <v>129</v>
      </c>
      <c r="B181" s="52">
        <v>0</v>
      </c>
      <c r="C181" s="55">
        <v>186</v>
      </c>
      <c r="D181" s="64"/>
      <c r="E181" s="58" t="s">
        <v>455</v>
      </c>
      <c r="F181" s="52">
        <v>7479.78</v>
      </c>
    </row>
    <row r="182" spans="1:6">
      <c r="A182" s="33" t="s">
        <v>172</v>
      </c>
      <c r="B182" s="52">
        <v>3399.9</v>
      </c>
      <c r="C182" s="55">
        <v>187</v>
      </c>
      <c r="D182" s="64"/>
      <c r="E182" s="58" t="s">
        <v>257</v>
      </c>
      <c r="F182" s="52">
        <v>7479.78</v>
      </c>
    </row>
    <row r="183" spans="1:6">
      <c r="A183" s="33" t="s">
        <v>130</v>
      </c>
      <c r="B183" s="52">
        <v>0</v>
      </c>
      <c r="C183" s="55">
        <v>188</v>
      </c>
      <c r="D183" s="64"/>
      <c r="E183" s="58" t="s">
        <v>161</v>
      </c>
      <c r="F183" s="52">
        <v>3399.9</v>
      </c>
    </row>
    <row r="184" spans="1:6">
      <c r="A184" s="33" t="s">
        <v>532</v>
      </c>
      <c r="B184" s="52">
        <v>0</v>
      </c>
      <c r="C184" s="257" t="s">
        <v>163</v>
      </c>
      <c r="D184" s="258"/>
      <c r="E184" s="259"/>
      <c r="F184" s="65">
        <f>SUM(F2:F183)</f>
        <v>1195423.3300000024</v>
      </c>
    </row>
    <row r="185" spans="1:6">
      <c r="A185" s="33" t="s">
        <v>533</v>
      </c>
      <c r="B185" s="52">
        <v>0</v>
      </c>
      <c r="F185" s="40">
        <f>F184</f>
        <v>1195423.3300000024</v>
      </c>
    </row>
    <row r="186" spans="1:6">
      <c r="A186" s="33" t="s">
        <v>534</v>
      </c>
      <c r="B186" s="52">
        <v>0</v>
      </c>
    </row>
    <row r="187" spans="1:6">
      <c r="A187" s="33" t="s">
        <v>131</v>
      </c>
      <c r="B187" s="52">
        <v>3399.9</v>
      </c>
    </row>
    <row r="188" spans="1:6">
      <c r="A188" s="33" t="s">
        <v>483</v>
      </c>
      <c r="B188" s="52">
        <v>3399.9</v>
      </c>
      <c r="F188" s="56">
        <v>1202223.1300000001</v>
      </c>
    </row>
    <row r="189" spans="1:6">
      <c r="A189" s="33" t="s">
        <v>535</v>
      </c>
      <c r="B189" s="52">
        <v>0</v>
      </c>
      <c r="F189" s="40">
        <f>F185-F188</f>
        <v>-6799.7999999977183</v>
      </c>
    </row>
    <row r="190" spans="1:6">
      <c r="A190" s="33" t="s">
        <v>132</v>
      </c>
      <c r="B190" s="52">
        <v>0</v>
      </c>
      <c r="F190" s="37">
        <f>F189/2</f>
        <v>-3399.8999999988591</v>
      </c>
    </row>
    <row r="191" spans="1:6">
      <c r="A191" s="33" t="s">
        <v>536</v>
      </c>
      <c r="B191" s="52"/>
      <c r="F191" s="38"/>
    </row>
    <row r="192" spans="1:6">
      <c r="A192" s="33" t="s">
        <v>484</v>
      </c>
      <c r="B192" s="52">
        <v>3399.9</v>
      </c>
    </row>
    <row r="193" spans="1:2">
      <c r="A193" s="33" t="s">
        <v>537</v>
      </c>
      <c r="B193" s="52">
        <v>0</v>
      </c>
    </row>
    <row r="194" spans="1:2">
      <c r="A194" s="33" t="s">
        <v>133</v>
      </c>
      <c r="B194" s="52">
        <v>0</v>
      </c>
    </row>
    <row r="195" spans="1:2">
      <c r="A195" s="33" t="s">
        <v>485</v>
      </c>
      <c r="B195" s="52">
        <v>3399.9</v>
      </c>
    </row>
    <row r="196" spans="1:2">
      <c r="A196" s="33" t="s">
        <v>405</v>
      </c>
      <c r="B196" s="52">
        <v>0</v>
      </c>
    </row>
    <row r="197" spans="1:2">
      <c r="A197" s="33" t="s">
        <v>538</v>
      </c>
      <c r="B197" s="52">
        <v>0</v>
      </c>
    </row>
    <row r="198" spans="1:2">
      <c r="A198" s="33" t="s">
        <v>539</v>
      </c>
      <c r="B198" s="52">
        <v>0</v>
      </c>
    </row>
    <row r="199" spans="1:2">
      <c r="A199" s="33" t="s">
        <v>486</v>
      </c>
      <c r="B199" s="52">
        <v>3399.9</v>
      </c>
    </row>
    <row r="200" spans="1:2">
      <c r="A200" s="33" t="s">
        <v>540</v>
      </c>
      <c r="B200" s="52">
        <v>0</v>
      </c>
    </row>
    <row r="201" spans="1:2">
      <c r="A201" s="33" t="s">
        <v>541</v>
      </c>
      <c r="B201" s="52">
        <v>0</v>
      </c>
    </row>
    <row r="202" spans="1:2">
      <c r="A202" s="33" t="s">
        <v>542</v>
      </c>
      <c r="B202" s="52">
        <v>0</v>
      </c>
    </row>
    <row r="203" spans="1:2">
      <c r="A203" s="33" t="s">
        <v>135</v>
      </c>
      <c r="B203" s="52">
        <v>3399.9</v>
      </c>
    </row>
    <row r="204" spans="1:2">
      <c r="A204" s="33" t="s">
        <v>487</v>
      </c>
      <c r="B204" s="52">
        <v>3399.9</v>
      </c>
    </row>
    <row r="205" spans="1:2">
      <c r="A205" s="33" t="s">
        <v>136</v>
      </c>
      <c r="B205" s="52">
        <v>0</v>
      </c>
    </row>
    <row r="206" spans="1:2">
      <c r="A206" s="33" t="s">
        <v>137</v>
      </c>
      <c r="B206" s="52">
        <v>0</v>
      </c>
    </row>
    <row r="207" spans="1:2">
      <c r="A207" s="33" t="s">
        <v>138</v>
      </c>
      <c r="B207" s="52">
        <v>3399.9</v>
      </c>
    </row>
    <row r="208" spans="1:2">
      <c r="A208" s="33" t="s">
        <v>543</v>
      </c>
      <c r="B208" s="52">
        <v>0</v>
      </c>
    </row>
    <row r="209" spans="1:2">
      <c r="A209" s="33" t="s">
        <v>237</v>
      </c>
      <c r="B209" s="52">
        <v>3399.95</v>
      </c>
    </row>
    <row r="210" spans="1:2">
      <c r="A210" s="33" t="s">
        <v>544</v>
      </c>
      <c r="B210" s="52">
        <v>0</v>
      </c>
    </row>
    <row r="211" spans="1:2">
      <c r="A211" s="33" t="s">
        <v>545</v>
      </c>
      <c r="B211" s="52">
        <v>0</v>
      </c>
    </row>
    <row r="212" spans="1:2">
      <c r="A212" s="33" t="s">
        <v>546</v>
      </c>
      <c r="B212" s="52">
        <v>0</v>
      </c>
    </row>
    <row r="213" spans="1:2">
      <c r="A213" s="33" t="s">
        <v>139</v>
      </c>
      <c r="B213" s="52">
        <v>0</v>
      </c>
    </row>
    <row r="214" spans="1:2">
      <c r="A214" s="33" t="s">
        <v>547</v>
      </c>
      <c r="B214" s="52">
        <v>0</v>
      </c>
    </row>
    <row r="215" spans="1:2">
      <c r="A215" s="33" t="s">
        <v>500</v>
      </c>
      <c r="B215" s="52">
        <v>6799.8</v>
      </c>
    </row>
    <row r="216" spans="1:2">
      <c r="A216" s="33" t="s">
        <v>502</v>
      </c>
      <c r="B216" s="52">
        <f>SUM(B154:B215)</f>
        <v>106427.17999999995</v>
      </c>
    </row>
    <row r="217" spans="1:2">
      <c r="A217" s="66"/>
      <c r="B217" s="67"/>
    </row>
    <row r="218" spans="1:2">
      <c r="A218" s="66"/>
      <c r="B218" s="67"/>
    </row>
    <row r="219" spans="1:2">
      <c r="A219" s="66"/>
      <c r="B219" s="67"/>
    </row>
    <row r="220" spans="1:2">
      <c r="A220" s="59"/>
      <c r="B220" s="60"/>
    </row>
    <row r="221" spans="1:2">
      <c r="A221" s="61"/>
      <c r="B221" s="62"/>
    </row>
    <row r="222" spans="1:2">
      <c r="A222" s="59"/>
      <c r="B222" s="60"/>
    </row>
    <row r="223" spans="1:2">
      <c r="A223" s="262"/>
      <c r="B223" s="262"/>
    </row>
    <row r="224" spans="1:2">
      <c r="A224" s="262"/>
      <c r="B224" s="262"/>
    </row>
    <row r="225" spans="1:2">
      <c r="A225" s="263"/>
      <c r="B225" s="263"/>
    </row>
    <row r="226" spans="1:2">
      <c r="A226" s="264"/>
      <c r="B226" s="264"/>
    </row>
    <row r="227" spans="1:2">
      <c r="A227" s="33" t="s">
        <v>1</v>
      </c>
      <c r="B227" s="52" t="s">
        <v>2</v>
      </c>
    </row>
    <row r="228" spans="1:2">
      <c r="A228" s="33" t="s">
        <v>260</v>
      </c>
      <c r="B228" s="52">
        <v>7479.78</v>
      </c>
    </row>
    <row r="229" spans="1:2">
      <c r="A229" s="33" t="s">
        <v>548</v>
      </c>
      <c r="B229" s="52">
        <v>0</v>
      </c>
    </row>
    <row r="230" spans="1:2">
      <c r="A230" s="33" t="s">
        <v>488</v>
      </c>
      <c r="B230" s="52">
        <v>3399.9</v>
      </c>
    </row>
    <row r="231" spans="1:2">
      <c r="A231" s="33" t="s">
        <v>173</v>
      </c>
      <c r="B231" s="52">
        <v>3399.9</v>
      </c>
    </row>
    <row r="232" spans="1:2">
      <c r="A232" s="33" t="s">
        <v>183</v>
      </c>
      <c r="B232" s="52">
        <v>3399.9</v>
      </c>
    </row>
    <row r="233" spans="1:2">
      <c r="A233" s="33" t="s">
        <v>549</v>
      </c>
      <c r="B233" s="52">
        <v>0</v>
      </c>
    </row>
    <row r="234" spans="1:2">
      <c r="A234" s="33" t="s">
        <v>550</v>
      </c>
      <c r="B234" s="52">
        <v>0</v>
      </c>
    </row>
    <row r="235" spans="1:2">
      <c r="A235" s="33" t="s">
        <v>551</v>
      </c>
      <c r="B235" s="52">
        <v>0</v>
      </c>
    </row>
    <row r="236" spans="1:2">
      <c r="A236" s="33" t="s">
        <v>164</v>
      </c>
      <c r="B236" s="52">
        <v>3399.9</v>
      </c>
    </row>
    <row r="237" spans="1:2">
      <c r="A237" s="33" t="s">
        <v>552</v>
      </c>
      <c r="B237" s="52">
        <v>0</v>
      </c>
    </row>
    <row r="238" spans="1:2">
      <c r="A238" s="33" t="s">
        <v>553</v>
      </c>
      <c r="B238" s="52">
        <v>0</v>
      </c>
    </row>
    <row r="239" spans="1:2">
      <c r="A239" s="33" t="s">
        <v>174</v>
      </c>
      <c r="B239" s="52">
        <v>3399.9</v>
      </c>
    </row>
    <row r="240" spans="1:2">
      <c r="A240" s="33" t="s">
        <v>554</v>
      </c>
      <c r="B240" s="52">
        <v>0</v>
      </c>
    </row>
    <row r="241" spans="1:2">
      <c r="A241" s="33" t="s">
        <v>141</v>
      </c>
      <c r="B241" s="52">
        <v>0</v>
      </c>
    </row>
    <row r="242" spans="1:2">
      <c r="A242" s="33" t="s">
        <v>238</v>
      </c>
      <c r="B242" s="52">
        <v>3399.9</v>
      </c>
    </row>
    <row r="243" spans="1:2">
      <c r="A243" s="33" t="s">
        <v>555</v>
      </c>
      <c r="B243" s="52">
        <v>0</v>
      </c>
    </row>
    <row r="244" spans="1:2">
      <c r="A244" s="33" t="s">
        <v>556</v>
      </c>
      <c r="B244" s="52">
        <v>0</v>
      </c>
    </row>
    <row r="245" spans="1:2">
      <c r="A245" s="33" t="s">
        <v>557</v>
      </c>
      <c r="B245" s="52">
        <v>0</v>
      </c>
    </row>
    <row r="246" spans="1:2">
      <c r="A246" s="33" t="s">
        <v>239</v>
      </c>
      <c r="B246" s="52">
        <v>3399.9</v>
      </c>
    </row>
    <row r="247" spans="1:2">
      <c r="A247" s="33" t="s">
        <v>558</v>
      </c>
      <c r="B247" s="52">
        <v>0</v>
      </c>
    </row>
    <row r="248" spans="1:2">
      <c r="A248" s="33" t="s">
        <v>175</v>
      </c>
      <c r="B248" s="52">
        <v>3399.9</v>
      </c>
    </row>
    <row r="249" spans="1:2">
      <c r="A249" s="33" t="s">
        <v>559</v>
      </c>
      <c r="B249" s="52">
        <v>0</v>
      </c>
    </row>
    <row r="250" spans="1:2">
      <c r="A250" s="33" t="s">
        <v>489</v>
      </c>
      <c r="B250" s="52">
        <v>3399.9</v>
      </c>
    </row>
    <row r="251" spans="1:2">
      <c r="A251" s="33" t="s">
        <v>560</v>
      </c>
      <c r="B251" s="52">
        <v>0</v>
      </c>
    </row>
    <row r="252" spans="1:2">
      <c r="A252" s="33" t="s">
        <v>561</v>
      </c>
      <c r="B252" s="52">
        <v>0</v>
      </c>
    </row>
    <row r="253" spans="1:2">
      <c r="A253" s="33" t="s">
        <v>562</v>
      </c>
      <c r="B253" s="52">
        <v>0</v>
      </c>
    </row>
    <row r="254" spans="1:2">
      <c r="A254" s="33" t="s">
        <v>563</v>
      </c>
      <c r="B254" s="52">
        <v>0</v>
      </c>
    </row>
    <row r="255" spans="1:2">
      <c r="A255" s="33" t="s">
        <v>490</v>
      </c>
      <c r="B255" s="52">
        <v>3399.9</v>
      </c>
    </row>
    <row r="256" spans="1:2">
      <c r="A256" s="33" t="s">
        <v>564</v>
      </c>
      <c r="B256" s="52">
        <v>0</v>
      </c>
    </row>
    <row r="257" spans="1:2">
      <c r="A257" s="33" t="s">
        <v>565</v>
      </c>
      <c r="B257" s="52">
        <v>0</v>
      </c>
    </row>
    <row r="258" spans="1:2">
      <c r="A258" s="33" t="s">
        <v>566</v>
      </c>
      <c r="B258" s="52">
        <v>0</v>
      </c>
    </row>
    <row r="259" spans="1:2">
      <c r="A259" s="33" t="s">
        <v>142</v>
      </c>
      <c r="B259" s="52">
        <v>0</v>
      </c>
    </row>
    <row r="260" spans="1:2">
      <c r="A260" s="33" t="s">
        <v>446</v>
      </c>
      <c r="B260" s="52">
        <v>3399.9</v>
      </c>
    </row>
    <row r="261" spans="1:2">
      <c r="A261" s="33" t="s">
        <v>567</v>
      </c>
      <c r="B261" s="52">
        <v>0</v>
      </c>
    </row>
    <row r="262" spans="1:2">
      <c r="A262" s="33" t="s">
        <v>568</v>
      </c>
      <c r="B262" s="52">
        <v>0</v>
      </c>
    </row>
    <row r="263" spans="1:2">
      <c r="A263" s="33" t="s">
        <v>569</v>
      </c>
      <c r="B263" s="52">
        <v>0</v>
      </c>
    </row>
    <row r="264" spans="1:2">
      <c r="A264" s="33" t="s">
        <v>176</v>
      </c>
      <c r="B264" s="52">
        <v>3399.9</v>
      </c>
    </row>
    <row r="265" spans="1:2">
      <c r="A265" s="33" t="s">
        <v>177</v>
      </c>
      <c r="B265" s="52">
        <v>3399.9</v>
      </c>
    </row>
    <row r="266" spans="1:2">
      <c r="A266" s="33" t="s">
        <v>570</v>
      </c>
      <c r="B266" s="52">
        <v>0</v>
      </c>
    </row>
    <row r="267" spans="1:2">
      <c r="A267" s="33" t="s">
        <v>242</v>
      </c>
      <c r="B267" s="52">
        <v>3399.9</v>
      </c>
    </row>
    <row r="268" spans="1:2">
      <c r="A268" s="33" t="s">
        <v>571</v>
      </c>
      <c r="B268" s="52">
        <v>0</v>
      </c>
    </row>
    <row r="269" spans="1:2">
      <c r="A269" s="33" t="s">
        <v>165</v>
      </c>
      <c r="B269" s="52">
        <v>3399.9</v>
      </c>
    </row>
    <row r="270" spans="1:2">
      <c r="A270" s="33" t="s">
        <v>166</v>
      </c>
      <c r="B270" s="52">
        <v>3399.9</v>
      </c>
    </row>
    <row r="271" spans="1:2">
      <c r="A271" s="33" t="s">
        <v>178</v>
      </c>
      <c r="B271" s="52">
        <v>3399.9</v>
      </c>
    </row>
    <row r="272" spans="1:2">
      <c r="A272" s="33" t="s">
        <v>572</v>
      </c>
      <c r="B272" s="52">
        <v>0</v>
      </c>
    </row>
    <row r="273" spans="1:2">
      <c r="A273" s="33" t="s">
        <v>573</v>
      </c>
      <c r="B273" s="52">
        <v>0</v>
      </c>
    </row>
    <row r="274" spans="1:2">
      <c r="A274" s="33" t="s">
        <v>574</v>
      </c>
      <c r="B274" s="52">
        <v>0</v>
      </c>
    </row>
    <row r="275" spans="1:2">
      <c r="A275" s="33" t="s">
        <v>575</v>
      </c>
      <c r="B275" s="52">
        <v>0</v>
      </c>
    </row>
    <row r="276" spans="1:2">
      <c r="A276" s="33" t="s">
        <v>576</v>
      </c>
      <c r="B276" s="52">
        <v>0</v>
      </c>
    </row>
    <row r="277" spans="1:2">
      <c r="A277" s="33" t="s">
        <v>577</v>
      </c>
      <c r="B277" s="52">
        <v>0</v>
      </c>
    </row>
    <row r="278" spans="1:2">
      <c r="A278" s="33" t="s">
        <v>578</v>
      </c>
      <c r="B278" s="52">
        <v>0</v>
      </c>
    </row>
    <row r="279" spans="1:2">
      <c r="A279" s="33" t="s">
        <v>579</v>
      </c>
      <c r="B279" s="52">
        <v>0</v>
      </c>
    </row>
    <row r="280" spans="1:2">
      <c r="A280" s="33" t="s">
        <v>580</v>
      </c>
      <c r="B280" s="52">
        <v>0</v>
      </c>
    </row>
    <row r="281" spans="1:2">
      <c r="A281" s="33" t="s">
        <v>581</v>
      </c>
      <c r="B281" s="52">
        <v>0</v>
      </c>
    </row>
    <row r="282" spans="1:2">
      <c r="A282" s="33" t="s">
        <v>243</v>
      </c>
      <c r="B282" s="52">
        <v>3399.9</v>
      </c>
    </row>
    <row r="283" spans="1:2">
      <c r="A283" s="33" t="s">
        <v>582</v>
      </c>
      <c r="B283" s="52">
        <v>0</v>
      </c>
    </row>
    <row r="284" spans="1:2">
      <c r="A284" s="33" t="s">
        <v>583</v>
      </c>
      <c r="B284" s="52">
        <v>0</v>
      </c>
    </row>
    <row r="285" spans="1:2">
      <c r="A285" s="33" t="s">
        <v>584</v>
      </c>
      <c r="B285" s="52">
        <v>0</v>
      </c>
    </row>
    <row r="286" spans="1:2">
      <c r="A286" s="33" t="s">
        <v>585</v>
      </c>
      <c r="B286" s="52">
        <v>0</v>
      </c>
    </row>
    <row r="287" spans="1:2">
      <c r="A287" s="33" t="s">
        <v>586</v>
      </c>
      <c r="B287" s="52">
        <v>0</v>
      </c>
    </row>
    <row r="288" spans="1:2">
      <c r="A288" s="33" t="s">
        <v>587</v>
      </c>
      <c r="B288" s="52">
        <v>0</v>
      </c>
    </row>
    <row r="289" spans="1:2">
      <c r="A289" s="33" t="s">
        <v>588</v>
      </c>
      <c r="B289" s="52">
        <v>0</v>
      </c>
    </row>
    <row r="290" spans="1:2">
      <c r="A290" s="33" t="s">
        <v>589</v>
      </c>
      <c r="B290" s="52">
        <v>0</v>
      </c>
    </row>
    <row r="291" spans="1:2">
      <c r="A291" s="33" t="s">
        <v>590</v>
      </c>
      <c r="B291" s="52">
        <v>0</v>
      </c>
    </row>
    <row r="292" spans="1:2">
      <c r="A292" s="33" t="s">
        <v>591</v>
      </c>
      <c r="B292" s="52">
        <v>0</v>
      </c>
    </row>
    <row r="293" spans="1:2">
      <c r="A293" s="33" t="s">
        <v>592</v>
      </c>
      <c r="B293" s="52">
        <v>0</v>
      </c>
    </row>
    <row r="294" spans="1:2">
      <c r="A294" s="33" t="s">
        <v>593</v>
      </c>
      <c r="B294" s="52">
        <v>0</v>
      </c>
    </row>
    <row r="295" spans="1:2">
      <c r="A295" s="33" t="s">
        <v>594</v>
      </c>
      <c r="B295" s="52">
        <v>0</v>
      </c>
    </row>
    <row r="296" spans="1:2">
      <c r="A296" s="33" t="s">
        <v>595</v>
      </c>
      <c r="B296" s="52">
        <v>0</v>
      </c>
    </row>
    <row r="297" spans="1:2">
      <c r="A297" s="33" t="s">
        <v>596</v>
      </c>
      <c r="B297" s="52">
        <v>0</v>
      </c>
    </row>
    <row r="298" spans="1:2">
      <c r="A298" s="33" t="s">
        <v>597</v>
      </c>
      <c r="B298" s="52">
        <v>0</v>
      </c>
    </row>
    <row r="299" spans="1:2">
      <c r="A299" s="33" t="s">
        <v>598</v>
      </c>
      <c r="B299" s="52">
        <v>0</v>
      </c>
    </row>
    <row r="300" spans="1:2">
      <c r="A300" s="33" t="s">
        <v>599</v>
      </c>
      <c r="B300" s="52">
        <v>0</v>
      </c>
    </row>
    <row r="301" spans="1:2">
      <c r="A301" s="33" t="s">
        <v>600</v>
      </c>
      <c r="B301" s="52">
        <v>0</v>
      </c>
    </row>
    <row r="302" spans="1:2">
      <c r="A302" s="33" t="s">
        <v>601</v>
      </c>
      <c r="B302" s="52">
        <v>0</v>
      </c>
    </row>
    <row r="303" spans="1:2">
      <c r="A303" s="33" t="s">
        <v>602</v>
      </c>
      <c r="B303" s="52">
        <v>0</v>
      </c>
    </row>
    <row r="304" spans="1:2">
      <c r="A304" s="33" t="s">
        <v>603</v>
      </c>
      <c r="B304" s="52">
        <v>0</v>
      </c>
    </row>
    <row r="305" spans="1:2">
      <c r="A305" s="33" t="s">
        <v>604</v>
      </c>
      <c r="B305" s="52">
        <v>0</v>
      </c>
    </row>
    <row r="306" spans="1:2">
      <c r="A306" s="33" t="s">
        <v>605</v>
      </c>
      <c r="B306" s="52">
        <v>0</v>
      </c>
    </row>
    <row r="307" spans="1:2">
      <c r="A307" s="33" t="s">
        <v>606</v>
      </c>
      <c r="B307" s="52">
        <v>0</v>
      </c>
    </row>
    <row r="308" spans="1:2">
      <c r="A308" s="33" t="s">
        <v>607</v>
      </c>
      <c r="B308" s="52">
        <v>0</v>
      </c>
    </row>
    <row r="309" spans="1:2">
      <c r="A309" s="33" t="s">
        <v>608</v>
      </c>
      <c r="B309" s="52">
        <v>0</v>
      </c>
    </row>
    <row r="310" spans="1:2">
      <c r="A310" s="33" t="s">
        <v>609</v>
      </c>
      <c r="B310" s="52">
        <v>0</v>
      </c>
    </row>
    <row r="311" spans="1:2">
      <c r="A311" s="33" t="s">
        <v>610</v>
      </c>
      <c r="B311" s="52">
        <v>0</v>
      </c>
    </row>
    <row r="312" spans="1:2">
      <c r="A312" s="33" t="s">
        <v>611</v>
      </c>
      <c r="B312" s="52">
        <v>0</v>
      </c>
    </row>
    <row r="313" spans="1:2">
      <c r="A313" s="33" t="s">
        <v>612</v>
      </c>
      <c r="B313" s="52">
        <v>0</v>
      </c>
    </row>
    <row r="314" spans="1:2">
      <c r="A314" s="33" t="s">
        <v>613</v>
      </c>
      <c r="B314" s="52">
        <v>0</v>
      </c>
    </row>
    <row r="315" spans="1:2">
      <c r="A315" s="33" t="s">
        <v>614</v>
      </c>
      <c r="B315" s="52">
        <v>0</v>
      </c>
    </row>
    <row r="316" spans="1:2">
      <c r="A316" s="33" t="s">
        <v>497</v>
      </c>
      <c r="B316" s="52">
        <v>3399.9</v>
      </c>
    </row>
    <row r="317" spans="1:2">
      <c r="A317" s="33" t="s">
        <v>496</v>
      </c>
      <c r="B317" s="52">
        <v>3399.9</v>
      </c>
    </row>
    <row r="318" spans="1:2">
      <c r="A318" s="33" t="s">
        <v>615</v>
      </c>
      <c r="B318" s="52">
        <v>0</v>
      </c>
    </row>
    <row r="319" spans="1:2">
      <c r="A319" s="33" t="s">
        <v>616</v>
      </c>
      <c r="B319" s="52">
        <v>0</v>
      </c>
    </row>
    <row r="320" spans="1:2">
      <c r="A320" s="33" t="s">
        <v>617</v>
      </c>
      <c r="B320" s="52">
        <v>0</v>
      </c>
    </row>
    <row r="321" spans="1:2">
      <c r="A321" s="33" t="s">
        <v>618</v>
      </c>
      <c r="B321" s="52">
        <v>0</v>
      </c>
    </row>
    <row r="322" spans="1:2">
      <c r="A322" s="33" t="s">
        <v>619</v>
      </c>
      <c r="B322" s="52">
        <v>0</v>
      </c>
    </row>
    <row r="323" spans="1:2">
      <c r="A323" s="33" t="s">
        <v>620</v>
      </c>
      <c r="B323" s="52">
        <v>0</v>
      </c>
    </row>
    <row r="324" spans="1:2">
      <c r="A324" s="33" t="s">
        <v>621</v>
      </c>
      <c r="B324" s="52">
        <v>0</v>
      </c>
    </row>
    <row r="325" spans="1:2">
      <c r="A325" s="33" t="s">
        <v>622</v>
      </c>
      <c r="B325" s="52">
        <v>0</v>
      </c>
    </row>
    <row r="326" spans="1:2">
      <c r="A326" s="33" t="s">
        <v>502</v>
      </c>
      <c r="B326" s="52">
        <f>SUM(B228:B325)</f>
        <v>75477.78</v>
      </c>
    </row>
    <row r="327" spans="1:2">
      <c r="A327" s="66"/>
      <c r="B327" s="67"/>
    </row>
    <row r="328" spans="1:2">
      <c r="A328" s="59"/>
      <c r="B328" s="60"/>
    </row>
    <row r="329" spans="1:2">
      <c r="A329" s="59"/>
      <c r="B329" s="60"/>
    </row>
    <row r="330" spans="1:2">
      <c r="A330" s="262"/>
      <c r="B330" s="262"/>
    </row>
    <row r="331" spans="1:2">
      <c r="A331" s="262"/>
      <c r="B331" s="262"/>
    </row>
    <row r="332" spans="1:2">
      <c r="A332" s="263"/>
      <c r="B332" s="263"/>
    </row>
    <row r="333" spans="1:2">
      <c r="A333" s="264"/>
      <c r="B333" s="264"/>
    </row>
    <row r="334" spans="1:2">
      <c r="A334" s="33" t="s">
        <v>1</v>
      </c>
      <c r="B334" s="52" t="s">
        <v>2</v>
      </c>
    </row>
    <row r="335" spans="1:2">
      <c r="A335" s="33" t="s">
        <v>143</v>
      </c>
      <c r="B335" s="52">
        <v>10199.700000000001</v>
      </c>
    </row>
    <row r="336" spans="1:2">
      <c r="A336" s="33" t="s">
        <v>623</v>
      </c>
      <c r="B336" s="52">
        <v>0</v>
      </c>
    </row>
    <row r="337" spans="1:2">
      <c r="A337" s="33" t="s">
        <v>144</v>
      </c>
      <c r="B337" s="52">
        <v>0</v>
      </c>
    </row>
    <row r="338" spans="1:2">
      <c r="A338" s="33" t="s">
        <v>145</v>
      </c>
      <c r="B338" s="52">
        <v>0</v>
      </c>
    </row>
    <row r="339" spans="1:2">
      <c r="A339" s="33" t="s">
        <v>146</v>
      </c>
      <c r="B339" s="52">
        <v>0</v>
      </c>
    </row>
    <row r="340" spans="1:2">
      <c r="A340" s="33" t="s">
        <v>624</v>
      </c>
      <c r="B340" s="52">
        <v>0</v>
      </c>
    </row>
    <row r="341" spans="1:2">
      <c r="A341" s="33" t="s">
        <v>244</v>
      </c>
      <c r="B341" s="52">
        <v>7479.78</v>
      </c>
    </row>
    <row r="342" spans="1:2">
      <c r="A342" s="33" t="s">
        <v>147</v>
      </c>
      <c r="B342" s="52"/>
    </row>
    <row r="343" spans="1:2">
      <c r="A343" s="33" t="s">
        <v>148</v>
      </c>
      <c r="B343" s="52">
        <v>0</v>
      </c>
    </row>
    <row r="344" spans="1:2">
      <c r="A344" s="33" t="s">
        <v>625</v>
      </c>
      <c r="B344" s="52">
        <v>0</v>
      </c>
    </row>
    <row r="345" spans="1:2">
      <c r="A345" s="33" t="s">
        <v>626</v>
      </c>
      <c r="B345" s="52">
        <v>0</v>
      </c>
    </row>
    <row r="346" spans="1:2">
      <c r="A346" s="33" t="s">
        <v>627</v>
      </c>
      <c r="B346" s="52">
        <v>0</v>
      </c>
    </row>
    <row r="347" spans="1:2">
      <c r="A347" s="33" t="s">
        <v>149</v>
      </c>
      <c r="B347" s="52">
        <v>0</v>
      </c>
    </row>
    <row r="348" spans="1:2">
      <c r="A348" s="33" t="s">
        <v>628</v>
      </c>
      <c r="B348" s="52">
        <v>0</v>
      </c>
    </row>
    <row r="349" spans="1:2">
      <c r="A349" s="33" t="s">
        <v>261</v>
      </c>
      <c r="B349" s="52">
        <v>7479.78</v>
      </c>
    </row>
    <row r="350" spans="1:2">
      <c r="A350" s="33" t="s">
        <v>150</v>
      </c>
      <c r="B350" s="52">
        <v>0</v>
      </c>
    </row>
    <row r="351" spans="1:2">
      <c r="A351" s="33" t="s">
        <v>151</v>
      </c>
      <c r="B351" s="52">
        <v>0</v>
      </c>
    </row>
    <row r="352" spans="1:2">
      <c r="A352" s="33" t="s">
        <v>629</v>
      </c>
      <c r="B352" s="52">
        <v>0</v>
      </c>
    </row>
    <row r="353" spans="1:2">
      <c r="A353" s="33" t="s">
        <v>430</v>
      </c>
      <c r="B353" s="52">
        <v>3399.9</v>
      </c>
    </row>
    <row r="354" spans="1:2">
      <c r="A354" s="33" t="s">
        <v>389</v>
      </c>
      <c r="B354" s="52">
        <v>3399.9</v>
      </c>
    </row>
    <row r="355" spans="1:2">
      <c r="A355" s="33" t="s">
        <v>502</v>
      </c>
      <c r="B355" s="52">
        <f>SUM(B335:B354)</f>
        <v>31959.06</v>
      </c>
    </row>
    <row r="356" spans="1:2">
      <c r="A356" s="59"/>
      <c r="B356" s="60"/>
    </row>
    <row r="357" spans="1:2">
      <c r="A357" s="59"/>
      <c r="B357" s="60"/>
    </row>
    <row r="358" spans="1:2">
      <c r="A358" s="262"/>
      <c r="B358" s="262"/>
    </row>
    <row r="359" spans="1:2">
      <c r="A359" s="262"/>
      <c r="B359" s="262"/>
    </row>
    <row r="360" spans="1:2">
      <c r="A360" s="263"/>
      <c r="B360" s="263"/>
    </row>
    <row r="361" spans="1:2">
      <c r="A361" s="264"/>
      <c r="B361" s="264"/>
    </row>
    <row r="362" spans="1:2">
      <c r="A362" s="33" t="s">
        <v>1</v>
      </c>
      <c r="B362" s="52" t="s">
        <v>2</v>
      </c>
    </row>
    <row r="363" spans="1:2">
      <c r="A363" s="33" t="s">
        <v>630</v>
      </c>
      <c r="B363" s="52">
        <v>0</v>
      </c>
    </row>
    <row r="364" spans="1:2">
      <c r="A364" s="33" t="s">
        <v>245</v>
      </c>
      <c r="B364" s="52">
        <v>7479.78</v>
      </c>
    </row>
    <row r="365" spans="1:2">
      <c r="A365" s="33" t="s">
        <v>152</v>
      </c>
      <c r="B365" s="52">
        <v>0</v>
      </c>
    </row>
    <row r="366" spans="1:2">
      <c r="A366" s="33" t="s">
        <v>153</v>
      </c>
      <c r="B366" s="52">
        <v>0</v>
      </c>
    </row>
    <row r="367" spans="1:2">
      <c r="A367" s="33" t="s">
        <v>246</v>
      </c>
      <c r="B367" s="52">
        <v>7479.78</v>
      </c>
    </row>
    <row r="368" spans="1:2">
      <c r="A368" s="33" t="s">
        <v>154</v>
      </c>
      <c r="B368" s="52"/>
    </row>
    <row r="369" spans="1:2">
      <c r="A369" s="33" t="s">
        <v>247</v>
      </c>
      <c r="B369" s="52">
        <v>7479.78</v>
      </c>
    </row>
    <row r="370" spans="1:2">
      <c r="A370" s="33" t="s">
        <v>631</v>
      </c>
      <c r="B370" s="52">
        <v>0</v>
      </c>
    </row>
    <row r="371" spans="1:2">
      <c r="A371" s="33" t="s">
        <v>632</v>
      </c>
      <c r="B371" s="52">
        <v>0</v>
      </c>
    </row>
    <row r="372" spans="1:2">
      <c r="A372" s="33" t="s">
        <v>633</v>
      </c>
      <c r="B372" s="52">
        <v>0</v>
      </c>
    </row>
    <row r="373" spans="1:2">
      <c r="A373" s="24" t="s">
        <v>248</v>
      </c>
      <c r="B373" s="52">
        <v>7479.78</v>
      </c>
    </row>
    <row r="374" spans="1:2">
      <c r="A374" s="33" t="s">
        <v>249</v>
      </c>
      <c r="B374" s="52">
        <v>7479.78</v>
      </c>
    </row>
    <row r="375" spans="1:2">
      <c r="A375" s="33" t="s">
        <v>250</v>
      </c>
      <c r="B375" s="52">
        <v>7479.78</v>
      </c>
    </row>
    <row r="376" spans="1:2">
      <c r="A376" s="33" t="s">
        <v>634</v>
      </c>
      <c r="B376" s="52">
        <v>0</v>
      </c>
    </row>
    <row r="377" spans="1:2">
      <c r="A377" s="33" t="s">
        <v>156</v>
      </c>
      <c r="B377" s="52">
        <v>7479.78</v>
      </c>
    </row>
    <row r="378" spans="1:2">
      <c r="A378" s="33" t="s">
        <v>157</v>
      </c>
      <c r="B378" s="52">
        <v>3399.9</v>
      </c>
    </row>
    <row r="379" spans="1:2">
      <c r="A379" s="33" t="s">
        <v>635</v>
      </c>
      <c r="B379" s="52">
        <v>0</v>
      </c>
    </row>
    <row r="380" spans="1:2">
      <c r="A380" s="33" t="s">
        <v>636</v>
      </c>
      <c r="B380" s="52"/>
    </row>
    <row r="381" spans="1:2">
      <c r="A381" s="33" t="s">
        <v>637</v>
      </c>
      <c r="B381" s="52">
        <v>0</v>
      </c>
    </row>
    <row r="382" spans="1:2">
      <c r="A382" s="33" t="s">
        <v>251</v>
      </c>
      <c r="B382" s="52">
        <v>7479.78</v>
      </c>
    </row>
    <row r="383" spans="1:2">
      <c r="A383" s="33" t="s">
        <v>638</v>
      </c>
      <c r="B383" s="52">
        <v>0</v>
      </c>
    </row>
    <row r="384" spans="1:2">
      <c r="A384" s="33" t="s">
        <v>639</v>
      </c>
      <c r="B384" s="52">
        <v>0</v>
      </c>
    </row>
    <row r="385" spans="1:2">
      <c r="A385" s="33" t="s">
        <v>431</v>
      </c>
      <c r="B385" s="52">
        <v>3399.9</v>
      </c>
    </row>
    <row r="386" spans="1:2">
      <c r="A386" s="33" t="s">
        <v>158</v>
      </c>
      <c r="B386" s="52">
        <v>0</v>
      </c>
    </row>
    <row r="387" spans="1:2">
      <c r="A387" s="33" t="s">
        <v>640</v>
      </c>
      <c r="B387" s="52">
        <v>0</v>
      </c>
    </row>
    <row r="388" spans="1:2">
      <c r="A388" s="33" t="s">
        <v>641</v>
      </c>
      <c r="B388" s="52">
        <v>0</v>
      </c>
    </row>
    <row r="389" spans="1:2">
      <c r="A389" s="33" t="s">
        <v>642</v>
      </c>
      <c r="B389" s="52">
        <v>0</v>
      </c>
    </row>
    <row r="390" spans="1:2">
      <c r="A390" s="33" t="s">
        <v>643</v>
      </c>
      <c r="B390" s="52">
        <v>0</v>
      </c>
    </row>
    <row r="391" spans="1:2">
      <c r="A391" s="33" t="s">
        <v>644</v>
      </c>
      <c r="B391" s="52">
        <v>0</v>
      </c>
    </row>
    <row r="392" spans="1:2">
      <c r="A392" s="33" t="s">
        <v>645</v>
      </c>
      <c r="B392" s="52">
        <v>0</v>
      </c>
    </row>
    <row r="393" spans="1:2">
      <c r="A393" s="33" t="s">
        <v>646</v>
      </c>
      <c r="B393" s="52">
        <v>0</v>
      </c>
    </row>
    <row r="394" spans="1:2">
      <c r="A394" s="33" t="s">
        <v>647</v>
      </c>
      <c r="B394" s="52">
        <v>0</v>
      </c>
    </row>
    <row r="395" spans="1:2">
      <c r="A395" s="33" t="s">
        <v>648</v>
      </c>
      <c r="B395" s="52">
        <v>0</v>
      </c>
    </row>
    <row r="396" spans="1:2">
      <c r="A396" s="33" t="s">
        <v>649</v>
      </c>
      <c r="B396" s="52"/>
    </row>
    <row r="397" spans="1:2">
      <c r="A397" s="33" t="s">
        <v>650</v>
      </c>
      <c r="B397" s="52">
        <v>0</v>
      </c>
    </row>
    <row r="398" spans="1:2">
      <c r="A398" s="33" t="s">
        <v>651</v>
      </c>
      <c r="B398" s="52">
        <v>0</v>
      </c>
    </row>
    <row r="399" spans="1:2">
      <c r="A399" s="33" t="s">
        <v>652</v>
      </c>
      <c r="B399" s="52">
        <v>0</v>
      </c>
    </row>
    <row r="400" spans="1:2">
      <c r="A400" s="33" t="s">
        <v>653</v>
      </c>
      <c r="B400" s="52">
        <v>0</v>
      </c>
    </row>
    <row r="401" spans="1:2">
      <c r="A401" s="33" t="s">
        <v>654</v>
      </c>
      <c r="B401" s="52">
        <v>0</v>
      </c>
    </row>
    <row r="402" spans="1:2">
      <c r="A402" s="33" t="s">
        <v>655</v>
      </c>
      <c r="B402" s="52">
        <v>0</v>
      </c>
    </row>
    <row r="403" spans="1:2">
      <c r="A403" s="33" t="s">
        <v>656</v>
      </c>
      <c r="B403" s="52">
        <v>0</v>
      </c>
    </row>
    <row r="404" spans="1:2">
      <c r="A404" s="33" t="s">
        <v>657</v>
      </c>
      <c r="B404" s="52"/>
    </row>
    <row r="405" spans="1:2">
      <c r="A405" s="33" t="s">
        <v>658</v>
      </c>
      <c r="B405" s="52"/>
    </row>
    <row r="406" spans="1:2">
      <c r="A406" s="33" t="s">
        <v>659</v>
      </c>
      <c r="B406" s="52"/>
    </row>
    <row r="407" spans="1:2">
      <c r="A407" s="33" t="s">
        <v>660</v>
      </c>
      <c r="B407" s="52"/>
    </row>
    <row r="408" spans="1:2">
      <c r="A408" s="33" t="s">
        <v>661</v>
      </c>
      <c r="B408" s="52"/>
    </row>
    <row r="409" spans="1:2">
      <c r="A409" s="33" t="s">
        <v>662</v>
      </c>
      <c r="B409" s="52"/>
    </row>
    <row r="410" spans="1:2">
      <c r="A410" s="33" t="s">
        <v>663</v>
      </c>
      <c r="B410" s="52"/>
    </row>
    <row r="411" spans="1:2">
      <c r="A411" s="33" t="s">
        <v>664</v>
      </c>
      <c r="B411" s="52"/>
    </row>
    <row r="412" spans="1:2">
      <c r="A412" s="33" t="s">
        <v>665</v>
      </c>
      <c r="B412" s="52"/>
    </row>
    <row r="413" spans="1:2">
      <c r="A413" s="33" t="s">
        <v>666</v>
      </c>
      <c r="B413" s="52"/>
    </row>
    <row r="414" spans="1:2">
      <c r="A414" s="33" t="s">
        <v>667</v>
      </c>
      <c r="B414" s="52"/>
    </row>
    <row r="415" spans="1:2">
      <c r="A415" s="33" t="s">
        <v>668</v>
      </c>
      <c r="B415" s="52"/>
    </row>
    <row r="416" spans="1:2">
      <c r="A416" s="33" t="s">
        <v>669</v>
      </c>
      <c r="B416" s="52">
        <v>0</v>
      </c>
    </row>
    <row r="417" spans="1:2">
      <c r="A417" s="33" t="s">
        <v>670</v>
      </c>
      <c r="B417" s="52">
        <v>0</v>
      </c>
    </row>
    <row r="418" spans="1:2">
      <c r="A418" s="33" t="s">
        <v>671</v>
      </c>
      <c r="B418" s="52">
        <v>0</v>
      </c>
    </row>
    <row r="419" spans="1:2">
      <c r="A419" s="33" t="s">
        <v>672</v>
      </c>
      <c r="B419" s="52">
        <v>0</v>
      </c>
    </row>
    <row r="420" spans="1:2">
      <c r="A420" s="50" t="s">
        <v>673</v>
      </c>
      <c r="B420" s="70">
        <v>0</v>
      </c>
    </row>
    <row r="421" spans="1:2">
      <c r="A421" s="50" t="s">
        <v>674</v>
      </c>
      <c r="B421" s="52">
        <v>0</v>
      </c>
    </row>
    <row r="422" spans="1:2">
      <c r="A422" s="50" t="s">
        <v>675</v>
      </c>
      <c r="B422" s="52">
        <v>0</v>
      </c>
    </row>
    <row r="423" spans="1:2">
      <c r="A423" s="50" t="s">
        <v>676</v>
      </c>
      <c r="B423" s="52">
        <v>0</v>
      </c>
    </row>
    <row r="424" spans="1:2">
      <c r="A424" s="50" t="s">
        <v>677</v>
      </c>
      <c r="B424" s="52">
        <v>0</v>
      </c>
    </row>
    <row r="425" spans="1:2">
      <c r="A425" s="50" t="s">
        <v>678</v>
      </c>
      <c r="B425" s="70"/>
    </row>
    <row r="426" spans="1:2">
      <c r="A426" s="66" t="s">
        <v>679</v>
      </c>
      <c r="B426" s="67"/>
    </row>
    <row r="427" spans="1:2">
      <c r="A427" s="33" t="s">
        <v>502</v>
      </c>
      <c r="B427" s="52">
        <f>SUM(B363:B425)</f>
        <v>66638.039999999994</v>
      </c>
    </row>
    <row r="428" spans="1:2">
      <c r="A428" s="66"/>
      <c r="B428" s="67"/>
    </row>
    <row r="429" spans="1:2">
      <c r="A429" s="59"/>
      <c r="B429" s="60"/>
    </row>
    <row r="430" spans="1:2">
      <c r="A430" s="59"/>
      <c r="B430" s="60"/>
    </row>
    <row r="431" spans="1:2">
      <c r="A431" s="59"/>
      <c r="B431" s="60"/>
    </row>
    <row r="432" spans="1:2">
      <c r="A432" s="53"/>
      <c r="B432" s="53"/>
    </row>
    <row r="433" spans="1:2">
      <c r="A433" s="262"/>
      <c r="B433" s="262"/>
    </row>
    <row r="434" spans="1:2">
      <c r="A434" s="263"/>
      <c r="B434" s="263"/>
    </row>
    <row r="435" spans="1:2">
      <c r="A435" s="264"/>
      <c r="B435" s="264"/>
    </row>
    <row r="436" spans="1:2">
      <c r="A436" s="33" t="s">
        <v>1</v>
      </c>
      <c r="B436" s="71" t="s">
        <v>2</v>
      </c>
    </row>
    <row r="437" spans="1:2">
      <c r="A437" s="33" t="s">
        <v>680</v>
      </c>
      <c r="B437" s="71">
        <v>0</v>
      </c>
    </row>
    <row r="438" spans="1:2">
      <c r="A438" s="33" t="s">
        <v>681</v>
      </c>
      <c r="B438" s="71">
        <v>0</v>
      </c>
    </row>
    <row r="439" spans="1:2">
      <c r="A439" s="33" t="s">
        <v>682</v>
      </c>
      <c r="B439" s="71">
        <v>0</v>
      </c>
    </row>
    <row r="440" spans="1:2">
      <c r="A440" s="33" t="s">
        <v>253</v>
      </c>
      <c r="B440" s="71">
        <v>7479.78</v>
      </c>
    </row>
    <row r="441" spans="1:2">
      <c r="A441" s="33" t="s">
        <v>432</v>
      </c>
      <c r="B441" s="71">
        <v>7479.78</v>
      </c>
    </row>
    <row r="442" spans="1:2">
      <c r="A442" s="33" t="s">
        <v>683</v>
      </c>
      <c r="B442" s="71">
        <v>0</v>
      </c>
    </row>
    <row r="443" spans="1:2">
      <c r="A443" s="33" t="s">
        <v>254</v>
      </c>
      <c r="B443" s="71">
        <v>3399.9</v>
      </c>
    </row>
    <row r="444" spans="1:2">
      <c r="A444" s="33" t="s">
        <v>255</v>
      </c>
      <c r="B444" s="71">
        <v>3399.9</v>
      </c>
    </row>
    <row r="445" spans="1:2">
      <c r="A445" s="33" t="s">
        <v>502</v>
      </c>
      <c r="B445" s="71">
        <f>SUM(B437:B444)</f>
        <v>21759.360000000001</v>
      </c>
    </row>
    <row r="446" spans="1:2">
      <c r="A446" s="59"/>
      <c r="B446" s="60"/>
    </row>
    <row r="447" spans="1:2">
      <c r="A447" s="61"/>
      <c r="B447" s="62"/>
    </row>
    <row r="448" spans="1:2">
      <c r="A448" s="59"/>
      <c r="B448" s="60"/>
    </row>
    <row r="449" spans="1:2">
      <c r="A449" s="262"/>
      <c r="B449" s="262"/>
    </row>
    <row r="450" spans="1:2">
      <c r="A450" s="262"/>
      <c r="B450" s="262"/>
    </row>
    <row r="451" spans="1:2">
      <c r="A451" s="263"/>
      <c r="B451" s="263"/>
    </row>
    <row r="452" spans="1:2">
      <c r="A452" s="264"/>
      <c r="B452" s="264"/>
    </row>
    <row r="453" spans="1:2">
      <c r="A453" s="33" t="s">
        <v>1</v>
      </c>
      <c r="B453" s="52" t="s">
        <v>2</v>
      </c>
    </row>
    <row r="454" spans="1:2">
      <c r="A454" s="33" t="s">
        <v>160</v>
      </c>
      <c r="B454" s="52">
        <v>10199.700000000001</v>
      </c>
    </row>
    <row r="455" spans="1:2">
      <c r="A455" s="33" t="s">
        <v>684</v>
      </c>
      <c r="B455" s="52">
        <v>0</v>
      </c>
    </row>
    <row r="456" spans="1:2">
      <c r="A456" s="33" t="s">
        <v>256</v>
      </c>
      <c r="B456" s="52">
        <v>7479.78</v>
      </c>
    </row>
    <row r="457" spans="1:2">
      <c r="A457" s="33" t="s">
        <v>257</v>
      </c>
      <c r="B457" s="52">
        <v>7479.78</v>
      </c>
    </row>
    <row r="458" spans="1:2">
      <c r="A458" s="33" t="s">
        <v>491</v>
      </c>
      <c r="B458" s="52">
        <v>7479.78</v>
      </c>
    </row>
    <row r="459" spans="1:2">
      <c r="A459" s="33" t="s">
        <v>161</v>
      </c>
      <c r="B459" s="52">
        <v>3399.9</v>
      </c>
    </row>
    <row r="460" spans="1:2">
      <c r="A460" s="33" t="s">
        <v>162</v>
      </c>
      <c r="B460" s="52">
        <v>0</v>
      </c>
    </row>
    <row r="461" spans="1:2">
      <c r="A461" s="33" t="s">
        <v>685</v>
      </c>
      <c r="B461" s="52">
        <v>0</v>
      </c>
    </row>
    <row r="462" spans="1:2">
      <c r="A462" s="33" t="s">
        <v>502</v>
      </c>
      <c r="B462" s="52">
        <f>SUM(B454:B461)</f>
        <v>36038.939999999995</v>
      </c>
    </row>
  </sheetData>
  <mergeCells count="24">
    <mergeCell ref="A149:B149"/>
    <mergeCell ref="A150:B150"/>
    <mergeCell ref="A151:B151"/>
    <mergeCell ref="A152:B152"/>
    <mergeCell ref="A452:B452"/>
    <mergeCell ref="A450:B450"/>
    <mergeCell ref="A451:B451"/>
    <mergeCell ref="A331:B331"/>
    <mergeCell ref="C184:E184"/>
    <mergeCell ref="A433:B433"/>
    <mergeCell ref="A434:B434"/>
    <mergeCell ref="A435:B435"/>
    <mergeCell ref="A449:B449"/>
    <mergeCell ref="A332:B332"/>
    <mergeCell ref="A333:B333"/>
    <mergeCell ref="A358:B358"/>
    <mergeCell ref="A359:B359"/>
    <mergeCell ref="A360:B360"/>
    <mergeCell ref="A361:B361"/>
    <mergeCell ref="A223:B223"/>
    <mergeCell ref="A224:B224"/>
    <mergeCell ref="A225:B225"/>
    <mergeCell ref="A226:B226"/>
    <mergeCell ref="A330:B330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65"/>
  <sheetViews>
    <sheetView topLeftCell="C121" workbookViewId="0">
      <selection activeCell="J143" sqref="J143"/>
    </sheetView>
  </sheetViews>
  <sheetFormatPr defaultRowHeight="15"/>
  <cols>
    <col min="2" max="2" width="25.28515625" style="9" customWidth="1"/>
    <col min="3" max="3" width="28.140625" style="24" customWidth="1"/>
    <col min="4" max="4" width="13.28515625" style="5" bestFit="1" customWidth="1"/>
    <col min="6" max="6" width="4.42578125" bestFit="1" customWidth="1"/>
    <col min="7" max="7" width="24.140625" style="9" customWidth="1"/>
    <col min="8" max="8" width="13.28515625" style="5" bestFit="1" customWidth="1"/>
    <col min="9" max="9" width="4.42578125" bestFit="1" customWidth="1"/>
    <col min="10" max="10" width="27.140625" style="9" customWidth="1"/>
    <col min="11" max="11" width="13.140625" style="19" bestFit="1" customWidth="1"/>
    <col min="12" max="12" width="14" bestFit="1" customWidth="1"/>
  </cols>
  <sheetData>
    <row r="1" spans="1:12" ht="23.25">
      <c r="B1" s="15" t="s">
        <v>302</v>
      </c>
      <c r="C1" s="39" t="s">
        <v>1</v>
      </c>
      <c r="D1" s="41" t="s">
        <v>2</v>
      </c>
      <c r="F1" s="46" t="s">
        <v>0</v>
      </c>
      <c r="G1" s="51" t="s">
        <v>1</v>
      </c>
      <c r="H1" s="41" t="s">
        <v>2</v>
      </c>
      <c r="I1" s="15" t="s">
        <v>0</v>
      </c>
      <c r="J1" s="15" t="s">
        <v>302</v>
      </c>
      <c r="K1" s="11" t="s">
        <v>394</v>
      </c>
    </row>
    <row r="2" spans="1:12" ht="27">
      <c r="A2">
        <v>1</v>
      </c>
      <c r="B2" s="35" t="s">
        <v>383</v>
      </c>
      <c r="C2" s="33" t="s">
        <v>383</v>
      </c>
      <c r="D2" s="6">
        <v>11333</v>
      </c>
      <c r="F2" s="46">
        <v>1</v>
      </c>
      <c r="G2" s="48" t="s">
        <v>461</v>
      </c>
      <c r="H2" s="6">
        <v>11333</v>
      </c>
      <c r="I2" s="15">
        <v>1</v>
      </c>
      <c r="J2" s="34" t="s">
        <v>456</v>
      </c>
      <c r="K2" s="6">
        <v>11333</v>
      </c>
      <c r="L2" s="49">
        <f>K2-H2</f>
        <v>0</v>
      </c>
    </row>
    <row r="3" spans="1:12">
      <c r="A3">
        <v>2</v>
      </c>
      <c r="B3" s="34" t="s">
        <v>3</v>
      </c>
      <c r="C3" s="33" t="s">
        <v>3</v>
      </c>
      <c r="D3" s="6">
        <v>10199.700000000001</v>
      </c>
      <c r="F3" s="46">
        <v>3</v>
      </c>
      <c r="G3" s="48" t="s">
        <v>3</v>
      </c>
      <c r="H3" s="6">
        <v>10199.700000000001</v>
      </c>
      <c r="I3" s="15">
        <v>3</v>
      </c>
      <c r="J3" s="34" t="s">
        <v>3</v>
      </c>
      <c r="K3" s="6">
        <v>10199.700000000001</v>
      </c>
      <c r="L3" s="49">
        <f t="shared" ref="L3:L66" si="0">K3-H3</f>
        <v>0</v>
      </c>
    </row>
    <row r="4" spans="1:12">
      <c r="A4">
        <v>3</v>
      </c>
      <c r="B4" s="34" t="s">
        <v>184</v>
      </c>
      <c r="C4" s="33" t="s">
        <v>184</v>
      </c>
      <c r="D4" s="6">
        <v>10199.700000000001</v>
      </c>
      <c r="F4" s="46">
        <v>5</v>
      </c>
      <c r="G4" s="48" t="s">
        <v>184</v>
      </c>
      <c r="H4" s="6">
        <v>10199.700000000001</v>
      </c>
      <c r="I4" s="15">
        <v>4</v>
      </c>
      <c r="J4" s="34" t="s">
        <v>184</v>
      </c>
      <c r="K4" s="6">
        <v>10199.700000000001</v>
      </c>
      <c r="L4" s="49">
        <f t="shared" si="0"/>
        <v>0</v>
      </c>
    </row>
    <row r="5" spans="1:12">
      <c r="A5">
        <v>4</v>
      </c>
      <c r="B5" s="34" t="s">
        <v>4</v>
      </c>
      <c r="C5" s="33" t="s">
        <v>4</v>
      </c>
      <c r="D5" s="6">
        <v>10199.700000000001</v>
      </c>
      <c r="F5" s="46">
        <v>6</v>
      </c>
      <c r="G5" s="48" t="s">
        <v>4</v>
      </c>
      <c r="H5" s="6">
        <v>10199.700000000001</v>
      </c>
      <c r="I5" s="15">
        <v>5</v>
      </c>
      <c r="J5" s="34" t="s">
        <v>4</v>
      </c>
      <c r="K5" s="6">
        <v>10199.700000000001</v>
      </c>
      <c r="L5" s="49">
        <f t="shared" si="0"/>
        <v>0</v>
      </c>
    </row>
    <row r="6" spans="1:12">
      <c r="A6">
        <v>5</v>
      </c>
      <c r="B6" s="34" t="s">
        <v>6</v>
      </c>
      <c r="C6" s="33" t="s">
        <v>6</v>
      </c>
      <c r="D6" s="6">
        <v>7479.78</v>
      </c>
      <c r="F6" s="46">
        <v>8</v>
      </c>
      <c r="G6" s="48" t="s">
        <v>6</v>
      </c>
      <c r="H6" s="6">
        <v>7479.78</v>
      </c>
      <c r="I6" s="15">
        <v>6</v>
      </c>
      <c r="J6" s="34" t="s">
        <v>6</v>
      </c>
      <c r="K6" s="6">
        <v>7479.78</v>
      </c>
      <c r="L6" s="49">
        <f t="shared" si="0"/>
        <v>0</v>
      </c>
    </row>
    <row r="7" spans="1:12">
      <c r="A7">
        <v>6</v>
      </c>
      <c r="B7" s="34" t="s">
        <v>185</v>
      </c>
      <c r="C7" s="33" t="s">
        <v>185</v>
      </c>
      <c r="D7" s="6">
        <v>7479.78</v>
      </c>
      <c r="F7" s="46">
        <v>9</v>
      </c>
      <c r="G7" s="48" t="s">
        <v>185</v>
      </c>
      <c r="H7" s="6">
        <v>7479.78</v>
      </c>
      <c r="I7" s="15">
        <v>7</v>
      </c>
      <c r="J7" s="34" t="s">
        <v>185</v>
      </c>
      <c r="K7" s="6">
        <v>7479.78</v>
      </c>
      <c r="L7" s="49">
        <f t="shared" si="0"/>
        <v>0</v>
      </c>
    </row>
    <row r="8" spans="1:12">
      <c r="A8">
        <v>7</v>
      </c>
      <c r="B8" s="34" t="s">
        <v>7</v>
      </c>
      <c r="C8" s="33" t="s">
        <v>7</v>
      </c>
      <c r="D8" s="6">
        <v>7479.78</v>
      </c>
      <c r="F8" s="46">
        <v>10</v>
      </c>
      <c r="G8" s="48" t="s">
        <v>7</v>
      </c>
      <c r="H8" s="6">
        <v>7479.78</v>
      </c>
      <c r="I8" s="15">
        <v>8</v>
      </c>
      <c r="J8" s="34" t="s">
        <v>7</v>
      </c>
      <c r="K8" s="6">
        <v>7479.78</v>
      </c>
      <c r="L8" s="49">
        <f t="shared" si="0"/>
        <v>0</v>
      </c>
    </row>
    <row r="9" spans="1:12">
      <c r="A9">
        <v>8</v>
      </c>
      <c r="B9" s="34" t="s">
        <v>186</v>
      </c>
      <c r="C9" s="33" t="s">
        <v>186</v>
      </c>
      <c r="D9" s="6">
        <v>7479.78</v>
      </c>
      <c r="F9" s="46">
        <v>12</v>
      </c>
      <c r="G9" s="48" t="s">
        <v>186</v>
      </c>
      <c r="H9" s="6">
        <v>7479.78</v>
      </c>
      <c r="I9" s="15">
        <v>9</v>
      </c>
      <c r="J9" s="34" t="s">
        <v>186</v>
      </c>
      <c r="K9" s="6">
        <v>7479.78</v>
      </c>
      <c r="L9" s="49">
        <f t="shared" si="0"/>
        <v>0</v>
      </c>
    </row>
    <row r="10" spans="1:12">
      <c r="A10">
        <v>9</v>
      </c>
      <c r="B10" s="34" t="s">
        <v>187</v>
      </c>
      <c r="C10" s="33" t="s">
        <v>187</v>
      </c>
      <c r="D10" s="6">
        <v>7479.78</v>
      </c>
      <c r="F10" s="46">
        <v>15</v>
      </c>
      <c r="G10" s="48" t="s">
        <v>447</v>
      </c>
      <c r="H10" s="6">
        <v>7479.78</v>
      </c>
      <c r="I10" s="15">
        <v>10</v>
      </c>
      <c r="J10" s="34" t="s">
        <v>447</v>
      </c>
      <c r="K10" s="6">
        <v>7479.78</v>
      </c>
      <c r="L10" s="49">
        <f t="shared" si="0"/>
        <v>0</v>
      </c>
    </row>
    <row r="11" spans="1:12">
      <c r="A11">
        <v>10</v>
      </c>
      <c r="B11" s="34" t="s">
        <v>10</v>
      </c>
      <c r="C11" s="33" t="s">
        <v>10</v>
      </c>
      <c r="D11" s="6">
        <v>3399.9</v>
      </c>
      <c r="F11" s="46">
        <v>19</v>
      </c>
      <c r="G11" s="48" t="s">
        <v>187</v>
      </c>
      <c r="H11" s="6">
        <v>7479.78</v>
      </c>
      <c r="I11" s="15">
        <v>11</v>
      </c>
      <c r="J11" s="34" t="s">
        <v>187</v>
      </c>
      <c r="K11" s="6">
        <v>7479.78</v>
      </c>
      <c r="L11" s="49">
        <f t="shared" si="0"/>
        <v>0</v>
      </c>
    </row>
    <row r="12" spans="1:12" ht="27">
      <c r="A12">
        <v>11</v>
      </c>
      <c r="B12" s="34" t="s">
        <v>12</v>
      </c>
      <c r="C12" s="33" t="s">
        <v>12</v>
      </c>
      <c r="D12" s="6">
        <v>1699.95</v>
      </c>
      <c r="F12" s="46">
        <v>22</v>
      </c>
      <c r="G12" s="48" t="s">
        <v>10</v>
      </c>
      <c r="H12" s="6">
        <v>3399.9</v>
      </c>
      <c r="I12" s="15">
        <v>12</v>
      </c>
      <c r="J12" s="34" t="s">
        <v>10</v>
      </c>
      <c r="K12" s="6">
        <v>3399.9</v>
      </c>
      <c r="L12" s="49">
        <f t="shared" si="0"/>
        <v>0</v>
      </c>
    </row>
    <row r="13" spans="1:12">
      <c r="A13">
        <v>12</v>
      </c>
      <c r="B13" s="34" t="s">
        <v>380</v>
      </c>
      <c r="C13" s="33" t="s">
        <v>188</v>
      </c>
      <c r="D13" s="6">
        <v>7479.78</v>
      </c>
      <c r="F13" s="46">
        <v>25</v>
      </c>
      <c r="G13" s="48" t="s">
        <v>12</v>
      </c>
      <c r="H13" s="6">
        <v>1699.95</v>
      </c>
      <c r="I13" s="15">
        <v>13</v>
      </c>
      <c r="J13" s="34" t="s">
        <v>12</v>
      </c>
      <c r="K13" s="6">
        <v>1699.95</v>
      </c>
      <c r="L13" s="49">
        <f t="shared" si="0"/>
        <v>0</v>
      </c>
    </row>
    <row r="14" spans="1:12" ht="27">
      <c r="A14">
        <v>13</v>
      </c>
      <c r="B14" s="34" t="s">
        <v>188</v>
      </c>
      <c r="C14" s="33" t="s">
        <v>299</v>
      </c>
      <c r="D14" s="6">
        <v>7479.78</v>
      </c>
      <c r="F14" s="47">
        <v>6</v>
      </c>
      <c r="G14" s="48" t="s">
        <v>188</v>
      </c>
      <c r="H14" s="6">
        <v>7479.78</v>
      </c>
      <c r="I14" s="15">
        <v>14</v>
      </c>
      <c r="J14" s="34" t="s">
        <v>380</v>
      </c>
      <c r="K14" s="6">
        <v>7479.78</v>
      </c>
      <c r="L14" s="49">
        <f t="shared" si="0"/>
        <v>0</v>
      </c>
    </row>
    <row r="15" spans="1:12" ht="27">
      <c r="A15">
        <v>14</v>
      </c>
      <c r="B15" s="34" t="s">
        <v>15</v>
      </c>
      <c r="C15" s="33" t="s">
        <v>15</v>
      </c>
      <c r="D15" s="6">
        <v>3739.89</v>
      </c>
      <c r="F15" s="47">
        <v>9</v>
      </c>
      <c r="G15" s="48" t="s">
        <v>299</v>
      </c>
      <c r="H15" s="6">
        <v>7479.78</v>
      </c>
      <c r="I15" s="15">
        <v>15</v>
      </c>
      <c r="J15" s="34" t="s">
        <v>188</v>
      </c>
      <c r="K15" s="6">
        <v>7479.78</v>
      </c>
      <c r="L15" s="49">
        <f t="shared" si="0"/>
        <v>0</v>
      </c>
    </row>
    <row r="16" spans="1:12">
      <c r="A16">
        <v>15</v>
      </c>
      <c r="B16" s="34" t="s">
        <v>189</v>
      </c>
      <c r="C16" s="33" t="s">
        <v>189</v>
      </c>
      <c r="D16" s="6">
        <v>3399.9</v>
      </c>
      <c r="F16" s="47">
        <v>11</v>
      </c>
      <c r="G16" s="48" t="s">
        <v>15</v>
      </c>
      <c r="H16" s="6">
        <v>3861.13</v>
      </c>
      <c r="I16" s="15">
        <v>16</v>
      </c>
      <c r="J16" s="34" t="s">
        <v>15</v>
      </c>
      <c r="K16" s="6">
        <v>3861.13</v>
      </c>
      <c r="L16" s="49">
        <f t="shared" si="0"/>
        <v>0</v>
      </c>
    </row>
    <row r="17" spans="1:12">
      <c r="A17">
        <v>16</v>
      </c>
      <c r="B17" s="34" t="s">
        <v>190</v>
      </c>
      <c r="C17" s="33" t="s">
        <v>190</v>
      </c>
      <c r="D17" s="6">
        <v>7479.78</v>
      </c>
      <c r="F17" s="47">
        <v>15</v>
      </c>
      <c r="G17" s="48" t="s">
        <v>189</v>
      </c>
      <c r="H17" s="6">
        <v>3399.9</v>
      </c>
      <c r="I17" s="15">
        <v>17</v>
      </c>
      <c r="J17" s="34" t="s">
        <v>189</v>
      </c>
      <c r="K17" s="6">
        <v>3399.9</v>
      </c>
      <c r="L17" s="49">
        <f t="shared" si="0"/>
        <v>0</v>
      </c>
    </row>
    <row r="18" spans="1:12">
      <c r="A18">
        <v>17</v>
      </c>
      <c r="B18" s="34" t="s">
        <v>191</v>
      </c>
      <c r="C18" s="33" t="s">
        <v>191</v>
      </c>
      <c r="D18" s="6">
        <v>7479.78</v>
      </c>
      <c r="F18" s="47">
        <v>3</v>
      </c>
      <c r="G18" s="48" t="s">
        <v>190</v>
      </c>
      <c r="H18" s="6">
        <v>7479.78</v>
      </c>
      <c r="I18" s="15">
        <v>18</v>
      </c>
      <c r="J18" s="34" t="s">
        <v>190</v>
      </c>
      <c r="K18" s="6">
        <v>7479.78</v>
      </c>
      <c r="L18" s="49">
        <f t="shared" si="0"/>
        <v>0</v>
      </c>
    </row>
    <row r="19" spans="1:12">
      <c r="A19">
        <v>18</v>
      </c>
      <c r="B19" s="34" t="s">
        <v>18</v>
      </c>
      <c r="C19" s="33" t="s">
        <v>18</v>
      </c>
      <c r="D19" s="6">
        <v>3399.9</v>
      </c>
      <c r="F19" s="47">
        <v>4</v>
      </c>
      <c r="G19" s="48" t="s">
        <v>191</v>
      </c>
      <c r="H19" s="6">
        <v>7479.78</v>
      </c>
      <c r="I19" s="15">
        <v>19</v>
      </c>
      <c r="J19" s="34" t="s">
        <v>191</v>
      </c>
      <c r="K19" s="6">
        <v>7479.78</v>
      </c>
      <c r="L19" s="49">
        <f t="shared" si="0"/>
        <v>0</v>
      </c>
    </row>
    <row r="20" spans="1:12">
      <c r="A20">
        <v>19</v>
      </c>
      <c r="B20" s="34" t="s">
        <v>19</v>
      </c>
      <c r="C20" s="33" t="s">
        <v>19</v>
      </c>
      <c r="D20" s="6">
        <v>1699.86</v>
      </c>
      <c r="F20" s="47">
        <v>7</v>
      </c>
      <c r="G20" s="48" t="s">
        <v>18</v>
      </c>
      <c r="H20" s="6">
        <v>3399.9</v>
      </c>
      <c r="I20" s="15">
        <v>20</v>
      </c>
      <c r="J20" s="34" t="s">
        <v>18</v>
      </c>
      <c r="K20" s="6">
        <v>3399.9</v>
      </c>
      <c r="L20" s="49">
        <f t="shared" si="0"/>
        <v>0</v>
      </c>
    </row>
    <row r="21" spans="1:12">
      <c r="A21">
        <v>20</v>
      </c>
      <c r="B21" s="34" t="s">
        <v>192</v>
      </c>
      <c r="C21" s="33" t="s">
        <v>192</v>
      </c>
      <c r="D21" s="6">
        <v>10199.700000000001</v>
      </c>
      <c r="F21" s="47">
        <v>1</v>
      </c>
      <c r="G21" s="48" t="s">
        <v>192</v>
      </c>
      <c r="H21" s="6">
        <v>10199.700000000001</v>
      </c>
      <c r="I21" s="15">
        <v>21</v>
      </c>
      <c r="J21" s="34" t="s">
        <v>192</v>
      </c>
      <c r="K21" s="6">
        <v>10199.700000000001</v>
      </c>
      <c r="L21" s="49">
        <f t="shared" si="0"/>
        <v>0</v>
      </c>
    </row>
    <row r="22" spans="1:12">
      <c r="A22">
        <v>21</v>
      </c>
      <c r="B22" s="34" t="s">
        <v>193</v>
      </c>
      <c r="C22" s="33" t="s">
        <v>193</v>
      </c>
      <c r="D22" s="6">
        <v>11333</v>
      </c>
      <c r="F22" s="47">
        <v>9</v>
      </c>
      <c r="G22" s="48" t="s">
        <v>193</v>
      </c>
      <c r="H22" s="6">
        <v>11333</v>
      </c>
      <c r="I22" s="15">
        <v>22</v>
      </c>
      <c r="J22" s="34" t="s">
        <v>193</v>
      </c>
      <c r="K22" s="6">
        <v>11333</v>
      </c>
      <c r="L22" s="49">
        <f t="shared" si="0"/>
        <v>0</v>
      </c>
    </row>
    <row r="23" spans="1:12">
      <c r="A23">
        <v>22</v>
      </c>
      <c r="B23" s="34" t="s">
        <v>179</v>
      </c>
      <c r="C23" s="33" t="s">
        <v>420</v>
      </c>
      <c r="D23" s="6">
        <v>11333</v>
      </c>
      <c r="F23" s="47">
        <v>11</v>
      </c>
      <c r="G23" s="48" t="s">
        <v>420</v>
      </c>
      <c r="H23" s="6">
        <v>11333</v>
      </c>
      <c r="I23" s="15">
        <v>23</v>
      </c>
      <c r="J23" s="34" t="s">
        <v>179</v>
      </c>
      <c r="K23" s="6">
        <v>11333</v>
      </c>
      <c r="L23" s="49">
        <f t="shared" si="0"/>
        <v>0</v>
      </c>
    </row>
    <row r="24" spans="1:12">
      <c r="A24">
        <v>23</v>
      </c>
      <c r="B24" s="34" t="s">
        <v>406</v>
      </c>
      <c r="C24" s="33" t="s">
        <v>179</v>
      </c>
      <c r="D24" s="6">
        <v>11333</v>
      </c>
      <c r="F24" s="47">
        <v>17</v>
      </c>
      <c r="G24" s="48" t="s">
        <v>179</v>
      </c>
      <c r="H24" s="6">
        <v>11333</v>
      </c>
      <c r="I24" s="15">
        <v>24</v>
      </c>
      <c r="J24" s="34" t="s">
        <v>406</v>
      </c>
      <c r="K24" s="6">
        <v>11333</v>
      </c>
      <c r="L24" s="49">
        <f t="shared" si="0"/>
        <v>0</v>
      </c>
    </row>
    <row r="25" spans="1:12">
      <c r="A25">
        <v>24</v>
      </c>
      <c r="B25" s="34" t="s">
        <v>194</v>
      </c>
      <c r="C25" s="33" t="s">
        <v>194</v>
      </c>
      <c r="D25" s="6">
        <v>11333</v>
      </c>
      <c r="F25" s="47">
        <v>20</v>
      </c>
      <c r="G25" s="48" t="s">
        <v>194</v>
      </c>
      <c r="H25" s="6">
        <v>11333</v>
      </c>
      <c r="I25" s="15">
        <v>25</v>
      </c>
      <c r="J25" s="34" t="s">
        <v>194</v>
      </c>
      <c r="K25" s="6">
        <v>11333</v>
      </c>
      <c r="L25" s="49">
        <f t="shared" si="0"/>
        <v>0</v>
      </c>
    </row>
    <row r="26" spans="1:12">
      <c r="A26">
        <v>25</v>
      </c>
      <c r="B26" s="34" t="s">
        <v>195</v>
      </c>
      <c r="C26" s="33" t="s">
        <v>195</v>
      </c>
      <c r="D26" s="6">
        <v>11333</v>
      </c>
      <c r="F26" s="47">
        <v>28</v>
      </c>
      <c r="G26" s="48" t="s">
        <v>195</v>
      </c>
      <c r="H26" s="6">
        <v>11333</v>
      </c>
      <c r="I26" s="15">
        <v>26</v>
      </c>
      <c r="J26" s="34" t="s">
        <v>195</v>
      </c>
      <c r="K26" s="6">
        <v>11333</v>
      </c>
      <c r="L26" s="49">
        <f t="shared" si="0"/>
        <v>0</v>
      </c>
    </row>
    <row r="27" spans="1:12">
      <c r="A27">
        <v>26</v>
      </c>
      <c r="B27" s="34" t="s">
        <v>21</v>
      </c>
      <c r="C27" s="33"/>
      <c r="D27" s="6">
        <v>0</v>
      </c>
      <c r="F27" s="47">
        <v>41</v>
      </c>
      <c r="G27" s="48" t="s">
        <v>23</v>
      </c>
      <c r="H27" s="6">
        <v>10199.700000000001</v>
      </c>
      <c r="I27" s="15">
        <v>27</v>
      </c>
      <c r="J27" s="34" t="s">
        <v>23</v>
      </c>
      <c r="K27" s="6">
        <v>10199.700000000001</v>
      </c>
      <c r="L27" s="49">
        <f t="shared" si="0"/>
        <v>0</v>
      </c>
    </row>
    <row r="28" spans="1:12">
      <c r="A28">
        <v>27</v>
      </c>
      <c r="B28" s="34" t="s">
        <v>22</v>
      </c>
      <c r="C28" s="33" t="s">
        <v>22</v>
      </c>
      <c r="D28" s="6">
        <v>3739.89</v>
      </c>
      <c r="F28" s="47">
        <v>48</v>
      </c>
      <c r="G28" s="48" t="s">
        <v>196</v>
      </c>
      <c r="H28" s="6">
        <v>10199.700000000001</v>
      </c>
      <c r="I28" s="15">
        <v>28</v>
      </c>
      <c r="J28" s="34" t="s">
        <v>196</v>
      </c>
      <c r="K28" s="6">
        <v>10199.700000000001</v>
      </c>
      <c r="L28" s="49">
        <f t="shared" si="0"/>
        <v>0</v>
      </c>
    </row>
    <row r="29" spans="1:12">
      <c r="A29">
        <v>28</v>
      </c>
      <c r="B29" s="34" t="s">
        <v>23</v>
      </c>
      <c r="C29" s="33" t="s">
        <v>23</v>
      </c>
      <c r="D29" s="6">
        <v>10199.700000000001</v>
      </c>
      <c r="F29" s="47">
        <v>58</v>
      </c>
      <c r="G29" s="48" t="s">
        <v>421</v>
      </c>
      <c r="H29" s="6">
        <v>7479.78</v>
      </c>
      <c r="I29" s="15">
        <v>29</v>
      </c>
      <c r="J29" s="34" t="s">
        <v>407</v>
      </c>
      <c r="K29" s="6">
        <v>7479.78</v>
      </c>
      <c r="L29" s="49">
        <f t="shared" si="0"/>
        <v>0</v>
      </c>
    </row>
    <row r="30" spans="1:12">
      <c r="A30">
        <v>29</v>
      </c>
      <c r="B30" s="34" t="s">
        <v>196</v>
      </c>
      <c r="C30" s="33" t="s">
        <v>196</v>
      </c>
      <c r="D30" s="6">
        <v>10199.700000000001</v>
      </c>
      <c r="F30" s="47">
        <v>66</v>
      </c>
      <c r="G30" s="48" t="s">
        <v>422</v>
      </c>
      <c r="H30" s="6">
        <v>3399.9</v>
      </c>
      <c r="I30" s="15">
        <v>30</v>
      </c>
      <c r="J30" s="34" t="s">
        <v>408</v>
      </c>
      <c r="K30" s="6">
        <v>3399.9</v>
      </c>
      <c r="L30" s="49">
        <f t="shared" si="0"/>
        <v>0</v>
      </c>
    </row>
    <row r="31" spans="1:12">
      <c r="A31">
        <v>30</v>
      </c>
      <c r="B31" s="34" t="s">
        <v>407</v>
      </c>
      <c r="C31" s="33" t="s">
        <v>421</v>
      </c>
      <c r="D31" s="6">
        <v>7479.78</v>
      </c>
      <c r="F31" s="47">
        <v>3</v>
      </c>
      <c r="G31" s="48" t="s">
        <v>198</v>
      </c>
      <c r="H31" s="6">
        <v>10199.700000000001</v>
      </c>
      <c r="I31" s="15">
        <v>31</v>
      </c>
      <c r="J31" s="34" t="s">
        <v>198</v>
      </c>
      <c r="K31" s="6">
        <v>10199.700000000001</v>
      </c>
      <c r="L31" s="49">
        <f t="shared" si="0"/>
        <v>0</v>
      </c>
    </row>
    <row r="32" spans="1:12">
      <c r="A32">
        <v>31</v>
      </c>
      <c r="B32" s="34" t="s">
        <v>408</v>
      </c>
      <c r="C32" s="33" t="s">
        <v>422</v>
      </c>
      <c r="D32" s="6">
        <v>3399</v>
      </c>
      <c r="F32" s="47">
        <v>11</v>
      </c>
      <c r="G32" s="48" t="s">
        <v>199</v>
      </c>
      <c r="H32" s="6">
        <v>7479.78</v>
      </c>
      <c r="I32" s="15">
        <v>32</v>
      </c>
      <c r="J32" s="34" t="s">
        <v>199</v>
      </c>
      <c r="K32" s="6">
        <v>7479.78</v>
      </c>
      <c r="L32" s="49">
        <f t="shared" si="0"/>
        <v>0</v>
      </c>
    </row>
    <row r="33" spans="1:12">
      <c r="A33">
        <v>32</v>
      </c>
      <c r="B33" s="34" t="s">
        <v>198</v>
      </c>
      <c r="C33" s="33" t="s">
        <v>198</v>
      </c>
      <c r="D33" s="6">
        <v>10199.700000000001</v>
      </c>
      <c r="F33" s="47">
        <v>12</v>
      </c>
      <c r="G33" s="48" t="s">
        <v>200</v>
      </c>
      <c r="H33" s="6">
        <v>7479.78</v>
      </c>
      <c r="I33" s="15">
        <v>33</v>
      </c>
      <c r="J33" s="34" t="s">
        <v>200</v>
      </c>
      <c r="K33" s="6">
        <v>7479.78</v>
      </c>
      <c r="L33" s="49">
        <f t="shared" si="0"/>
        <v>0</v>
      </c>
    </row>
    <row r="34" spans="1:12">
      <c r="A34">
        <v>33</v>
      </c>
      <c r="B34" s="34" t="s">
        <v>35</v>
      </c>
      <c r="C34" s="33"/>
      <c r="D34" s="6">
        <v>0</v>
      </c>
      <c r="F34" s="47">
        <v>13</v>
      </c>
      <c r="G34" s="48" t="s">
        <v>201</v>
      </c>
      <c r="H34" s="6">
        <v>7479.78</v>
      </c>
      <c r="I34" s="15">
        <v>34</v>
      </c>
      <c r="J34" s="34" t="s">
        <v>201</v>
      </c>
      <c r="K34" s="6">
        <v>7479.78</v>
      </c>
      <c r="L34" s="49">
        <f t="shared" si="0"/>
        <v>0</v>
      </c>
    </row>
    <row r="35" spans="1:12">
      <c r="A35">
        <v>34</v>
      </c>
      <c r="B35" s="34" t="s">
        <v>199</v>
      </c>
      <c r="C35" s="33" t="s">
        <v>199</v>
      </c>
      <c r="D35" s="6">
        <v>7479.78</v>
      </c>
      <c r="F35" s="47">
        <v>16</v>
      </c>
      <c r="G35" s="48" t="s">
        <v>202</v>
      </c>
      <c r="H35" s="6">
        <v>7479.78</v>
      </c>
      <c r="I35" s="15">
        <v>35</v>
      </c>
      <c r="J35" s="34" t="s">
        <v>202</v>
      </c>
      <c r="K35" s="6">
        <v>7479.78</v>
      </c>
      <c r="L35" s="49">
        <f t="shared" si="0"/>
        <v>0</v>
      </c>
    </row>
    <row r="36" spans="1:12">
      <c r="A36">
        <v>35</v>
      </c>
      <c r="B36" s="34" t="s">
        <v>200</v>
      </c>
      <c r="C36" s="33" t="s">
        <v>200</v>
      </c>
      <c r="D36" s="6">
        <v>7479.78</v>
      </c>
      <c r="F36" s="47">
        <v>17</v>
      </c>
      <c r="G36" s="48" t="s">
        <v>203</v>
      </c>
      <c r="H36" s="6">
        <v>7479.78</v>
      </c>
      <c r="I36" s="15">
        <v>36</v>
      </c>
      <c r="J36" s="34" t="s">
        <v>203</v>
      </c>
      <c r="K36" s="6">
        <v>7479.78</v>
      </c>
      <c r="L36" s="49">
        <f t="shared" si="0"/>
        <v>0</v>
      </c>
    </row>
    <row r="37" spans="1:12" ht="27">
      <c r="A37">
        <v>36</v>
      </c>
      <c r="B37" s="34" t="s">
        <v>201</v>
      </c>
      <c r="C37" s="33" t="s">
        <v>201</v>
      </c>
      <c r="D37" s="6">
        <v>7479.78</v>
      </c>
      <c r="F37" s="47">
        <v>20</v>
      </c>
      <c r="G37" s="48" t="s">
        <v>170</v>
      </c>
      <c r="H37" s="6">
        <v>3399.9</v>
      </c>
      <c r="I37" s="15">
        <v>37</v>
      </c>
      <c r="J37" s="34" t="s">
        <v>170</v>
      </c>
      <c r="K37" s="6">
        <v>3399.9</v>
      </c>
      <c r="L37" s="49">
        <f t="shared" si="0"/>
        <v>0</v>
      </c>
    </row>
    <row r="38" spans="1:12">
      <c r="A38">
        <v>37</v>
      </c>
      <c r="B38" s="34" t="s">
        <v>202</v>
      </c>
      <c r="C38" s="33" t="s">
        <v>202</v>
      </c>
      <c r="D38" s="6">
        <v>7479.78</v>
      </c>
      <c r="F38" s="47">
        <v>28</v>
      </c>
      <c r="G38" s="48" t="s">
        <v>402</v>
      </c>
      <c r="H38" s="6">
        <v>3399.9</v>
      </c>
      <c r="I38" s="15">
        <v>38</v>
      </c>
      <c r="J38" s="34" t="s">
        <v>398</v>
      </c>
      <c r="K38" s="6">
        <v>3399.9</v>
      </c>
      <c r="L38" s="49">
        <f t="shared" si="0"/>
        <v>0</v>
      </c>
    </row>
    <row r="39" spans="1:12">
      <c r="A39">
        <v>38</v>
      </c>
      <c r="B39" s="34" t="s">
        <v>203</v>
      </c>
      <c r="C39" s="33" t="s">
        <v>203</v>
      </c>
      <c r="D39" s="6">
        <v>7479.78</v>
      </c>
      <c r="F39" s="47">
        <v>29</v>
      </c>
      <c r="G39" s="48" t="s">
        <v>204</v>
      </c>
      <c r="H39" s="6">
        <v>3399.9</v>
      </c>
      <c r="I39" s="15">
        <v>39</v>
      </c>
      <c r="J39" s="34" t="s">
        <v>204</v>
      </c>
      <c r="K39" s="6">
        <v>3399.9</v>
      </c>
      <c r="L39" s="49">
        <f t="shared" si="0"/>
        <v>0</v>
      </c>
    </row>
    <row r="40" spans="1:12">
      <c r="A40">
        <v>39</v>
      </c>
      <c r="B40" s="34" t="s">
        <v>170</v>
      </c>
      <c r="C40" s="33" t="s">
        <v>170</v>
      </c>
      <c r="D40" s="6">
        <v>3399.9</v>
      </c>
      <c r="F40" s="47">
        <v>1</v>
      </c>
      <c r="G40" s="48" t="s">
        <v>39</v>
      </c>
      <c r="H40" s="6">
        <v>11333</v>
      </c>
      <c r="I40" s="15">
        <v>40</v>
      </c>
      <c r="J40" s="35" t="s">
        <v>39</v>
      </c>
      <c r="K40" s="6">
        <v>11333</v>
      </c>
      <c r="L40" s="49">
        <f t="shared" si="0"/>
        <v>0</v>
      </c>
    </row>
    <row r="41" spans="1:12">
      <c r="A41">
        <v>40</v>
      </c>
      <c r="B41" s="34" t="s">
        <v>398</v>
      </c>
      <c r="C41" s="33" t="s">
        <v>402</v>
      </c>
      <c r="D41" s="6">
        <v>3399.9</v>
      </c>
      <c r="F41" s="47">
        <v>5</v>
      </c>
      <c r="G41" s="48" t="s">
        <v>205</v>
      </c>
      <c r="H41" s="6">
        <v>11333</v>
      </c>
      <c r="I41" s="15">
        <v>41</v>
      </c>
      <c r="J41" s="34" t="s">
        <v>205</v>
      </c>
      <c r="K41" s="6">
        <v>11333</v>
      </c>
      <c r="L41" s="49">
        <f t="shared" si="0"/>
        <v>0</v>
      </c>
    </row>
    <row r="42" spans="1:12">
      <c r="A42">
        <v>41</v>
      </c>
      <c r="B42" s="34" t="s">
        <v>204</v>
      </c>
      <c r="C42" s="33" t="s">
        <v>204</v>
      </c>
      <c r="D42" s="6">
        <v>3399.9</v>
      </c>
      <c r="F42" s="47">
        <v>10</v>
      </c>
      <c r="G42" s="48" t="s">
        <v>41</v>
      </c>
      <c r="H42" s="6">
        <v>11333</v>
      </c>
      <c r="I42" s="15">
        <v>42</v>
      </c>
      <c r="J42" s="34" t="s">
        <v>41</v>
      </c>
      <c r="K42" s="6">
        <v>11333</v>
      </c>
      <c r="L42" s="49">
        <f t="shared" si="0"/>
        <v>0</v>
      </c>
    </row>
    <row r="43" spans="1:12">
      <c r="A43">
        <v>42</v>
      </c>
      <c r="B43" s="34" t="s">
        <v>37</v>
      </c>
      <c r="C43" s="33" t="s">
        <v>37</v>
      </c>
      <c r="D43" s="6">
        <v>1699.95</v>
      </c>
      <c r="F43" s="47">
        <v>11</v>
      </c>
      <c r="G43" s="48" t="s">
        <v>42</v>
      </c>
      <c r="H43" s="6">
        <v>11333</v>
      </c>
      <c r="I43" s="15">
        <v>43</v>
      </c>
      <c r="J43" s="34" t="s">
        <v>42</v>
      </c>
      <c r="K43" s="6">
        <v>11333</v>
      </c>
      <c r="L43" s="49">
        <f t="shared" si="0"/>
        <v>0</v>
      </c>
    </row>
    <row r="44" spans="1:12" ht="27">
      <c r="A44">
        <v>43</v>
      </c>
      <c r="B44" s="35" t="s">
        <v>39</v>
      </c>
      <c r="C44" s="33" t="s">
        <v>39</v>
      </c>
      <c r="D44" s="6">
        <v>11333</v>
      </c>
      <c r="F44" s="47">
        <v>12</v>
      </c>
      <c r="G44" s="48" t="s">
        <v>43</v>
      </c>
      <c r="H44" s="6">
        <v>11333</v>
      </c>
      <c r="I44" s="15">
        <v>44</v>
      </c>
      <c r="J44" s="34" t="s">
        <v>493</v>
      </c>
      <c r="K44" s="6">
        <v>11333</v>
      </c>
      <c r="L44" s="49">
        <f t="shared" si="0"/>
        <v>0</v>
      </c>
    </row>
    <row r="45" spans="1:12">
      <c r="A45">
        <v>44</v>
      </c>
      <c r="B45" s="34" t="s">
        <v>38</v>
      </c>
      <c r="C45" s="33" t="s">
        <v>38</v>
      </c>
      <c r="D45" s="6">
        <v>11333</v>
      </c>
      <c r="F45" s="47">
        <v>14</v>
      </c>
      <c r="G45" s="48" t="s">
        <v>441</v>
      </c>
      <c r="H45" s="6">
        <v>10199.700000000001</v>
      </c>
      <c r="I45" s="15">
        <v>45</v>
      </c>
      <c r="J45" s="34" t="s">
        <v>441</v>
      </c>
      <c r="K45" s="6">
        <v>10199.700000000001</v>
      </c>
      <c r="L45" s="49">
        <f t="shared" si="0"/>
        <v>0</v>
      </c>
    </row>
    <row r="46" spans="1:12">
      <c r="A46">
        <v>45</v>
      </c>
      <c r="B46" s="34" t="s">
        <v>40</v>
      </c>
      <c r="C46" s="33" t="s">
        <v>40</v>
      </c>
      <c r="D46" s="6">
        <v>5666.5</v>
      </c>
      <c r="F46" s="47">
        <v>16</v>
      </c>
      <c r="G46" s="48" t="s">
        <v>206</v>
      </c>
      <c r="H46" s="6">
        <v>10199.700000000001</v>
      </c>
      <c r="I46" s="15">
        <v>46</v>
      </c>
      <c r="J46" s="34" t="s">
        <v>206</v>
      </c>
      <c r="K46" s="6">
        <v>10199.700000000001</v>
      </c>
      <c r="L46" s="49">
        <f t="shared" si="0"/>
        <v>0</v>
      </c>
    </row>
    <row r="47" spans="1:12">
      <c r="A47">
        <v>46</v>
      </c>
      <c r="B47" s="34" t="s">
        <v>205</v>
      </c>
      <c r="C47" s="33" t="s">
        <v>205</v>
      </c>
      <c r="D47" s="6">
        <v>11333</v>
      </c>
      <c r="F47" s="47">
        <v>19</v>
      </c>
      <c r="G47" s="48" t="s">
        <v>47</v>
      </c>
      <c r="H47" s="6">
        <v>7479.78</v>
      </c>
      <c r="I47" s="15">
        <v>47</v>
      </c>
      <c r="J47" s="34" t="s">
        <v>47</v>
      </c>
      <c r="K47" s="6">
        <v>7479.78</v>
      </c>
      <c r="L47" s="49">
        <f t="shared" si="0"/>
        <v>0</v>
      </c>
    </row>
    <row r="48" spans="1:12" ht="27">
      <c r="A48">
        <v>47</v>
      </c>
      <c r="B48" s="34" t="s">
        <v>41</v>
      </c>
      <c r="C48" s="33" t="s">
        <v>41</v>
      </c>
      <c r="D48" s="6">
        <v>11333</v>
      </c>
      <c r="F48" s="47">
        <v>20</v>
      </c>
      <c r="G48" s="48" t="s">
        <v>423</v>
      </c>
      <c r="H48" s="6">
        <v>7479.78</v>
      </c>
      <c r="I48" s="15">
        <v>48</v>
      </c>
      <c r="J48" s="34" t="s">
        <v>409</v>
      </c>
      <c r="K48" s="6">
        <v>7479.78</v>
      </c>
      <c r="L48" s="49">
        <f t="shared" si="0"/>
        <v>0</v>
      </c>
    </row>
    <row r="49" spans="1:12">
      <c r="A49">
        <v>48</v>
      </c>
      <c r="B49" s="34" t="s">
        <v>42</v>
      </c>
      <c r="C49" s="33" t="s">
        <v>42</v>
      </c>
      <c r="D49" s="6">
        <v>11333</v>
      </c>
      <c r="F49" s="47">
        <v>23</v>
      </c>
      <c r="G49" s="48" t="s">
        <v>384</v>
      </c>
      <c r="H49" s="6">
        <v>7479.78</v>
      </c>
      <c r="I49" s="15">
        <v>49</v>
      </c>
      <c r="J49" s="34" t="s">
        <v>395</v>
      </c>
      <c r="K49" s="6">
        <v>7479.78</v>
      </c>
      <c r="L49" s="49">
        <f t="shared" si="0"/>
        <v>0</v>
      </c>
    </row>
    <row r="50" spans="1:12">
      <c r="A50">
        <v>49</v>
      </c>
      <c r="B50" s="34" t="s">
        <v>43</v>
      </c>
      <c r="C50" s="33" t="s">
        <v>43</v>
      </c>
      <c r="D50" s="6">
        <v>10199.700000000001</v>
      </c>
      <c r="F50" s="47">
        <v>25</v>
      </c>
      <c r="G50" s="48" t="s">
        <v>207</v>
      </c>
      <c r="H50" s="6">
        <v>7479.78</v>
      </c>
      <c r="I50" s="15">
        <v>50</v>
      </c>
      <c r="J50" s="34" t="s">
        <v>207</v>
      </c>
      <c r="K50" s="6">
        <v>7479.78</v>
      </c>
      <c r="L50" s="49">
        <f t="shared" si="0"/>
        <v>0</v>
      </c>
    </row>
    <row r="51" spans="1:12">
      <c r="A51">
        <v>50</v>
      </c>
      <c r="B51" s="34" t="s">
        <v>206</v>
      </c>
      <c r="C51" s="33" t="s">
        <v>206</v>
      </c>
      <c r="D51" s="6">
        <v>10199.700000000001</v>
      </c>
      <c r="F51" s="47">
        <v>27</v>
      </c>
      <c r="G51" s="48" t="s">
        <v>208</v>
      </c>
      <c r="H51" s="6">
        <v>7479.78</v>
      </c>
      <c r="I51" s="15">
        <v>51</v>
      </c>
      <c r="J51" s="34" t="s">
        <v>208</v>
      </c>
      <c r="K51" s="6">
        <v>7479.78</v>
      </c>
      <c r="L51" s="49">
        <f t="shared" si="0"/>
        <v>0</v>
      </c>
    </row>
    <row r="52" spans="1:12">
      <c r="A52">
        <v>51</v>
      </c>
      <c r="B52" s="34" t="s">
        <v>47</v>
      </c>
      <c r="C52" s="33" t="s">
        <v>47</v>
      </c>
      <c r="D52" s="6">
        <v>7479.78</v>
      </c>
      <c r="F52" s="47">
        <v>1</v>
      </c>
      <c r="G52" s="48" t="s">
        <v>258</v>
      </c>
      <c r="H52" s="6">
        <v>11333</v>
      </c>
      <c r="I52" s="15">
        <v>52</v>
      </c>
      <c r="J52" s="34" t="s">
        <v>258</v>
      </c>
      <c r="K52" s="6">
        <v>11333</v>
      </c>
      <c r="L52" s="49">
        <f t="shared" si="0"/>
        <v>0</v>
      </c>
    </row>
    <row r="53" spans="1:12">
      <c r="A53">
        <v>52</v>
      </c>
      <c r="B53" s="34" t="s">
        <v>409</v>
      </c>
      <c r="C53" s="33" t="s">
        <v>423</v>
      </c>
      <c r="D53" s="6">
        <v>7479.78</v>
      </c>
      <c r="F53" s="47">
        <v>3</v>
      </c>
      <c r="G53" s="48" t="s">
        <v>462</v>
      </c>
      <c r="H53" s="6">
        <v>7479.78</v>
      </c>
      <c r="I53" s="15">
        <v>53</v>
      </c>
      <c r="J53" s="34" t="s">
        <v>209</v>
      </c>
      <c r="K53" s="6">
        <v>7479.78</v>
      </c>
      <c r="L53" s="49">
        <f t="shared" si="0"/>
        <v>0</v>
      </c>
    </row>
    <row r="54" spans="1:12">
      <c r="A54">
        <v>53</v>
      </c>
      <c r="B54" s="34" t="s">
        <v>395</v>
      </c>
      <c r="C54" s="33" t="s">
        <v>384</v>
      </c>
      <c r="D54" s="6">
        <v>7479.78</v>
      </c>
      <c r="F54" s="47">
        <v>5</v>
      </c>
      <c r="G54" s="48" t="s">
        <v>209</v>
      </c>
      <c r="H54" s="6">
        <v>7479.78</v>
      </c>
      <c r="I54" s="15">
        <v>54</v>
      </c>
      <c r="J54" s="34" t="s">
        <v>442</v>
      </c>
      <c r="K54" s="6">
        <v>7479.78</v>
      </c>
      <c r="L54" s="49">
        <f t="shared" si="0"/>
        <v>0</v>
      </c>
    </row>
    <row r="55" spans="1:12">
      <c r="A55">
        <v>54</v>
      </c>
      <c r="B55" s="34" t="s">
        <v>207</v>
      </c>
      <c r="C55" s="33" t="s">
        <v>207</v>
      </c>
      <c r="D55" s="6">
        <v>7479.78</v>
      </c>
      <c r="F55" s="47">
        <v>3</v>
      </c>
      <c r="G55" s="48" t="s">
        <v>210</v>
      </c>
      <c r="H55" s="6">
        <v>7479.78</v>
      </c>
      <c r="I55" s="15">
        <v>55</v>
      </c>
      <c r="J55" s="34" t="s">
        <v>210</v>
      </c>
      <c r="K55" s="6">
        <v>7479.78</v>
      </c>
      <c r="L55" s="49">
        <f t="shared" si="0"/>
        <v>0</v>
      </c>
    </row>
    <row r="56" spans="1:12">
      <c r="A56">
        <v>55</v>
      </c>
      <c r="B56" s="34" t="s">
        <v>208</v>
      </c>
      <c r="C56" s="33" t="s">
        <v>208</v>
      </c>
      <c r="D56" s="6">
        <v>7479.78</v>
      </c>
      <c r="F56" s="47">
        <v>6</v>
      </c>
      <c r="G56" s="48" t="s">
        <v>211</v>
      </c>
      <c r="H56" s="6">
        <v>7479.78</v>
      </c>
      <c r="I56" s="15">
        <v>56</v>
      </c>
      <c r="J56" s="34" t="s">
        <v>211</v>
      </c>
      <c r="K56" s="6">
        <v>7479.78</v>
      </c>
      <c r="L56" s="49">
        <f t="shared" si="0"/>
        <v>0</v>
      </c>
    </row>
    <row r="57" spans="1:12">
      <c r="A57">
        <v>56</v>
      </c>
      <c r="B57" s="34" t="s">
        <v>258</v>
      </c>
      <c r="C57" s="33" t="s">
        <v>258</v>
      </c>
      <c r="D57" s="6">
        <v>11333</v>
      </c>
      <c r="F57" s="47">
        <v>7</v>
      </c>
      <c r="G57" s="48" t="s">
        <v>212</v>
      </c>
      <c r="H57" s="6">
        <v>7479.78</v>
      </c>
      <c r="I57" s="15">
        <v>57</v>
      </c>
      <c r="J57" s="34" t="s">
        <v>212</v>
      </c>
      <c r="K57" s="6">
        <v>7479.78</v>
      </c>
      <c r="L57" s="49">
        <f t="shared" si="0"/>
        <v>0</v>
      </c>
    </row>
    <row r="58" spans="1:12" ht="27">
      <c r="A58">
        <v>57</v>
      </c>
      <c r="B58" s="34" t="s">
        <v>209</v>
      </c>
      <c r="C58" s="33" t="s">
        <v>209</v>
      </c>
      <c r="D58" s="6">
        <v>7479.78</v>
      </c>
      <c r="F58" s="47">
        <v>10</v>
      </c>
      <c r="G58" s="48" t="s">
        <v>167</v>
      </c>
      <c r="H58" s="6">
        <v>3399.9</v>
      </c>
      <c r="I58" s="15">
        <v>58</v>
      </c>
      <c r="J58" s="34" t="s">
        <v>167</v>
      </c>
      <c r="K58" s="6">
        <v>3399.9</v>
      </c>
      <c r="L58" s="49">
        <f t="shared" si="0"/>
        <v>0</v>
      </c>
    </row>
    <row r="59" spans="1:12">
      <c r="A59">
        <v>58</v>
      </c>
      <c r="B59" s="34" t="s">
        <v>51</v>
      </c>
      <c r="C59" s="33" t="s">
        <v>51</v>
      </c>
      <c r="D59" s="6">
        <v>11333</v>
      </c>
      <c r="F59" s="47">
        <v>11</v>
      </c>
      <c r="G59" s="48" t="s">
        <v>55</v>
      </c>
      <c r="H59" s="6">
        <v>12979.78</v>
      </c>
      <c r="I59" s="15">
        <v>59</v>
      </c>
      <c r="J59" s="34" t="s">
        <v>55</v>
      </c>
      <c r="K59" s="6">
        <v>12979.78</v>
      </c>
      <c r="L59" s="49">
        <f t="shared" si="0"/>
        <v>0</v>
      </c>
    </row>
    <row r="60" spans="1:12">
      <c r="A60">
        <v>59</v>
      </c>
      <c r="B60" s="34" t="s">
        <v>210</v>
      </c>
      <c r="C60" s="33" t="s">
        <v>210</v>
      </c>
      <c r="D60" s="6">
        <v>7479.78</v>
      </c>
      <c r="F60" s="47">
        <v>13</v>
      </c>
      <c r="G60" s="48" t="s">
        <v>213</v>
      </c>
      <c r="H60" s="6">
        <v>3399.9</v>
      </c>
      <c r="I60" s="15">
        <v>60</v>
      </c>
      <c r="J60" s="34" t="s">
        <v>213</v>
      </c>
      <c r="K60" s="6">
        <v>3399.9</v>
      </c>
      <c r="L60" s="49">
        <f t="shared" si="0"/>
        <v>0</v>
      </c>
    </row>
    <row r="61" spans="1:12">
      <c r="A61">
        <v>60</v>
      </c>
      <c r="B61" s="34" t="s">
        <v>211</v>
      </c>
      <c r="C61" s="33" t="s">
        <v>211</v>
      </c>
      <c r="D61" s="6">
        <v>7479.78</v>
      </c>
      <c r="F61" s="47">
        <v>8</v>
      </c>
      <c r="G61" s="48" t="s">
        <v>463</v>
      </c>
      <c r="H61" s="6">
        <v>7479.78</v>
      </c>
      <c r="I61" s="15">
        <v>61</v>
      </c>
      <c r="J61" s="34" t="s">
        <v>457</v>
      </c>
      <c r="K61" s="6">
        <v>7479.78</v>
      </c>
      <c r="L61" s="49">
        <f t="shared" si="0"/>
        <v>0</v>
      </c>
    </row>
    <row r="62" spans="1:12">
      <c r="A62">
        <v>61</v>
      </c>
      <c r="B62" s="34" t="s">
        <v>212</v>
      </c>
      <c r="C62" s="33" t="s">
        <v>212</v>
      </c>
      <c r="D62" s="6">
        <v>7479.78</v>
      </c>
      <c r="F62" s="47">
        <v>9</v>
      </c>
      <c r="G62" s="48" t="s">
        <v>215</v>
      </c>
      <c r="H62" s="6">
        <v>10199.700000000001</v>
      </c>
      <c r="I62" s="15">
        <v>62</v>
      </c>
      <c r="J62" s="34" t="s">
        <v>215</v>
      </c>
      <c r="K62" s="6">
        <v>10199.700000000001</v>
      </c>
      <c r="L62" s="49">
        <f t="shared" si="0"/>
        <v>0</v>
      </c>
    </row>
    <row r="63" spans="1:12">
      <c r="A63">
        <v>62</v>
      </c>
      <c r="B63" s="34" t="s">
        <v>167</v>
      </c>
      <c r="C63" s="33" t="s">
        <v>167</v>
      </c>
      <c r="D63" s="6">
        <v>3399.9</v>
      </c>
      <c r="F63" s="47">
        <v>10</v>
      </c>
      <c r="G63" s="48" t="s">
        <v>424</v>
      </c>
      <c r="H63" s="6">
        <v>10199.700000000001</v>
      </c>
      <c r="I63" s="15">
        <v>63</v>
      </c>
      <c r="J63" s="34" t="s">
        <v>410</v>
      </c>
      <c r="K63" s="6">
        <v>10199.700000000001</v>
      </c>
      <c r="L63" s="49">
        <f t="shared" si="0"/>
        <v>0</v>
      </c>
    </row>
    <row r="64" spans="1:12">
      <c r="A64">
        <v>63</v>
      </c>
      <c r="B64" s="34" t="s">
        <v>55</v>
      </c>
      <c r="C64" s="33" t="s">
        <v>55</v>
      </c>
      <c r="D64" s="6">
        <v>7479.78</v>
      </c>
      <c r="F64" s="47">
        <v>14</v>
      </c>
      <c r="G64" s="48" t="s">
        <v>216</v>
      </c>
      <c r="H64" s="6">
        <v>10199.700000000001</v>
      </c>
      <c r="I64" s="15">
        <v>64</v>
      </c>
      <c r="J64" s="34" t="s">
        <v>216</v>
      </c>
      <c r="K64" s="6">
        <v>10199.700000000001</v>
      </c>
      <c r="L64" s="49">
        <f t="shared" si="0"/>
        <v>0</v>
      </c>
    </row>
    <row r="65" spans="1:12">
      <c r="A65">
        <v>64</v>
      </c>
      <c r="B65" s="34" t="s">
        <v>213</v>
      </c>
      <c r="C65" s="33" t="s">
        <v>213</v>
      </c>
      <c r="D65" s="6">
        <v>3399.9</v>
      </c>
      <c r="F65" s="47">
        <v>17</v>
      </c>
      <c r="G65" s="48" t="s">
        <v>63</v>
      </c>
      <c r="H65" s="6">
        <v>22443.34</v>
      </c>
      <c r="I65" s="15">
        <v>65</v>
      </c>
      <c r="J65" s="34" t="s">
        <v>63</v>
      </c>
      <c r="K65" s="6">
        <v>22443.34</v>
      </c>
      <c r="L65" s="49">
        <f t="shared" si="0"/>
        <v>0</v>
      </c>
    </row>
    <row r="66" spans="1:12">
      <c r="A66">
        <v>65</v>
      </c>
      <c r="B66" s="34" t="s">
        <v>215</v>
      </c>
      <c r="C66" s="33" t="s">
        <v>215</v>
      </c>
      <c r="D66" s="6">
        <v>10199.700000000001</v>
      </c>
      <c r="F66" s="47">
        <v>20</v>
      </c>
      <c r="G66" s="48" t="s">
        <v>464</v>
      </c>
      <c r="H66" s="6">
        <v>7479.78</v>
      </c>
      <c r="I66" s="15">
        <v>66</v>
      </c>
      <c r="J66" s="34" t="s">
        <v>448</v>
      </c>
      <c r="K66" s="6">
        <v>7479.78</v>
      </c>
      <c r="L66" s="49">
        <f t="shared" si="0"/>
        <v>0</v>
      </c>
    </row>
    <row r="67" spans="1:12">
      <c r="A67">
        <v>66</v>
      </c>
      <c r="B67" s="34" t="s">
        <v>216</v>
      </c>
      <c r="C67" s="33" t="s">
        <v>424</v>
      </c>
      <c r="D67" s="6">
        <v>10199.700000000001</v>
      </c>
      <c r="F67" s="47">
        <v>2</v>
      </c>
      <c r="G67" s="48" t="s">
        <v>66</v>
      </c>
      <c r="H67" s="6">
        <v>15999.75</v>
      </c>
      <c r="I67" s="15">
        <v>67</v>
      </c>
      <c r="J67" s="34" t="s">
        <v>66</v>
      </c>
      <c r="K67" s="6">
        <v>15999.75</v>
      </c>
      <c r="L67" s="49">
        <f t="shared" ref="L67:L130" si="1">K67-H67</f>
        <v>0</v>
      </c>
    </row>
    <row r="68" spans="1:12">
      <c r="A68">
        <v>67</v>
      </c>
      <c r="B68" s="34" t="s">
        <v>63</v>
      </c>
      <c r="C68" s="33" t="s">
        <v>216</v>
      </c>
      <c r="D68" s="6">
        <v>10199.700000000001</v>
      </c>
      <c r="F68" s="47">
        <v>6</v>
      </c>
      <c r="G68" s="48" t="s">
        <v>465</v>
      </c>
      <c r="H68" s="6">
        <v>7479.78</v>
      </c>
      <c r="I68" s="15">
        <v>68</v>
      </c>
      <c r="J68" s="34" t="s">
        <v>465</v>
      </c>
      <c r="K68" s="6">
        <v>7479.78</v>
      </c>
      <c r="L68" s="49">
        <f t="shared" si="1"/>
        <v>0</v>
      </c>
    </row>
    <row r="69" spans="1:12" ht="23.25">
      <c r="A69">
        <v>68</v>
      </c>
      <c r="B69" s="34" t="s">
        <v>410</v>
      </c>
      <c r="C69" s="33" t="s">
        <v>63</v>
      </c>
      <c r="D69" s="6">
        <v>7479.78</v>
      </c>
      <c r="F69" s="47">
        <v>9</v>
      </c>
      <c r="G69" s="48" t="s">
        <v>466</v>
      </c>
      <c r="H69" s="6">
        <v>7479.78</v>
      </c>
      <c r="I69" s="15">
        <v>69</v>
      </c>
      <c r="J69" s="34" t="s">
        <v>443</v>
      </c>
      <c r="K69" s="6">
        <v>7479.78</v>
      </c>
      <c r="L69" s="49">
        <f t="shared" si="1"/>
        <v>0</v>
      </c>
    </row>
    <row r="70" spans="1:12">
      <c r="A70">
        <v>69</v>
      </c>
      <c r="B70" s="34" t="s">
        <v>66</v>
      </c>
      <c r="C70" s="33" t="s">
        <v>66</v>
      </c>
      <c r="D70" s="6">
        <v>16999.5</v>
      </c>
      <c r="F70" s="47">
        <v>11</v>
      </c>
      <c r="G70" s="48" t="s">
        <v>217</v>
      </c>
      <c r="H70" s="6">
        <v>7479.78</v>
      </c>
      <c r="I70" s="15">
        <v>70</v>
      </c>
      <c r="J70" s="34" t="s">
        <v>217</v>
      </c>
      <c r="K70" s="6">
        <v>7479.78</v>
      </c>
      <c r="L70" s="49">
        <f t="shared" si="1"/>
        <v>0</v>
      </c>
    </row>
    <row r="71" spans="1:12">
      <c r="A71">
        <v>70</v>
      </c>
      <c r="B71" s="34" t="s">
        <v>180</v>
      </c>
      <c r="C71" s="33"/>
      <c r="D71" s="6">
        <v>0</v>
      </c>
      <c r="F71" s="47">
        <v>13</v>
      </c>
      <c r="G71" s="48" t="s">
        <v>467</v>
      </c>
      <c r="H71" s="6">
        <v>7479.78</v>
      </c>
      <c r="I71" s="15">
        <v>71</v>
      </c>
      <c r="J71" s="34" t="s">
        <v>449</v>
      </c>
      <c r="K71" s="6">
        <v>7479.78</v>
      </c>
      <c r="L71" s="49">
        <f t="shared" si="1"/>
        <v>0</v>
      </c>
    </row>
    <row r="72" spans="1:12">
      <c r="A72">
        <v>71</v>
      </c>
      <c r="B72" s="34" t="s">
        <v>217</v>
      </c>
      <c r="C72" s="33" t="s">
        <v>217</v>
      </c>
      <c r="D72" s="6">
        <v>7479.78</v>
      </c>
      <c r="F72" s="47">
        <v>14</v>
      </c>
      <c r="G72" s="48" t="s">
        <v>71</v>
      </c>
      <c r="H72" s="6">
        <v>7479.78</v>
      </c>
      <c r="I72" s="15">
        <v>72</v>
      </c>
      <c r="J72" s="34" t="s">
        <v>71</v>
      </c>
      <c r="K72" s="6">
        <v>7479.78</v>
      </c>
      <c r="L72" s="49">
        <f t="shared" si="1"/>
        <v>0</v>
      </c>
    </row>
    <row r="73" spans="1:12">
      <c r="A73">
        <v>72</v>
      </c>
      <c r="B73" s="34" t="s">
        <v>218</v>
      </c>
      <c r="C73" s="33" t="s">
        <v>218</v>
      </c>
      <c r="D73" s="6">
        <v>7479.78</v>
      </c>
      <c r="F73" s="47">
        <v>15</v>
      </c>
      <c r="G73" s="48" t="s">
        <v>219</v>
      </c>
      <c r="H73" s="6">
        <v>7479.78</v>
      </c>
      <c r="I73" s="15">
        <v>73</v>
      </c>
      <c r="J73" s="34" t="s">
        <v>219</v>
      </c>
      <c r="K73" s="6">
        <v>7479.78</v>
      </c>
      <c r="L73" s="49">
        <f t="shared" si="1"/>
        <v>0</v>
      </c>
    </row>
    <row r="74" spans="1:12">
      <c r="A74">
        <v>73</v>
      </c>
      <c r="B74" s="34" t="s">
        <v>71</v>
      </c>
      <c r="C74" s="33" t="s">
        <v>71</v>
      </c>
      <c r="D74" s="6">
        <v>7479.78</v>
      </c>
      <c r="F74" s="47">
        <v>18</v>
      </c>
      <c r="G74" s="48" t="s">
        <v>330</v>
      </c>
      <c r="H74" s="6">
        <v>7479.78</v>
      </c>
      <c r="I74" s="15">
        <v>74</v>
      </c>
      <c r="J74" s="34" t="s">
        <v>381</v>
      </c>
      <c r="K74" s="6">
        <v>7479.78</v>
      </c>
      <c r="L74" s="49">
        <f t="shared" si="1"/>
        <v>0</v>
      </c>
    </row>
    <row r="75" spans="1:12">
      <c r="A75">
        <v>74</v>
      </c>
      <c r="B75" s="34" t="s">
        <v>219</v>
      </c>
      <c r="C75" s="33" t="s">
        <v>219</v>
      </c>
      <c r="D75" s="6">
        <v>7479.78</v>
      </c>
      <c r="F75" s="47">
        <v>19</v>
      </c>
      <c r="G75" s="48" t="s">
        <v>220</v>
      </c>
      <c r="H75" s="6">
        <v>7479.78</v>
      </c>
      <c r="I75" s="15">
        <v>75</v>
      </c>
      <c r="J75" s="34" t="s">
        <v>220</v>
      </c>
      <c r="K75" s="6">
        <v>7479.78</v>
      </c>
      <c r="L75" s="49">
        <f t="shared" si="1"/>
        <v>0</v>
      </c>
    </row>
    <row r="76" spans="1:12">
      <c r="A76">
        <v>75</v>
      </c>
      <c r="B76" s="34" t="s">
        <v>72</v>
      </c>
      <c r="C76" s="33"/>
      <c r="D76" s="6">
        <v>0</v>
      </c>
      <c r="F76" s="47">
        <v>20</v>
      </c>
      <c r="G76" s="48" t="s">
        <v>425</v>
      </c>
      <c r="H76" s="6">
        <v>7479.78</v>
      </c>
      <c r="I76" s="15">
        <v>76</v>
      </c>
      <c r="J76" s="34" t="s">
        <v>411</v>
      </c>
      <c r="K76" s="6">
        <v>7479.78</v>
      </c>
      <c r="L76" s="49">
        <f t="shared" si="1"/>
        <v>0</v>
      </c>
    </row>
    <row r="77" spans="1:12">
      <c r="A77">
        <v>76</v>
      </c>
      <c r="B77" s="34" t="s">
        <v>381</v>
      </c>
      <c r="C77" s="33" t="s">
        <v>330</v>
      </c>
      <c r="D77" s="6">
        <v>7479.78</v>
      </c>
      <c r="F77" s="47">
        <v>3</v>
      </c>
      <c r="G77" s="48" t="s">
        <v>385</v>
      </c>
      <c r="H77" s="6">
        <v>7479.78</v>
      </c>
      <c r="I77" s="15">
        <v>77</v>
      </c>
      <c r="J77" s="35" t="s">
        <v>385</v>
      </c>
      <c r="K77" s="6">
        <v>7479.78</v>
      </c>
      <c r="L77" s="49">
        <f t="shared" si="1"/>
        <v>0</v>
      </c>
    </row>
    <row r="78" spans="1:12">
      <c r="A78">
        <v>77</v>
      </c>
      <c r="B78" s="34" t="s">
        <v>220</v>
      </c>
      <c r="C78" s="33" t="s">
        <v>220</v>
      </c>
      <c r="D78" s="6">
        <v>7479.78</v>
      </c>
      <c r="F78" s="47">
        <v>11</v>
      </c>
      <c r="G78" s="48" t="s">
        <v>76</v>
      </c>
      <c r="H78" s="6">
        <v>7479.78</v>
      </c>
      <c r="I78" s="15">
        <v>78</v>
      </c>
      <c r="J78" s="35" t="s">
        <v>76</v>
      </c>
      <c r="K78" s="6">
        <v>7479.78</v>
      </c>
      <c r="L78" s="49">
        <f t="shared" si="1"/>
        <v>0</v>
      </c>
    </row>
    <row r="79" spans="1:12">
      <c r="A79">
        <v>78</v>
      </c>
      <c r="B79" s="34" t="s">
        <v>411</v>
      </c>
      <c r="C79" s="33" t="s">
        <v>425</v>
      </c>
      <c r="D79" s="6">
        <v>7479.78</v>
      </c>
      <c r="F79" s="47">
        <v>15</v>
      </c>
      <c r="G79" s="48" t="s">
        <v>470</v>
      </c>
      <c r="H79" s="6">
        <v>7479.78</v>
      </c>
      <c r="I79" s="15">
        <v>79</v>
      </c>
      <c r="J79" s="33" t="s">
        <v>470</v>
      </c>
      <c r="K79" s="6">
        <v>7479.78</v>
      </c>
      <c r="L79" s="49">
        <f t="shared" si="1"/>
        <v>0</v>
      </c>
    </row>
    <row r="80" spans="1:12">
      <c r="A80">
        <v>79</v>
      </c>
      <c r="B80" s="34" t="s">
        <v>74</v>
      </c>
      <c r="C80" s="33" t="s">
        <v>74</v>
      </c>
      <c r="D80" s="6">
        <v>1699.95</v>
      </c>
      <c r="F80" s="47">
        <v>16</v>
      </c>
      <c r="G80" s="48" t="s">
        <v>471</v>
      </c>
      <c r="H80" s="6">
        <v>7479.78</v>
      </c>
      <c r="I80" s="15">
        <v>80</v>
      </c>
      <c r="J80" s="33" t="s">
        <v>471</v>
      </c>
      <c r="K80" s="6">
        <v>7479.78</v>
      </c>
      <c r="L80" s="49">
        <f t="shared" si="1"/>
        <v>0</v>
      </c>
    </row>
    <row r="81" spans="1:12">
      <c r="A81">
        <v>80</v>
      </c>
      <c r="B81" s="35" t="s">
        <v>385</v>
      </c>
      <c r="C81" s="33" t="s">
        <v>385</v>
      </c>
      <c r="D81" s="6">
        <v>7479.78</v>
      </c>
      <c r="F81" s="47">
        <v>1</v>
      </c>
      <c r="G81" s="48" t="s">
        <v>468</v>
      </c>
      <c r="H81" s="6">
        <v>10046.44</v>
      </c>
      <c r="I81" s="15">
        <v>81</v>
      </c>
      <c r="J81" s="35" t="s">
        <v>450</v>
      </c>
      <c r="K81" s="6">
        <v>10046.44</v>
      </c>
      <c r="L81" s="49">
        <f t="shared" si="1"/>
        <v>0</v>
      </c>
    </row>
    <row r="82" spans="1:12">
      <c r="A82">
        <v>81</v>
      </c>
      <c r="B82" s="34" t="s">
        <v>75</v>
      </c>
      <c r="C82" s="33" t="s">
        <v>75</v>
      </c>
      <c r="D82" s="6">
        <v>1699.95</v>
      </c>
      <c r="F82" s="47">
        <v>8</v>
      </c>
      <c r="G82" s="48" t="s">
        <v>469</v>
      </c>
      <c r="H82" s="6">
        <v>7479.78</v>
      </c>
      <c r="I82" s="15">
        <v>82</v>
      </c>
      <c r="J82" s="33" t="s">
        <v>469</v>
      </c>
      <c r="K82" s="6">
        <v>7479.78</v>
      </c>
      <c r="L82" s="49">
        <f t="shared" si="1"/>
        <v>0</v>
      </c>
    </row>
    <row r="83" spans="1:12">
      <c r="A83">
        <v>82</v>
      </c>
      <c r="B83" s="35" t="s">
        <v>76</v>
      </c>
      <c r="C83" s="33" t="s">
        <v>76</v>
      </c>
      <c r="D83" s="6">
        <v>7479.78</v>
      </c>
      <c r="F83" s="47">
        <v>1</v>
      </c>
      <c r="G83" s="48" t="s">
        <v>221</v>
      </c>
      <c r="H83" s="6">
        <v>7479.78</v>
      </c>
      <c r="I83" s="15">
        <v>83</v>
      </c>
      <c r="J83" s="34" t="s">
        <v>221</v>
      </c>
      <c r="K83" s="6">
        <v>7479.78</v>
      </c>
      <c r="L83" s="49">
        <f t="shared" si="1"/>
        <v>0</v>
      </c>
    </row>
    <row r="84" spans="1:12">
      <c r="A84">
        <v>83</v>
      </c>
      <c r="B84" s="34" t="s">
        <v>221</v>
      </c>
      <c r="C84" s="33" t="s">
        <v>221</v>
      </c>
      <c r="D84" s="6">
        <v>7479.78</v>
      </c>
      <c r="F84" s="47">
        <v>2</v>
      </c>
      <c r="G84" s="48" t="s">
        <v>77</v>
      </c>
      <c r="H84" s="6">
        <v>7479.78</v>
      </c>
      <c r="I84" s="15">
        <v>84</v>
      </c>
      <c r="J84" s="34" t="s">
        <v>77</v>
      </c>
      <c r="K84" s="6">
        <v>7479.78</v>
      </c>
      <c r="L84" s="49">
        <f t="shared" si="1"/>
        <v>0</v>
      </c>
    </row>
    <row r="85" spans="1:12">
      <c r="A85">
        <v>84</v>
      </c>
      <c r="B85" s="34" t="s">
        <v>77</v>
      </c>
      <c r="C85" s="33" t="s">
        <v>77</v>
      </c>
      <c r="D85" s="6">
        <v>7479.78</v>
      </c>
      <c r="F85" s="47">
        <v>3</v>
      </c>
      <c r="G85" s="48" t="s">
        <v>222</v>
      </c>
      <c r="H85" s="6">
        <v>7479.78</v>
      </c>
      <c r="I85" s="15">
        <v>85</v>
      </c>
      <c r="J85" s="34" t="s">
        <v>222</v>
      </c>
      <c r="K85" s="6">
        <v>7479.78</v>
      </c>
      <c r="L85" s="49">
        <f t="shared" si="1"/>
        <v>0</v>
      </c>
    </row>
    <row r="86" spans="1:12">
      <c r="A86">
        <v>85</v>
      </c>
      <c r="B86" s="34" t="s">
        <v>222</v>
      </c>
      <c r="C86" s="33" t="s">
        <v>222</v>
      </c>
      <c r="D86" s="6">
        <v>7479.78</v>
      </c>
      <c r="F86" s="47">
        <v>4</v>
      </c>
      <c r="G86" s="48" t="s">
        <v>78</v>
      </c>
      <c r="H86" s="6">
        <v>7479.78</v>
      </c>
      <c r="I86" s="15">
        <v>86</v>
      </c>
      <c r="J86" s="34" t="s">
        <v>78</v>
      </c>
      <c r="K86" s="6">
        <v>7479.78</v>
      </c>
      <c r="L86" s="49">
        <f t="shared" si="1"/>
        <v>0</v>
      </c>
    </row>
    <row r="87" spans="1:12" ht="23.25">
      <c r="A87">
        <v>86</v>
      </c>
      <c r="B87" s="34" t="s">
        <v>78</v>
      </c>
      <c r="C87" s="33" t="s">
        <v>78</v>
      </c>
      <c r="D87" s="6">
        <v>7479.78</v>
      </c>
      <c r="F87" s="47">
        <v>16</v>
      </c>
      <c r="G87" s="48" t="s">
        <v>426</v>
      </c>
      <c r="H87" s="6">
        <v>7479.78</v>
      </c>
      <c r="I87" s="15">
        <v>87</v>
      </c>
      <c r="J87" s="34" t="s">
        <v>412</v>
      </c>
      <c r="K87" s="6">
        <v>7479.78</v>
      </c>
      <c r="L87" s="49">
        <f t="shared" si="1"/>
        <v>0</v>
      </c>
    </row>
    <row r="88" spans="1:12">
      <c r="A88">
        <v>87</v>
      </c>
      <c r="B88" s="34" t="s">
        <v>412</v>
      </c>
      <c r="C88" s="33"/>
      <c r="D88" s="6">
        <v>0</v>
      </c>
      <c r="F88" s="47">
        <v>7</v>
      </c>
      <c r="G88" s="48" t="s">
        <v>386</v>
      </c>
      <c r="H88" s="6">
        <v>7479.98</v>
      </c>
      <c r="I88" s="15">
        <v>88</v>
      </c>
      <c r="J88" s="35" t="s">
        <v>386</v>
      </c>
      <c r="K88" s="6">
        <v>7479.98</v>
      </c>
      <c r="L88" s="49">
        <f t="shared" si="1"/>
        <v>0</v>
      </c>
    </row>
    <row r="89" spans="1:12">
      <c r="A89">
        <v>88</v>
      </c>
      <c r="B89" s="35" t="s">
        <v>386</v>
      </c>
      <c r="C89" s="33" t="s">
        <v>386</v>
      </c>
      <c r="D89" s="6">
        <v>7479.98</v>
      </c>
      <c r="F89" s="47">
        <v>8</v>
      </c>
      <c r="G89" s="48" t="s">
        <v>223</v>
      </c>
      <c r="H89" s="6">
        <v>7479.78</v>
      </c>
      <c r="I89" s="15">
        <v>89</v>
      </c>
      <c r="J89" s="34" t="s">
        <v>223</v>
      </c>
      <c r="K89" s="6">
        <v>7479.78</v>
      </c>
      <c r="L89" s="49">
        <f t="shared" si="1"/>
        <v>0</v>
      </c>
    </row>
    <row r="90" spans="1:12">
      <c r="A90">
        <v>89</v>
      </c>
      <c r="B90" s="34" t="s">
        <v>223</v>
      </c>
      <c r="C90" s="33" t="s">
        <v>223</v>
      </c>
      <c r="D90" s="6">
        <v>7479.78</v>
      </c>
      <c r="F90" s="47">
        <v>13</v>
      </c>
      <c r="G90" s="48" t="s">
        <v>224</v>
      </c>
      <c r="H90" s="6">
        <v>7479.78</v>
      </c>
      <c r="I90" s="15">
        <v>90</v>
      </c>
      <c r="J90" s="34" t="s">
        <v>224</v>
      </c>
      <c r="K90" s="6">
        <v>7479.78</v>
      </c>
      <c r="L90" s="49">
        <f t="shared" si="1"/>
        <v>0</v>
      </c>
    </row>
    <row r="91" spans="1:12">
      <c r="A91">
        <v>90</v>
      </c>
      <c r="B91" s="34" t="s">
        <v>224</v>
      </c>
      <c r="C91" s="33" t="s">
        <v>224</v>
      </c>
      <c r="D91" s="6">
        <v>7479.78</v>
      </c>
      <c r="F91" s="47">
        <v>25</v>
      </c>
      <c r="G91" s="48" t="s">
        <v>225</v>
      </c>
      <c r="H91" s="6">
        <v>7479.78</v>
      </c>
      <c r="I91" s="15">
        <v>91</v>
      </c>
      <c r="J91" s="34" t="s">
        <v>225</v>
      </c>
      <c r="K91" s="6">
        <v>7479.78</v>
      </c>
      <c r="L91" s="49">
        <f t="shared" si="1"/>
        <v>0</v>
      </c>
    </row>
    <row r="92" spans="1:12">
      <c r="A92">
        <v>91</v>
      </c>
      <c r="B92" s="34" t="s">
        <v>80</v>
      </c>
      <c r="C92" s="33" t="s">
        <v>80</v>
      </c>
      <c r="D92" s="6">
        <v>3739.89</v>
      </c>
      <c r="F92" s="47">
        <v>27</v>
      </c>
      <c r="G92" s="48" t="s">
        <v>83</v>
      </c>
      <c r="H92" s="6">
        <v>3399.9</v>
      </c>
      <c r="I92" s="15">
        <v>92</v>
      </c>
      <c r="J92" s="34" t="s">
        <v>83</v>
      </c>
      <c r="K92" s="6">
        <v>3399.9</v>
      </c>
      <c r="L92" s="49">
        <f t="shared" si="1"/>
        <v>0</v>
      </c>
    </row>
    <row r="93" spans="1:12">
      <c r="A93">
        <v>92</v>
      </c>
      <c r="B93" s="34" t="s">
        <v>81</v>
      </c>
      <c r="C93" s="33" t="s">
        <v>426</v>
      </c>
      <c r="D93" s="6">
        <v>7479.78</v>
      </c>
      <c r="F93" s="47"/>
      <c r="G93" s="48"/>
      <c r="H93" s="6"/>
      <c r="I93" s="15">
        <v>93</v>
      </c>
      <c r="J93" s="34" t="s">
        <v>84</v>
      </c>
      <c r="K93" s="6">
        <v>0</v>
      </c>
      <c r="L93" s="49">
        <f t="shared" si="1"/>
        <v>0</v>
      </c>
    </row>
    <row r="94" spans="1:12">
      <c r="A94">
        <v>93</v>
      </c>
      <c r="B94" s="34" t="s">
        <v>82</v>
      </c>
      <c r="C94" s="33" t="s">
        <v>82</v>
      </c>
      <c r="D94" s="6">
        <v>3399.9</v>
      </c>
      <c r="F94" s="47">
        <v>30</v>
      </c>
      <c r="G94" s="48" t="s">
        <v>300</v>
      </c>
      <c r="H94" s="6">
        <v>7479.78</v>
      </c>
      <c r="I94" s="15">
        <v>94</v>
      </c>
      <c r="J94" s="34" t="s">
        <v>382</v>
      </c>
      <c r="K94" s="6">
        <v>7479.78</v>
      </c>
      <c r="L94" s="49">
        <f t="shared" si="1"/>
        <v>0</v>
      </c>
    </row>
    <row r="95" spans="1:12">
      <c r="A95">
        <v>94</v>
      </c>
      <c r="B95" s="34" t="s">
        <v>225</v>
      </c>
      <c r="C95" s="33" t="s">
        <v>225</v>
      </c>
      <c r="D95" s="6">
        <v>7479.78</v>
      </c>
      <c r="F95" s="47">
        <v>31</v>
      </c>
      <c r="G95" s="48" t="s">
        <v>168</v>
      </c>
      <c r="H95" s="6">
        <v>6799.8</v>
      </c>
      <c r="I95" s="15">
        <v>95</v>
      </c>
      <c r="J95" s="34" t="s">
        <v>168</v>
      </c>
      <c r="K95" s="6">
        <v>6799.8</v>
      </c>
      <c r="L95" s="49">
        <f t="shared" si="1"/>
        <v>0</v>
      </c>
    </row>
    <row r="96" spans="1:12">
      <c r="A96">
        <v>95</v>
      </c>
      <c r="B96" s="34" t="s">
        <v>83</v>
      </c>
      <c r="C96" s="33" t="s">
        <v>83</v>
      </c>
      <c r="D96" s="6">
        <v>3399.9</v>
      </c>
      <c r="F96" s="47">
        <v>33</v>
      </c>
      <c r="G96" s="48" t="s">
        <v>259</v>
      </c>
      <c r="H96" s="6">
        <v>7479.78</v>
      </c>
      <c r="I96" s="15">
        <v>96</v>
      </c>
      <c r="J96" s="34" t="s">
        <v>259</v>
      </c>
      <c r="K96" s="6">
        <v>7479.78</v>
      </c>
      <c r="L96" s="49">
        <f t="shared" si="1"/>
        <v>0</v>
      </c>
    </row>
    <row r="97" spans="1:12">
      <c r="A97">
        <v>96</v>
      </c>
      <c r="B97" s="34" t="s">
        <v>84</v>
      </c>
      <c r="C97" s="33" t="s">
        <v>84</v>
      </c>
      <c r="D97" s="6">
        <v>3399.9</v>
      </c>
      <c r="F97" s="47">
        <v>34</v>
      </c>
      <c r="G97" s="48" t="s">
        <v>86</v>
      </c>
      <c r="H97" s="6">
        <v>3399.9</v>
      </c>
      <c r="I97" s="15">
        <v>97</v>
      </c>
      <c r="J97" s="34" t="s">
        <v>86</v>
      </c>
      <c r="K97" s="6">
        <v>3399.9</v>
      </c>
      <c r="L97" s="49">
        <f t="shared" si="1"/>
        <v>0</v>
      </c>
    </row>
    <row r="98" spans="1:12">
      <c r="A98">
        <v>97</v>
      </c>
      <c r="B98" s="34" t="s">
        <v>382</v>
      </c>
      <c r="C98" s="33" t="s">
        <v>300</v>
      </c>
      <c r="D98" s="6">
        <v>7479.78</v>
      </c>
      <c r="F98" s="47">
        <v>35</v>
      </c>
      <c r="G98" s="48" t="s">
        <v>87</v>
      </c>
      <c r="H98" s="6">
        <v>7479.78</v>
      </c>
      <c r="I98" s="15">
        <v>98</v>
      </c>
      <c r="J98" s="34" t="s">
        <v>87</v>
      </c>
      <c r="K98" s="6">
        <v>7479.78</v>
      </c>
      <c r="L98" s="49">
        <f t="shared" si="1"/>
        <v>0</v>
      </c>
    </row>
    <row r="99" spans="1:12">
      <c r="A99">
        <v>98</v>
      </c>
      <c r="B99" s="34" t="s">
        <v>168</v>
      </c>
      <c r="C99" s="33" t="s">
        <v>168</v>
      </c>
      <c r="D99" s="6">
        <v>3399.9</v>
      </c>
      <c r="F99" s="47">
        <v>36</v>
      </c>
      <c r="G99" s="48" t="s">
        <v>387</v>
      </c>
      <c r="H99" s="6">
        <v>3399.9</v>
      </c>
      <c r="I99" s="15">
        <v>99</v>
      </c>
      <c r="J99" s="35" t="s">
        <v>387</v>
      </c>
      <c r="K99" s="6">
        <v>3399.9</v>
      </c>
      <c r="L99" s="49">
        <f t="shared" si="1"/>
        <v>0</v>
      </c>
    </row>
    <row r="100" spans="1:12">
      <c r="A100">
        <v>99</v>
      </c>
      <c r="B100" s="34" t="s">
        <v>259</v>
      </c>
      <c r="C100" s="33" t="s">
        <v>259</v>
      </c>
      <c r="D100" s="6">
        <v>7479.78</v>
      </c>
      <c r="F100" s="47">
        <v>23</v>
      </c>
      <c r="G100" s="48" t="s">
        <v>472</v>
      </c>
      <c r="H100" s="6">
        <v>11879.78</v>
      </c>
      <c r="I100" s="15">
        <v>100</v>
      </c>
      <c r="J100" s="35" t="s">
        <v>451</v>
      </c>
      <c r="K100" s="6">
        <v>11879.78</v>
      </c>
      <c r="L100" s="49">
        <f t="shared" si="1"/>
        <v>0</v>
      </c>
    </row>
    <row r="101" spans="1:12">
      <c r="A101">
        <v>100</v>
      </c>
      <c r="B101" s="34" t="s">
        <v>86</v>
      </c>
      <c r="C101" s="33" t="s">
        <v>86</v>
      </c>
      <c r="D101" s="6">
        <v>3399.9</v>
      </c>
      <c r="F101" s="47">
        <v>48</v>
      </c>
      <c r="G101" s="48" t="s">
        <v>473</v>
      </c>
      <c r="H101" s="6">
        <v>3399.9</v>
      </c>
      <c r="I101" s="15">
        <v>101</v>
      </c>
      <c r="J101" s="35" t="s">
        <v>452</v>
      </c>
      <c r="K101" s="6">
        <v>3399.9</v>
      </c>
      <c r="L101" s="49">
        <f t="shared" si="1"/>
        <v>0</v>
      </c>
    </row>
    <row r="102" spans="1:12">
      <c r="A102">
        <v>101</v>
      </c>
      <c r="B102" s="34" t="s">
        <v>87</v>
      </c>
      <c r="C102" s="33" t="s">
        <v>87</v>
      </c>
      <c r="D102" s="6">
        <v>7479.78</v>
      </c>
      <c r="F102" s="47">
        <v>38</v>
      </c>
      <c r="G102" s="48" t="s">
        <v>169</v>
      </c>
      <c r="H102" s="6">
        <v>3399.9</v>
      </c>
      <c r="I102" s="15">
        <v>102</v>
      </c>
      <c r="J102" s="34" t="s">
        <v>169</v>
      </c>
      <c r="K102" s="6">
        <v>3399.9</v>
      </c>
      <c r="L102" s="49">
        <f t="shared" si="1"/>
        <v>0</v>
      </c>
    </row>
    <row r="103" spans="1:12">
      <c r="A103">
        <v>102</v>
      </c>
      <c r="B103" s="35" t="s">
        <v>387</v>
      </c>
      <c r="C103" s="33" t="s">
        <v>387</v>
      </c>
      <c r="D103" s="6">
        <v>3399.9</v>
      </c>
      <c r="F103" s="47">
        <v>42</v>
      </c>
      <c r="G103" s="48" t="s">
        <v>171</v>
      </c>
      <c r="H103" s="6">
        <v>3399.9</v>
      </c>
      <c r="I103" s="15">
        <v>103</v>
      </c>
      <c r="J103" s="34" t="s">
        <v>171</v>
      </c>
      <c r="K103" s="6">
        <v>3399.9</v>
      </c>
      <c r="L103" s="49">
        <f t="shared" si="1"/>
        <v>0</v>
      </c>
    </row>
    <row r="104" spans="1:12">
      <c r="A104">
        <v>103</v>
      </c>
      <c r="B104" s="34" t="s">
        <v>169</v>
      </c>
      <c r="C104" s="33" t="s">
        <v>169</v>
      </c>
      <c r="D104" s="6">
        <v>3399.9</v>
      </c>
      <c r="F104" s="47">
        <v>39</v>
      </c>
      <c r="G104" s="48" t="s">
        <v>499</v>
      </c>
      <c r="H104" s="6">
        <v>7479.78</v>
      </c>
      <c r="I104" s="15">
        <v>104</v>
      </c>
      <c r="J104" s="34" t="s">
        <v>494</v>
      </c>
      <c r="K104" s="6">
        <v>7479.78</v>
      </c>
      <c r="L104" s="49">
        <f t="shared" si="1"/>
        <v>0</v>
      </c>
    </row>
    <row r="105" spans="1:12">
      <c r="A105">
        <v>104</v>
      </c>
      <c r="B105" s="34" t="s">
        <v>171</v>
      </c>
      <c r="C105" s="33" t="s">
        <v>171</v>
      </c>
      <c r="D105" s="6">
        <v>3399.9</v>
      </c>
      <c r="F105" s="47">
        <v>16</v>
      </c>
      <c r="G105" s="48" t="s">
        <v>226</v>
      </c>
      <c r="H105" s="6">
        <v>10199.9</v>
      </c>
      <c r="I105" s="15">
        <v>105</v>
      </c>
      <c r="J105" s="34" t="s">
        <v>226</v>
      </c>
      <c r="K105" s="6">
        <v>10199.9</v>
      </c>
      <c r="L105" s="49">
        <f t="shared" si="1"/>
        <v>0</v>
      </c>
    </row>
    <row r="106" spans="1:12">
      <c r="A106">
        <v>105</v>
      </c>
      <c r="B106" s="34" t="s">
        <v>226</v>
      </c>
      <c r="C106" s="33" t="s">
        <v>226</v>
      </c>
      <c r="D106" s="6">
        <v>10199.9</v>
      </c>
      <c r="F106" s="47">
        <v>11</v>
      </c>
      <c r="G106" s="48" t="s">
        <v>474</v>
      </c>
      <c r="H106" s="6">
        <v>7479.78</v>
      </c>
      <c r="I106" s="15">
        <v>106</v>
      </c>
      <c r="J106" s="34" t="s">
        <v>453</v>
      </c>
      <c r="K106" s="6">
        <v>7479.78</v>
      </c>
      <c r="L106" s="49">
        <f t="shared" si="1"/>
        <v>0</v>
      </c>
    </row>
    <row r="107" spans="1:12">
      <c r="A107">
        <v>106</v>
      </c>
      <c r="B107" s="34" t="s">
        <v>227</v>
      </c>
      <c r="C107" s="33" t="s">
        <v>227</v>
      </c>
      <c r="D107" s="6">
        <v>7479.89</v>
      </c>
      <c r="F107" s="47">
        <v>17</v>
      </c>
      <c r="G107" s="48" t="s">
        <v>227</v>
      </c>
      <c r="H107" s="6">
        <v>7479.89</v>
      </c>
      <c r="I107" s="15">
        <v>107</v>
      </c>
      <c r="J107" s="34" t="s">
        <v>227</v>
      </c>
      <c r="K107" s="6">
        <v>7479.89</v>
      </c>
      <c r="L107" s="49">
        <f t="shared" si="1"/>
        <v>0</v>
      </c>
    </row>
    <row r="108" spans="1:12">
      <c r="A108">
        <v>107</v>
      </c>
      <c r="B108" s="34" t="s">
        <v>228</v>
      </c>
      <c r="C108" s="33" t="s">
        <v>228</v>
      </c>
      <c r="D108" s="6">
        <v>7479.78</v>
      </c>
      <c r="F108" s="47">
        <v>18</v>
      </c>
      <c r="G108" s="48" t="s">
        <v>228</v>
      </c>
      <c r="H108" s="6">
        <v>7479.78</v>
      </c>
      <c r="I108" s="15">
        <v>108</v>
      </c>
      <c r="J108" s="34" t="s">
        <v>228</v>
      </c>
      <c r="K108" s="6">
        <v>7479.78</v>
      </c>
      <c r="L108" s="49">
        <f t="shared" si="1"/>
        <v>0</v>
      </c>
    </row>
    <row r="109" spans="1:12">
      <c r="A109">
        <v>108</v>
      </c>
      <c r="B109" s="34" t="s">
        <v>229</v>
      </c>
      <c r="C109" s="33" t="s">
        <v>229</v>
      </c>
      <c r="D109" s="6">
        <v>7479.89</v>
      </c>
      <c r="F109" s="47">
        <v>19</v>
      </c>
      <c r="G109" s="48" t="s">
        <v>229</v>
      </c>
      <c r="H109" s="6">
        <v>7479.89</v>
      </c>
      <c r="I109" s="15">
        <v>109</v>
      </c>
      <c r="J109" s="34" t="s">
        <v>229</v>
      </c>
      <c r="K109" s="6">
        <v>7479.89</v>
      </c>
      <c r="L109" s="49">
        <f t="shared" si="1"/>
        <v>0</v>
      </c>
    </row>
    <row r="110" spans="1:12">
      <c r="A110">
        <v>109</v>
      </c>
      <c r="B110" s="34" t="s">
        <v>103</v>
      </c>
      <c r="C110" s="33" t="s">
        <v>103</v>
      </c>
      <c r="D110" s="6">
        <v>3399.9</v>
      </c>
      <c r="F110" s="47">
        <v>25</v>
      </c>
      <c r="G110" s="48" t="s">
        <v>103</v>
      </c>
      <c r="H110" s="6">
        <v>3399.9</v>
      </c>
      <c r="I110" s="15">
        <v>110</v>
      </c>
      <c r="J110" s="34" t="s">
        <v>103</v>
      </c>
      <c r="K110" s="6">
        <v>3399.9</v>
      </c>
      <c r="L110" s="49">
        <f t="shared" si="1"/>
        <v>0</v>
      </c>
    </row>
    <row r="111" spans="1:12">
      <c r="A111">
        <v>110</v>
      </c>
      <c r="B111" s="34" t="s">
        <v>230</v>
      </c>
      <c r="C111" s="33" t="s">
        <v>230</v>
      </c>
      <c r="D111" s="6">
        <v>3399.9</v>
      </c>
      <c r="E111" t="s">
        <v>433</v>
      </c>
      <c r="F111" s="47">
        <v>3</v>
      </c>
      <c r="G111" s="48" t="s">
        <v>230</v>
      </c>
      <c r="H111" s="6">
        <v>3399.9</v>
      </c>
      <c r="I111" s="15">
        <v>111</v>
      </c>
      <c r="J111" s="34" t="s">
        <v>230</v>
      </c>
      <c r="K111" s="6">
        <v>3399.9</v>
      </c>
      <c r="L111" s="49">
        <f t="shared" si="1"/>
        <v>0</v>
      </c>
    </row>
    <row r="112" spans="1:12">
      <c r="A112">
        <v>111</v>
      </c>
      <c r="B112" s="34" t="s">
        <v>231</v>
      </c>
      <c r="C112" s="33" t="s">
        <v>231</v>
      </c>
      <c r="D112" s="6">
        <v>7479.89</v>
      </c>
      <c r="E112" t="s">
        <v>433</v>
      </c>
      <c r="F112" s="47">
        <v>4</v>
      </c>
      <c r="G112" s="48" t="s">
        <v>231</v>
      </c>
      <c r="H112" s="6">
        <v>7479.89</v>
      </c>
      <c r="I112" s="15">
        <v>112</v>
      </c>
      <c r="J112" s="34" t="s">
        <v>231</v>
      </c>
      <c r="K112" s="6">
        <v>7479.89</v>
      </c>
      <c r="L112" s="49">
        <f t="shared" si="1"/>
        <v>0</v>
      </c>
    </row>
    <row r="113" spans="1:12">
      <c r="A113">
        <v>112</v>
      </c>
      <c r="B113" s="34" t="s">
        <v>111</v>
      </c>
      <c r="C113" s="33" t="s">
        <v>111</v>
      </c>
      <c r="D113" s="6">
        <v>3399.9</v>
      </c>
      <c r="E113" t="s">
        <v>433</v>
      </c>
      <c r="F113" s="47">
        <v>12</v>
      </c>
      <c r="G113" s="48" t="s">
        <v>427</v>
      </c>
      <c r="H113" s="6">
        <v>3399.9</v>
      </c>
      <c r="I113" s="15">
        <v>113</v>
      </c>
      <c r="J113" s="34" t="s">
        <v>111</v>
      </c>
      <c r="K113" s="6">
        <v>3399.9</v>
      </c>
      <c r="L113" s="49">
        <f t="shared" si="1"/>
        <v>0</v>
      </c>
    </row>
    <row r="114" spans="1:12">
      <c r="A114">
        <v>115</v>
      </c>
      <c r="B114" s="34" t="s">
        <v>113</v>
      </c>
      <c r="C114" s="33" t="s">
        <v>113</v>
      </c>
      <c r="D114" s="6">
        <v>3399.9</v>
      </c>
      <c r="E114" t="s">
        <v>433</v>
      </c>
      <c r="F114" s="47">
        <v>14</v>
      </c>
      <c r="G114" s="48" t="s">
        <v>111</v>
      </c>
      <c r="H114" s="6">
        <v>3399.9</v>
      </c>
      <c r="I114" s="15">
        <v>114</v>
      </c>
      <c r="J114" s="34" t="s">
        <v>113</v>
      </c>
      <c r="K114" s="6">
        <v>3399.9</v>
      </c>
      <c r="L114" s="49">
        <f t="shared" si="1"/>
        <v>0</v>
      </c>
    </row>
    <row r="115" spans="1:12">
      <c r="A115">
        <v>116</v>
      </c>
      <c r="B115" s="35" t="s">
        <v>388</v>
      </c>
      <c r="C115" s="33" t="s">
        <v>388</v>
      </c>
      <c r="D115" s="6">
        <v>3399.9</v>
      </c>
      <c r="F115" s="47">
        <v>21</v>
      </c>
      <c r="G115" s="48" t="s">
        <v>428</v>
      </c>
      <c r="H115" s="6">
        <v>3399.9</v>
      </c>
      <c r="I115" s="15">
        <v>115</v>
      </c>
      <c r="J115" s="35" t="s">
        <v>388</v>
      </c>
      <c r="K115" s="6">
        <v>3399.9</v>
      </c>
      <c r="L115" s="49">
        <f t="shared" si="1"/>
        <v>0</v>
      </c>
    </row>
    <row r="116" spans="1:12">
      <c r="A116">
        <v>117</v>
      </c>
      <c r="B116" s="34" t="s">
        <v>120</v>
      </c>
      <c r="C116" s="33" t="s">
        <v>120</v>
      </c>
      <c r="D116" s="6">
        <v>3399.9</v>
      </c>
      <c r="E116" t="s">
        <v>433</v>
      </c>
      <c r="F116" s="47">
        <v>22</v>
      </c>
      <c r="G116" s="48" t="s">
        <v>429</v>
      </c>
      <c r="H116" s="6">
        <v>3399.9</v>
      </c>
      <c r="I116" s="15">
        <v>116</v>
      </c>
      <c r="J116" s="34" t="s">
        <v>120</v>
      </c>
      <c r="K116" s="6">
        <v>3399.9</v>
      </c>
      <c r="L116" s="49">
        <f t="shared" si="1"/>
        <v>0</v>
      </c>
    </row>
    <row r="117" spans="1:12">
      <c r="A117">
        <v>118</v>
      </c>
      <c r="B117" s="34" t="s">
        <v>233</v>
      </c>
      <c r="C117" s="33" t="s">
        <v>233</v>
      </c>
      <c r="D117" s="6">
        <v>3399.9</v>
      </c>
      <c r="E117" t="s">
        <v>433</v>
      </c>
      <c r="F117" s="47">
        <v>28</v>
      </c>
      <c r="G117" s="48" t="s">
        <v>113</v>
      </c>
      <c r="H117" s="6">
        <v>3399.9</v>
      </c>
      <c r="I117" s="15">
        <v>117</v>
      </c>
      <c r="J117" s="34" t="s">
        <v>233</v>
      </c>
      <c r="K117" s="6">
        <v>3399.9</v>
      </c>
      <c r="L117" s="49">
        <f t="shared" si="1"/>
        <v>0</v>
      </c>
    </row>
    <row r="118" spans="1:12">
      <c r="A118">
        <v>119</v>
      </c>
      <c r="B118" s="34" t="s">
        <v>121</v>
      </c>
      <c r="C118" s="33" t="s">
        <v>121</v>
      </c>
      <c r="D118" s="6">
        <v>3399.9</v>
      </c>
      <c r="F118" s="47">
        <v>29</v>
      </c>
      <c r="G118" s="48" t="s">
        <v>475</v>
      </c>
      <c r="H118" s="6">
        <v>3399.9</v>
      </c>
      <c r="I118" s="15">
        <v>118</v>
      </c>
      <c r="J118" s="34" t="s">
        <v>121</v>
      </c>
      <c r="K118" s="6">
        <v>3399.9</v>
      </c>
      <c r="L118" s="49">
        <f t="shared" si="1"/>
        <v>0</v>
      </c>
    </row>
    <row r="119" spans="1:12">
      <c r="A119">
        <v>120</v>
      </c>
      <c r="B119" s="34" t="s">
        <v>413</v>
      </c>
      <c r="C119" s="42" t="s">
        <v>434</v>
      </c>
      <c r="D119" s="5">
        <v>3399.9</v>
      </c>
      <c r="F119" s="47">
        <v>39</v>
      </c>
      <c r="G119" s="48" t="s">
        <v>388</v>
      </c>
      <c r="H119" s="6">
        <v>3399.9</v>
      </c>
      <c r="I119" s="15">
        <v>119</v>
      </c>
      <c r="J119" s="34" t="s">
        <v>413</v>
      </c>
      <c r="K119" s="6">
        <v>3399.9</v>
      </c>
      <c r="L119" s="49">
        <f t="shared" si="1"/>
        <v>0</v>
      </c>
    </row>
    <row r="120" spans="1:12">
      <c r="A120">
        <v>121</v>
      </c>
      <c r="B120" s="34" t="s">
        <v>414</v>
      </c>
      <c r="C120" s="33" t="s">
        <v>427</v>
      </c>
      <c r="D120" s="6">
        <v>3399.9</v>
      </c>
      <c r="F120" s="47">
        <v>40</v>
      </c>
      <c r="G120" s="48" t="s">
        <v>120</v>
      </c>
      <c r="H120" s="6">
        <v>3399.9</v>
      </c>
      <c r="I120" s="15">
        <v>120</v>
      </c>
      <c r="J120" s="34" t="s">
        <v>414</v>
      </c>
      <c r="K120" s="6">
        <v>3399.9</v>
      </c>
      <c r="L120" s="49">
        <f t="shared" si="1"/>
        <v>0</v>
      </c>
    </row>
    <row r="121" spans="1:12">
      <c r="A121">
        <v>122</v>
      </c>
      <c r="B121" s="34" t="s">
        <v>415</v>
      </c>
      <c r="C121" s="33" t="s">
        <v>428</v>
      </c>
      <c r="D121" s="6">
        <v>3399.9</v>
      </c>
      <c r="F121" s="47">
        <v>41</v>
      </c>
      <c r="G121" s="48" t="s">
        <v>233</v>
      </c>
      <c r="H121" s="6">
        <v>3399.9</v>
      </c>
      <c r="I121" s="15">
        <v>121</v>
      </c>
      <c r="J121" s="34" t="s">
        <v>415</v>
      </c>
      <c r="K121" s="6">
        <v>3399.9</v>
      </c>
      <c r="L121" s="49">
        <f t="shared" si="1"/>
        <v>0</v>
      </c>
    </row>
    <row r="122" spans="1:12">
      <c r="A122">
        <v>123</v>
      </c>
      <c r="B122" s="34" t="s">
        <v>416</v>
      </c>
      <c r="C122" s="33" t="s">
        <v>429</v>
      </c>
      <c r="D122" s="6">
        <v>3399.9</v>
      </c>
      <c r="F122" s="47">
        <v>43</v>
      </c>
      <c r="G122" s="48" t="s">
        <v>121</v>
      </c>
      <c r="H122" s="6">
        <v>3399.9</v>
      </c>
      <c r="I122" s="15">
        <v>122</v>
      </c>
      <c r="J122" s="34" t="s">
        <v>416</v>
      </c>
      <c r="K122" s="6">
        <v>3399.9</v>
      </c>
      <c r="L122" s="49">
        <f t="shared" si="1"/>
        <v>0</v>
      </c>
    </row>
    <row r="123" spans="1:12">
      <c r="A123">
        <v>124</v>
      </c>
      <c r="B123" s="34" t="s">
        <v>400</v>
      </c>
      <c r="C123" s="33" t="s">
        <v>403</v>
      </c>
      <c r="D123" s="6">
        <v>7479.78</v>
      </c>
      <c r="F123" s="47">
        <v>1</v>
      </c>
      <c r="G123" s="48" t="s">
        <v>476</v>
      </c>
      <c r="H123" s="6">
        <v>7479.78</v>
      </c>
      <c r="I123" s="15">
        <v>123</v>
      </c>
      <c r="J123" s="34" t="s">
        <v>492</v>
      </c>
      <c r="K123" s="6">
        <v>7479.78</v>
      </c>
      <c r="L123" s="49">
        <f t="shared" si="1"/>
        <v>0</v>
      </c>
    </row>
    <row r="124" spans="1:12">
      <c r="A124">
        <v>125</v>
      </c>
      <c r="B124" s="34" t="s">
        <v>124</v>
      </c>
      <c r="C124" s="33" t="s">
        <v>124</v>
      </c>
      <c r="D124" s="6">
        <v>1699.95</v>
      </c>
      <c r="F124" s="47">
        <v>2</v>
      </c>
      <c r="G124" s="48" t="s">
        <v>477</v>
      </c>
      <c r="H124" s="6">
        <v>7479.78</v>
      </c>
      <c r="I124" s="15">
        <v>124</v>
      </c>
      <c r="J124" s="34" t="s">
        <v>400</v>
      </c>
      <c r="K124" s="6">
        <v>7479.78</v>
      </c>
      <c r="L124" s="49">
        <f t="shared" si="1"/>
        <v>0</v>
      </c>
    </row>
    <row r="125" spans="1:12">
      <c r="A125">
        <v>126</v>
      </c>
      <c r="B125" s="34" t="s">
        <v>125</v>
      </c>
      <c r="C125" s="33" t="s">
        <v>125</v>
      </c>
      <c r="D125" s="6">
        <v>3399.9</v>
      </c>
      <c r="F125" s="47">
        <v>17</v>
      </c>
      <c r="G125" s="48" t="s">
        <v>125</v>
      </c>
      <c r="H125" s="6">
        <v>3399.9</v>
      </c>
      <c r="I125" s="15">
        <v>125</v>
      </c>
      <c r="J125" s="34" t="s">
        <v>125</v>
      </c>
      <c r="K125" s="6">
        <v>3399.9</v>
      </c>
      <c r="L125" s="49">
        <f t="shared" si="1"/>
        <v>0</v>
      </c>
    </row>
    <row r="126" spans="1:12">
      <c r="A126">
        <v>127</v>
      </c>
      <c r="B126" s="34" t="s">
        <v>234</v>
      </c>
      <c r="C126" s="33" t="s">
        <v>234</v>
      </c>
      <c r="D126" s="6">
        <v>3399.95</v>
      </c>
      <c r="F126" s="47">
        <v>18</v>
      </c>
      <c r="G126" s="48" t="s">
        <v>404</v>
      </c>
      <c r="H126" s="6">
        <v>3399.9</v>
      </c>
      <c r="I126" s="15">
        <v>126</v>
      </c>
      <c r="J126" s="34" t="s">
        <v>399</v>
      </c>
      <c r="K126" s="6">
        <v>3399.9</v>
      </c>
      <c r="L126" s="49">
        <f t="shared" si="1"/>
        <v>0</v>
      </c>
    </row>
    <row r="127" spans="1:12">
      <c r="A127">
        <v>128</v>
      </c>
      <c r="B127" s="34" t="s">
        <v>399</v>
      </c>
      <c r="C127" s="33" t="s">
        <v>404</v>
      </c>
      <c r="D127" s="6">
        <v>3399.9</v>
      </c>
      <c r="F127" s="47">
        <v>26</v>
      </c>
      <c r="G127" s="48" t="s">
        <v>236</v>
      </c>
      <c r="H127" s="6">
        <v>3399.95</v>
      </c>
      <c r="I127" s="15">
        <v>127</v>
      </c>
      <c r="J127" s="34" t="s">
        <v>236</v>
      </c>
      <c r="K127" s="6">
        <v>3399.95</v>
      </c>
      <c r="L127" s="49">
        <f t="shared" si="1"/>
        <v>0</v>
      </c>
    </row>
    <row r="128" spans="1:12" ht="27">
      <c r="A128">
        <v>129</v>
      </c>
      <c r="B128" s="34" t="s">
        <v>235</v>
      </c>
      <c r="C128" s="33" t="s">
        <v>235</v>
      </c>
      <c r="D128" s="6">
        <v>1699.95</v>
      </c>
      <c r="F128" s="47">
        <v>29</v>
      </c>
      <c r="G128" s="48" t="s">
        <v>172</v>
      </c>
      <c r="H128" s="6">
        <v>3399.9</v>
      </c>
      <c r="I128" s="15">
        <v>128</v>
      </c>
      <c r="J128" s="34" t="s">
        <v>172</v>
      </c>
      <c r="K128" s="6">
        <v>3399.9</v>
      </c>
      <c r="L128" s="49">
        <f t="shared" si="1"/>
        <v>0</v>
      </c>
    </row>
    <row r="129" spans="1:12">
      <c r="A129">
        <v>130</v>
      </c>
      <c r="B129" s="34" t="s">
        <v>127</v>
      </c>
      <c r="C129" s="33" t="s">
        <v>127</v>
      </c>
      <c r="D129" s="6">
        <v>1699.95</v>
      </c>
      <c r="F129" s="47">
        <v>34</v>
      </c>
      <c r="G129" s="48" t="s">
        <v>131</v>
      </c>
      <c r="H129" s="6">
        <v>3399.9</v>
      </c>
      <c r="I129" s="15">
        <v>129</v>
      </c>
      <c r="J129" s="34" t="s">
        <v>131</v>
      </c>
      <c r="K129" s="6">
        <v>3399.9</v>
      </c>
      <c r="L129" s="49">
        <f t="shared" si="1"/>
        <v>0</v>
      </c>
    </row>
    <row r="130" spans="1:12">
      <c r="A130">
        <v>131</v>
      </c>
      <c r="B130" s="34" t="s">
        <v>236</v>
      </c>
      <c r="C130" s="33" t="s">
        <v>236</v>
      </c>
      <c r="D130" s="6">
        <v>3399.95</v>
      </c>
      <c r="F130" s="47">
        <v>50</v>
      </c>
      <c r="G130" s="48" t="s">
        <v>135</v>
      </c>
      <c r="H130" s="6">
        <v>3399.9</v>
      </c>
      <c r="I130" s="15">
        <v>130</v>
      </c>
      <c r="J130" s="34" t="s">
        <v>135</v>
      </c>
      <c r="K130" s="6">
        <v>3399.9</v>
      </c>
      <c r="L130" s="49">
        <f t="shared" si="1"/>
        <v>0</v>
      </c>
    </row>
    <row r="131" spans="1:12">
      <c r="A131">
        <v>132</v>
      </c>
      <c r="B131" s="34" t="s">
        <v>129</v>
      </c>
      <c r="C131" s="33" t="s">
        <v>129</v>
      </c>
      <c r="D131" s="6">
        <v>1699.95</v>
      </c>
      <c r="F131" s="47">
        <v>54</v>
      </c>
      <c r="G131" s="48" t="s">
        <v>138</v>
      </c>
      <c r="H131" s="6">
        <v>3399.9</v>
      </c>
      <c r="I131" s="15">
        <v>131</v>
      </c>
      <c r="J131" s="34" t="s">
        <v>138</v>
      </c>
      <c r="K131" s="6">
        <v>3399.9</v>
      </c>
      <c r="L131" s="49">
        <f t="shared" ref="L131:L190" si="2">K131-H131</f>
        <v>0</v>
      </c>
    </row>
    <row r="132" spans="1:12">
      <c r="A132">
        <v>133</v>
      </c>
      <c r="B132" s="34" t="s">
        <v>172</v>
      </c>
      <c r="C132" s="33" t="s">
        <v>172</v>
      </c>
      <c r="D132" s="6">
        <v>3399.9</v>
      </c>
      <c r="F132" s="47">
        <v>56</v>
      </c>
      <c r="G132" s="48" t="s">
        <v>237</v>
      </c>
      <c r="H132" s="6">
        <v>3399.95</v>
      </c>
      <c r="I132" s="15">
        <v>132</v>
      </c>
      <c r="J132" s="34" t="s">
        <v>237</v>
      </c>
      <c r="K132" s="6">
        <v>3399.95</v>
      </c>
      <c r="L132" s="49">
        <f t="shared" si="2"/>
        <v>0</v>
      </c>
    </row>
    <row r="133" spans="1:12">
      <c r="A133">
        <v>134</v>
      </c>
      <c r="B133" s="34" t="s">
        <v>130</v>
      </c>
      <c r="C133" s="33" t="s">
        <v>130</v>
      </c>
      <c r="D133" s="6">
        <v>1699.95</v>
      </c>
      <c r="F133" s="47">
        <v>5</v>
      </c>
      <c r="G133" s="48" t="s">
        <v>479</v>
      </c>
      <c r="H133" s="6">
        <v>7479.78</v>
      </c>
      <c r="I133" s="15">
        <v>133</v>
      </c>
      <c r="J133" s="34" t="s">
        <v>435</v>
      </c>
      <c r="K133" s="6">
        <v>7479.78</v>
      </c>
      <c r="L133" s="49">
        <f t="shared" si="2"/>
        <v>0</v>
      </c>
    </row>
    <row r="134" spans="1:12">
      <c r="A134">
        <v>135</v>
      </c>
      <c r="B134" s="34" t="s">
        <v>131</v>
      </c>
      <c r="C134" s="33" t="s">
        <v>131</v>
      </c>
      <c r="D134" s="6">
        <v>3399.9</v>
      </c>
      <c r="F134" s="47">
        <v>15</v>
      </c>
      <c r="G134" s="48" t="s">
        <v>482</v>
      </c>
      <c r="H134" s="6">
        <v>3399.9</v>
      </c>
      <c r="I134" s="15">
        <v>134</v>
      </c>
      <c r="J134" s="34" t="s">
        <v>436</v>
      </c>
      <c r="K134" s="6">
        <v>3399.9</v>
      </c>
      <c r="L134" s="49">
        <f t="shared" si="2"/>
        <v>0</v>
      </c>
    </row>
    <row r="135" spans="1:12">
      <c r="A135">
        <v>136</v>
      </c>
      <c r="B135" s="34" t="s">
        <v>132</v>
      </c>
      <c r="C135" s="33" t="s">
        <v>132</v>
      </c>
      <c r="D135" s="6">
        <v>1699.95</v>
      </c>
      <c r="F135" s="47">
        <v>46</v>
      </c>
      <c r="G135" s="48" t="s">
        <v>486</v>
      </c>
      <c r="H135" s="6">
        <v>3399.9</v>
      </c>
      <c r="I135" s="15">
        <v>135</v>
      </c>
      <c r="J135" s="34" t="s">
        <v>437</v>
      </c>
      <c r="K135" s="6">
        <v>3399.9</v>
      </c>
      <c r="L135" s="49">
        <f t="shared" si="2"/>
        <v>0</v>
      </c>
    </row>
    <row r="136" spans="1:12">
      <c r="A136">
        <v>137</v>
      </c>
      <c r="B136" s="34" t="s">
        <v>133</v>
      </c>
      <c r="C136" s="33" t="s">
        <v>133</v>
      </c>
      <c r="D136" s="6">
        <v>1699.95</v>
      </c>
      <c r="F136" s="47">
        <v>10</v>
      </c>
      <c r="G136" s="48" t="s">
        <v>481</v>
      </c>
      <c r="H136" s="6">
        <v>7479.78</v>
      </c>
      <c r="I136" s="15">
        <v>136</v>
      </c>
      <c r="J136" s="34" t="s">
        <v>438</v>
      </c>
      <c r="K136" s="6">
        <v>7479.78</v>
      </c>
      <c r="L136" s="49">
        <f t="shared" si="2"/>
        <v>0</v>
      </c>
    </row>
    <row r="137" spans="1:12" ht="27">
      <c r="A137">
        <v>138</v>
      </c>
      <c r="B137" s="34" t="s">
        <v>401</v>
      </c>
      <c r="C137" s="33" t="s">
        <v>405</v>
      </c>
      <c r="D137" s="6">
        <v>1699.95</v>
      </c>
      <c r="F137" s="47">
        <v>9</v>
      </c>
      <c r="G137" s="48" t="s">
        <v>480</v>
      </c>
      <c r="H137" s="6">
        <v>7479.78</v>
      </c>
      <c r="I137" s="15">
        <v>137</v>
      </c>
      <c r="J137" s="34" t="s">
        <v>439</v>
      </c>
      <c r="K137" s="6">
        <v>7479.78</v>
      </c>
      <c r="L137" s="49">
        <f t="shared" si="2"/>
        <v>0</v>
      </c>
    </row>
    <row r="138" spans="1:12">
      <c r="A138">
        <v>139</v>
      </c>
      <c r="B138" s="34" t="s">
        <v>135</v>
      </c>
      <c r="C138" s="33" t="s">
        <v>135</v>
      </c>
      <c r="D138" s="6">
        <v>3399.9</v>
      </c>
      <c r="F138" s="47">
        <v>35</v>
      </c>
      <c r="G138" s="48" t="s">
        <v>483</v>
      </c>
      <c r="H138" s="6">
        <v>3399.9</v>
      </c>
      <c r="I138" s="15">
        <v>138</v>
      </c>
      <c r="J138" s="34" t="s">
        <v>440</v>
      </c>
      <c r="K138" s="6">
        <v>3399.9</v>
      </c>
      <c r="L138" s="49">
        <f t="shared" si="2"/>
        <v>0</v>
      </c>
    </row>
    <row r="139" spans="1:12" ht="27">
      <c r="A139">
        <v>140</v>
      </c>
      <c r="B139" s="34" t="s">
        <v>136</v>
      </c>
      <c r="C139" s="33" t="s">
        <v>136</v>
      </c>
      <c r="D139" s="6">
        <v>1699.95</v>
      </c>
      <c r="F139" s="47">
        <v>51</v>
      </c>
      <c r="G139" s="48" t="s">
        <v>487</v>
      </c>
      <c r="H139" s="6">
        <v>3399.9</v>
      </c>
      <c r="I139" s="15">
        <v>139</v>
      </c>
      <c r="J139" s="34" t="s">
        <v>444</v>
      </c>
      <c r="K139" s="6">
        <v>3399.9</v>
      </c>
      <c r="L139" s="49">
        <f t="shared" si="2"/>
        <v>0</v>
      </c>
    </row>
    <row r="140" spans="1:12">
      <c r="A140">
        <v>141</v>
      </c>
      <c r="B140" s="34" t="s">
        <v>137</v>
      </c>
      <c r="C140" s="33" t="s">
        <v>137</v>
      </c>
      <c r="D140" s="6">
        <v>1699.95</v>
      </c>
      <c r="F140" s="47">
        <v>39</v>
      </c>
      <c r="G140" s="48" t="s">
        <v>484</v>
      </c>
      <c r="H140" s="6">
        <v>3399.9</v>
      </c>
      <c r="I140" s="15">
        <v>140</v>
      </c>
      <c r="J140" s="34" t="s">
        <v>445</v>
      </c>
      <c r="K140" s="6">
        <v>3399.9</v>
      </c>
      <c r="L140" s="49">
        <f t="shared" si="2"/>
        <v>0</v>
      </c>
    </row>
    <row r="141" spans="1:12">
      <c r="A141">
        <v>142</v>
      </c>
      <c r="B141" s="34" t="s">
        <v>138</v>
      </c>
      <c r="C141" s="33" t="s">
        <v>138</v>
      </c>
      <c r="D141" s="6">
        <v>3399.9</v>
      </c>
      <c r="F141" s="47">
        <v>3</v>
      </c>
      <c r="G141" s="48" t="s">
        <v>478</v>
      </c>
      <c r="H141" s="6">
        <v>14629.78</v>
      </c>
      <c r="I141" s="15">
        <v>141</v>
      </c>
      <c r="J141" s="34" t="s">
        <v>454</v>
      </c>
      <c r="K141" s="6">
        <v>14629.78</v>
      </c>
      <c r="L141" s="49">
        <f t="shared" si="2"/>
        <v>0</v>
      </c>
    </row>
    <row r="142" spans="1:12">
      <c r="A142">
        <v>143</v>
      </c>
      <c r="B142" s="34" t="s">
        <v>237</v>
      </c>
      <c r="C142" s="33" t="s">
        <v>237</v>
      </c>
      <c r="D142" s="6">
        <v>3399.95</v>
      </c>
      <c r="F142" s="47">
        <v>42</v>
      </c>
      <c r="G142" s="48" t="s">
        <v>485</v>
      </c>
      <c r="H142" s="6">
        <v>3399.9</v>
      </c>
      <c r="I142" s="15">
        <v>142</v>
      </c>
      <c r="J142" s="34" t="s">
        <v>495</v>
      </c>
      <c r="K142" s="6">
        <v>3399.9</v>
      </c>
      <c r="L142" s="49">
        <f t="shared" si="2"/>
        <v>0</v>
      </c>
    </row>
    <row r="143" spans="1:12" ht="27">
      <c r="A143">
        <v>144</v>
      </c>
      <c r="B143" s="34" t="s">
        <v>260</v>
      </c>
      <c r="C143" s="33" t="s">
        <v>260</v>
      </c>
      <c r="D143" s="6">
        <v>7479.78</v>
      </c>
      <c r="F143" s="47">
        <v>62</v>
      </c>
      <c r="G143" s="48" t="s">
        <v>500</v>
      </c>
      <c r="H143" s="6">
        <v>6799.8</v>
      </c>
      <c r="I143" s="15"/>
      <c r="J143" s="34" t="s">
        <v>498</v>
      </c>
      <c r="K143" s="6">
        <v>6779.8</v>
      </c>
      <c r="L143" s="49">
        <f t="shared" si="2"/>
        <v>-20</v>
      </c>
    </row>
    <row r="144" spans="1:12">
      <c r="A144">
        <v>145</v>
      </c>
      <c r="B144" s="34" t="s">
        <v>173</v>
      </c>
      <c r="C144" s="33" t="s">
        <v>173</v>
      </c>
      <c r="D144" s="6">
        <v>3399.9</v>
      </c>
      <c r="F144" s="47">
        <v>1</v>
      </c>
      <c r="G144" s="48" t="s">
        <v>260</v>
      </c>
      <c r="H144" s="6">
        <v>7479.78</v>
      </c>
      <c r="I144" s="15">
        <v>143</v>
      </c>
      <c r="J144" s="34" t="s">
        <v>260</v>
      </c>
      <c r="K144" s="6">
        <v>7479.78</v>
      </c>
      <c r="L144" s="49">
        <f t="shared" si="2"/>
        <v>0</v>
      </c>
    </row>
    <row r="145" spans="1:12">
      <c r="A145">
        <v>146</v>
      </c>
      <c r="B145" s="34" t="s">
        <v>183</v>
      </c>
      <c r="C145" s="33" t="s">
        <v>183</v>
      </c>
      <c r="D145" s="6">
        <v>3399.9</v>
      </c>
      <c r="F145" s="47">
        <v>3</v>
      </c>
      <c r="G145" s="48" t="s">
        <v>488</v>
      </c>
      <c r="H145" s="6">
        <v>3399.9</v>
      </c>
      <c r="I145" s="15">
        <v>144</v>
      </c>
      <c r="J145" s="34" t="s">
        <v>458</v>
      </c>
      <c r="K145" s="6">
        <v>3399.9</v>
      </c>
      <c r="L145" s="49">
        <f t="shared" si="2"/>
        <v>0</v>
      </c>
    </row>
    <row r="146" spans="1:12">
      <c r="A146">
        <v>147</v>
      </c>
      <c r="B146" s="34" t="s">
        <v>164</v>
      </c>
      <c r="C146" s="33" t="s">
        <v>164</v>
      </c>
      <c r="D146" s="6">
        <v>3399.9</v>
      </c>
      <c r="F146" s="47">
        <v>4</v>
      </c>
      <c r="G146" s="48" t="s">
        <v>173</v>
      </c>
      <c r="H146" s="6">
        <v>3399.9</v>
      </c>
      <c r="I146" s="15">
        <v>145</v>
      </c>
      <c r="J146" s="34" t="s">
        <v>173</v>
      </c>
      <c r="K146" s="6">
        <v>3399.9</v>
      </c>
      <c r="L146" s="49">
        <f t="shared" si="2"/>
        <v>0</v>
      </c>
    </row>
    <row r="147" spans="1:12">
      <c r="A147">
        <v>148</v>
      </c>
      <c r="B147" s="34" t="s">
        <v>174</v>
      </c>
      <c r="C147" s="33" t="s">
        <v>174</v>
      </c>
      <c r="D147" s="6">
        <v>3399.9</v>
      </c>
      <c r="F147" s="47">
        <v>5</v>
      </c>
      <c r="G147" s="48" t="s">
        <v>183</v>
      </c>
      <c r="H147" s="6">
        <v>3399.9</v>
      </c>
      <c r="I147" s="15">
        <v>146</v>
      </c>
      <c r="J147" s="34" t="s">
        <v>183</v>
      </c>
      <c r="K147" s="6">
        <v>3399.9</v>
      </c>
      <c r="L147" s="49">
        <f t="shared" si="2"/>
        <v>0</v>
      </c>
    </row>
    <row r="148" spans="1:12">
      <c r="A148">
        <v>149</v>
      </c>
      <c r="B148" s="34" t="s">
        <v>238</v>
      </c>
      <c r="C148" s="33" t="s">
        <v>238</v>
      </c>
      <c r="D148" s="6">
        <v>3399.9</v>
      </c>
      <c r="F148" s="47">
        <v>9</v>
      </c>
      <c r="G148" s="48" t="s">
        <v>164</v>
      </c>
      <c r="H148" s="6">
        <v>3399.9</v>
      </c>
      <c r="I148" s="15">
        <v>147</v>
      </c>
      <c r="J148" s="34" t="s">
        <v>164</v>
      </c>
      <c r="K148" s="6">
        <v>3399.9</v>
      </c>
      <c r="L148" s="49">
        <f t="shared" si="2"/>
        <v>0</v>
      </c>
    </row>
    <row r="149" spans="1:12">
      <c r="A149">
        <v>150</v>
      </c>
      <c r="B149" s="34" t="s">
        <v>239</v>
      </c>
      <c r="C149" s="33" t="s">
        <v>239</v>
      </c>
      <c r="D149" s="6">
        <v>3399.9</v>
      </c>
      <c r="F149" s="47">
        <v>12</v>
      </c>
      <c r="G149" s="48" t="s">
        <v>174</v>
      </c>
      <c r="H149" s="6">
        <v>3399.9</v>
      </c>
      <c r="I149" s="15">
        <v>148</v>
      </c>
      <c r="J149" s="34" t="s">
        <v>174</v>
      </c>
      <c r="K149" s="6">
        <v>3399.9</v>
      </c>
      <c r="L149" s="49">
        <f t="shared" si="2"/>
        <v>0</v>
      </c>
    </row>
    <row r="150" spans="1:12">
      <c r="A150">
        <v>151</v>
      </c>
      <c r="B150" s="34" t="s">
        <v>175</v>
      </c>
      <c r="C150" s="33" t="s">
        <v>175</v>
      </c>
      <c r="D150" s="6">
        <v>3399.9</v>
      </c>
      <c r="F150" s="47">
        <v>15</v>
      </c>
      <c r="G150" s="48" t="s">
        <v>238</v>
      </c>
      <c r="H150" s="6">
        <v>3399.9</v>
      </c>
      <c r="I150" s="15">
        <v>149</v>
      </c>
      <c r="J150" s="34" t="s">
        <v>238</v>
      </c>
      <c r="K150" s="6">
        <v>3399.9</v>
      </c>
      <c r="L150" s="49">
        <f t="shared" si="2"/>
        <v>0</v>
      </c>
    </row>
    <row r="151" spans="1:12">
      <c r="A151">
        <v>152</v>
      </c>
      <c r="B151" s="34" t="s">
        <v>240</v>
      </c>
      <c r="C151" s="33" t="s">
        <v>240</v>
      </c>
      <c r="D151" s="6">
        <v>3399.9</v>
      </c>
      <c r="F151" s="47">
        <v>19</v>
      </c>
      <c r="G151" s="48" t="s">
        <v>239</v>
      </c>
      <c r="H151" s="6">
        <v>3399.9</v>
      </c>
      <c r="I151" s="15">
        <v>150</v>
      </c>
      <c r="J151" s="34" t="s">
        <v>459</v>
      </c>
      <c r="K151" s="6">
        <v>3399.9</v>
      </c>
      <c r="L151" s="49">
        <f t="shared" si="2"/>
        <v>0</v>
      </c>
    </row>
    <row r="152" spans="1:12">
      <c r="A152">
        <v>153</v>
      </c>
      <c r="B152" s="34" t="s">
        <v>241</v>
      </c>
      <c r="C152" s="33" t="s">
        <v>241</v>
      </c>
      <c r="D152" s="6">
        <v>3399.9</v>
      </c>
      <c r="F152" s="47">
        <v>21</v>
      </c>
      <c r="G152" s="48" t="s">
        <v>175</v>
      </c>
      <c r="H152" s="6">
        <v>3399.9</v>
      </c>
      <c r="I152" s="15">
        <v>151</v>
      </c>
      <c r="J152" s="34" t="s">
        <v>239</v>
      </c>
      <c r="K152" s="6">
        <v>3399.9</v>
      </c>
      <c r="L152" s="49">
        <f t="shared" si="2"/>
        <v>0</v>
      </c>
    </row>
    <row r="153" spans="1:12">
      <c r="A153">
        <v>154</v>
      </c>
      <c r="B153" s="34" t="s">
        <v>176</v>
      </c>
      <c r="C153" s="33" t="s">
        <v>176</v>
      </c>
      <c r="D153" s="6">
        <v>3399.9</v>
      </c>
      <c r="F153" s="47">
        <v>23</v>
      </c>
      <c r="G153" s="48" t="s">
        <v>489</v>
      </c>
      <c r="H153" s="6">
        <v>3399.9</v>
      </c>
      <c r="I153" s="15">
        <v>152</v>
      </c>
      <c r="J153" s="34" t="s">
        <v>175</v>
      </c>
      <c r="K153" s="6">
        <v>3399.9</v>
      </c>
      <c r="L153" s="49">
        <f t="shared" si="2"/>
        <v>0</v>
      </c>
    </row>
    <row r="154" spans="1:12">
      <c r="A154">
        <v>155</v>
      </c>
      <c r="B154" s="34" t="s">
        <v>177</v>
      </c>
      <c r="C154" s="33" t="s">
        <v>177</v>
      </c>
      <c r="D154" s="6">
        <v>3399.9</v>
      </c>
      <c r="F154" s="47">
        <v>28</v>
      </c>
      <c r="G154" s="48" t="s">
        <v>490</v>
      </c>
      <c r="H154" s="6">
        <v>3399.9</v>
      </c>
      <c r="I154" s="15">
        <v>153</v>
      </c>
      <c r="J154" s="34" t="s">
        <v>446</v>
      </c>
      <c r="K154" s="6">
        <v>3399.9</v>
      </c>
      <c r="L154" s="49">
        <f t="shared" si="2"/>
        <v>0</v>
      </c>
    </row>
    <row r="155" spans="1:12" ht="27">
      <c r="A155">
        <v>156</v>
      </c>
      <c r="B155" s="34" t="s">
        <v>242</v>
      </c>
      <c r="C155" s="33" t="s">
        <v>242</v>
      </c>
      <c r="D155" s="6">
        <v>3399.9</v>
      </c>
      <c r="F155" s="47">
        <v>33</v>
      </c>
      <c r="G155" s="48" t="s">
        <v>446</v>
      </c>
      <c r="H155" s="6">
        <v>3399.9</v>
      </c>
      <c r="I155" s="15">
        <v>154</v>
      </c>
      <c r="J155" s="34" t="s">
        <v>460</v>
      </c>
      <c r="K155" s="6">
        <v>3399.9</v>
      </c>
      <c r="L155" s="49">
        <f t="shared" si="2"/>
        <v>0</v>
      </c>
    </row>
    <row r="156" spans="1:12">
      <c r="A156">
        <v>157</v>
      </c>
      <c r="B156" s="34" t="s">
        <v>165</v>
      </c>
      <c r="C156" s="33" t="s">
        <v>165</v>
      </c>
      <c r="D156" s="6">
        <v>3399.9</v>
      </c>
      <c r="F156" s="47">
        <v>37</v>
      </c>
      <c r="G156" s="48" t="s">
        <v>176</v>
      </c>
      <c r="H156" s="6">
        <v>3399.9</v>
      </c>
      <c r="I156" s="15">
        <v>155</v>
      </c>
      <c r="J156" s="34" t="s">
        <v>176</v>
      </c>
      <c r="K156" s="6">
        <v>3399.9</v>
      </c>
      <c r="L156" s="49">
        <f t="shared" si="2"/>
        <v>0</v>
      </c>
    </row>
    <row r="157" spans="1:12">
      <c r="A157">
        <v>158</v>
      </c>
      <c r="B157" s="34" t="s">
        <v>166</v>
      </c>
      <c r="C157" s="33" t="s">
        <v>166</v>
      </c>
      <c r="D157" s="6">
        <v>3399.9</v>
      </c>
      <c r="F157" s="47">
        <v>38</v>
      </c>
      <c r="G157" s="48" t="s">
        <v>177</v>
      </c>
      <c r="H157" s="6">
        <v>3399.9</v>
      </c>
      <c r="I157" s="15">
        <v>156</v>
      </c>
      <c r="J157" s="34" t="s">
        <v>177</v>
      </c>
      <c r="K157" s="6">
        <v>3399.9</v>
      </c>
      <c r="L157" s="49">
        <f t="shared" si="2"/>
        <v>0</v>
      </c>
    </row>
    <row r="158" spans="1:12">
      <c r="A158">
        <v>159</v>
      </c>
      <c r="B158" s="34" t="s">
        <v>178</v>
      </c>
      <c r="C158" s="33" t="s">
        <v>178</v>
      </c>
      <c r="D158" s="6">
        <v>3399.9</v>
      </c>
      <c r="F158" s="47">
        <v>40</v>
      </c>
      <c r="G158" s="48" t="s">
        <v>242</v>
      </c>
      <c r="H158" s="6">
        <v>3399.9</v>
      </c>
      <c r="I158" s="15">
        <v>157</v>
      </c>
      <c r="J158" s="34" t="s">
        <v>242</v>
      </c>
      <c r="K158" s="6">
        <v>3399.9</v>
      </c>
      <c r="L158" s="49">
        <f t="shared" si="2"/>
        <v>0</v>
      </c>
    </row>
    <row r="159" spans="1:12">
      <c r="A159">
        <v>160</v>
      </c>
      <c r="B159" s="34" t="s">
        <v>243</v>
      </c>
      <c r="C159" s="33" t="s">
        <v>243</v>
      </c>
      <c r="D159" s="6">
        <v>3399.9</v>
      </c>
      <c r="F159" s="47">
        <v>42</v>
      </c>
      <c r="G159" s="48" t="s">
        <v>165</v>
      </c>
      <c r="H159" s="6">
        <v>3399.9</v>
      </c>
      <c r="I159" s="15">
        <v>158</v>
      </c>
      <c r="J159" s="34" t="s">
        <v>165</v>
      </c>
      <c r="K159" s="6">
        <v>3399.9</v>
      </c>
      <c r="L159" s="49">
        <f t="shared" si="2"/>
        <v>0</v>
      </c>
    </row>
    <row r="160" spans="1:12">
      <c r="A160">
        <v>161</v>
      </c>
      <c r="B160" s="34" t="s">
        <v>143</v>
      </c>
      <c r="C160" s="33" t="s">
        <v>143</v>
      </c>
      <c r="D160" s="6">
        <v>10199.700000000001</v>
      </c>
      <c r="F160" s="47">
        <v>43</v>
      </c>
      <c r="G160" s="48" t="s">
        <v>166</v>
      </c>
      <c r="H160" s="6">
        <v>3399.9</v>
      </c>
      <c r="I160" s="15">
        <v>159</v>
      </c>
      <c r="J160" s="34" t="s">
        <v>166</v>
      </c>
      <c r="K160" s="6">
        <v>3399.9</v>
      </c>
      <c r="L160" s="49">
        <f t="shared" si="2"/>
        <v>0</v>
      </c>
    </row>
    <row r="161" spans="1:12">
      <c r="A161">
        <v>162</v>
      </c>
      <c r="B161" s="34" t="s">
        <v>145</v>
      </c>
      <c r="C161" s="33"/>
      <c r="D161" s="6">
        <v>0</v>
      </c>
      <c r="F161" s="47">
        <v>44</v>
      </c>
      <c r="G161" s="48" t="s">
        <v>178</v>
      </c>
      <c r="H161" s="6">
        <v>3399.9</v>
      </c>
      <c r="I161" s="15">
        <v>160</v>
      </c>
      <c r="J161" s="34" t="s">
        <v>178</v>
      </c>
      <c r="K161" s="6">
        <v>3399.9</v>
      </c>
      <c r="L161" s="49">
        <f t="shared" si="2"/>
        <v>0</v>
      </c>
    </row>
    <row r="162" spans="1:12">
      <c r="A162">
        <v>163</v>
      </c>
      <c r="B162" s="34" t="s">
        <v>244</v>
      </c>
      <c r="C162" s="33" t="s">
        <v>244</v>
      </c>
      <c r="D162" s="6">
        <v>7479.78</v>
      </c>
      <c r="F162" s="47">
        <v>55</v>
      </c>
      <c r="G162" s="48" t="s">
        <v>243</v>
      </c>
      <c r="H162" s="6">
        <v>3399.9</v>
      </c>
      <c r="I162" s="15">
        <v>161</v>
      </c>
      <c r="J162" s="34" t="s">
        <v>243</v>
      </c>
      <c r="K162" s="6">
        <v>3399.9</v>
      </c>
      <c r="L162" s="49">
        <f t="shared" si="2"/>
        <v>0</v>
      </c>
    </row>
    <row r="163" spans="1:12">
      <c r="A163">
        <v>164</v>
      </c>
      <c r="B163" s="34" t="s">
        <v>261</v>
      </c>
      <c r="C163" s="33" t="s">
        <v>261</v>
      </c>
      <c r="D163" s="6">
        <v>7479.78</v>
      </c>
      <c r="F163" s="47">
        <v>89</v>
      </c>
      <c r="G163" s="48" t="s">
        <v>497</v>
      </c>
      <c r="H163" s="6">
        <v>3399.9</v>
      </c>
      <c r="I163" s="15">
        <v>162</v>
      </c>
      <c r="J163" s="34" t="s">
        <v>496</v>
      </c>
      <c r="K163" s="6">
        <v>3399.9</v>
      </c>
      <c r="L163" s="49">
        <f t="shared" si="2"/>
        <v>0</v>
      </c>
    </row>
    <row r="164" spans="1:12">
      <c r="A164">
        <v>165</v>
      </c>
      <c r="B164" s="35" t="s">
        <v>389</v>
      </c>
      <c r="C164" s="33" t="s">
        <v>430</v>
      </c>
      <c r="D164" s="6">
        <v>3399.9</v>
      </c>
      <c r="F164" s="47">
        <v>90</v>
      </c>
      <c r="G164" s="48" t="s">
        <v>496</v>
      </c>
      <c r="H164" s="6">
        <v>3399.9</v>
      </c>
      <c r="I164" s="15">
        <v>163</v>
      </c>
      <c r="J164" s="34" t="s">
        <v>497</v>
      </c>
      <c r="K164" s="6">
        <v>3399.9</v>
      </c>
      <c r="L164" s="49">
        <f t="shared" si="2"/>
        <v>0</v>
      </c>
    </row>
    <row r="165" spans="1:12">
      <c r="A165">
        <v>166</v>
      </c>
      <c r="B165" s="34" t="s">
        <v>417</v>
      </c>
      <c r="C165" s="33" t="s">
        <v>389</v>
      </c>
      <c r="D165" s="6">
        <v>3399.9</v>
      </c>
      <c r="F165" s="47">
        <v>1</v>
      </c>
      <c r="G165" s="48" t="s">
        <v>143</v>
      </c>
      <c r="H165" s="6">
        <v>10199.700000000001</v>
      </c>
      <c r="I165" s="15">
        <v>164</v>
      </c>
      <c r="J165" s="34" t="s">
        <v>143</v>
      </c>
      <c r="K165" s="6">
        <v>10199.700000000001</v>
      </c>
      <c r="L165" s="49">
        <f t="shared" si="2"/>
        <v>0</v>
      </c>
    </row>
    <row r="166" spans="1:12">
      <c r="A166">
        <v>167</v>
      </c>
      <c r="B166" s="34" t="s">
        <v>245</v>
      </c>
      <c r="C166" s="33" t="s">
        <v>245</v>
      </c>
      <c r="D166" s="6">
        <v>7479.78</v>
      </c>
      <c r="F166" s="47">
        <v>7</v>
      </c>
      <c r="G166" s="48" t="s">
        <v>244</v>
      </c>
      <c r="H166" s="6">
        <v>7479.78</v>
      </c>
      <c r="I166" s="15">
        <v>165</v>
      </c>
      <c r="J166" s="34" t="s">
        <v>244</v>
      </c>
      <c r="K166" s="6">
        <v>7479.78</v>
      </c>
      <c r="L166" s="49">
        <f t="shared" si="2"/>
        <v>0</v>
      </c>
    </row>
    <row r="167" spans="1:12">
      <c r="A167">
        <v>168</v>
      </c>
      <c r="B167" s="34" t="s">
        <v>246</v>
      </c>
      <c r="C167" s="33" t="s">
        <v>246</v>
      </c>
      <c r="D167" s="6">
        <v>7479.78</v>
      </c>
      <c r="F167" s="47">
        <v>15</v>
      </c>
      <c r="G167" s="48" t="s">
        <v>261</v>
      </c>
      <c r="H167" s="6">
        <v>7479.78</v>
      </c>
      <c r="I167" s="15">
        <v>166</v>
      </c>
      <c r="J167" s="34" t="s">
        <v>261</v>
      </c>
      <c r="K167" s="6">
        <v>7479.78</v>
      </c>
      <c r="L167" s="49">
        <f t="shared" si="2"/>
        <v>0</v>
      </c>
    </row>
    <row r="168" spans="1:12">
      <c r="A168">
        <v>169</v>
      </c>
      <c r="B168" s="34" t="s">
        <v>247</v>
      </c>
      <c r="C168" s="33" t="s">
        <v>247</v>
      </c>
      <c r="D168" s="6">
        <v>7479.78</v>
      </c>
      <c r="F168" s="47">
        <v>19</v>
      </c>
      <c r="G168" s="48" t="s">
        <v>430</v>
      </c>
      <c r="H168" s="6">
        <v>3399.9</v>
      </c>
      <c r="I168" s="15">
        <v>167</v>
      </c>
      <c r="J168" s="35" t="s">
        <v>389</v>
      </c>
      <c r="K168" s="6">
        <v>3399.9</v>
      </c>
      <c r="L168" s="49">
        <f t="shared" si="2"/>
        <v>0</v>
      </c>
    </row>
    <row r="169" spans="1:12">
      <c r="A169">
        <v>170</v>
      </c>
      <c r="B169" s="35" t="s">
        <v>248</v>
      </c>
      <c r="C169" s="24" t="s">
        <v>248</v>
      </c>
      <c r="D169" s="6">
        <v>7479.78</v>
      </c>
      <c r="F169" s="47">
        <v>20</v>
      </c>
      <c r="G169" s="48" t="s">
        <v>389</v>
      </c>
      <c r="H169" s="6">
        <v>3399.9</v>
      </c>
      <c r="I169" s="15">
        <v>168</v>
      </c>
      <c r="J169" s="34" t="s">
        <v>417</v>
      </c>
      <c r="K169" s="6">
        <v>3399.9</v>
      </c>
      <c r="L169" s="49">
        <f t="shared" si="2"/>
        <v>0</v>
      </c>
    </row>
    <row r="170" spans="1:12">
      <c r="A170">
        <v>171</v>
      </c>
      <c r="B170" s="34" t="s">
        <v>249</v>
      </c>
      <c r="C170" s="33" t="s">
        <v>249</v>
      </c>
      <c r="D170" s="6">
        <v>7479.78</v>
      </c>
      <c r="F170" s="47">
        <v>2</v>
      </c>
      <c r="G170" s="48" t="s">
        <v>245</v>
      </c>
      <c r="H170" s="6">
        <v>7479.78</v>
      </c>
      <c r="I170" s="15">
        <v>169</v>
      </c>
      <c r="J170" s="34" t="s">
        <v>245</v>
      </c>
      <c r="K170" s="6">
        <v>7479.78</v>
      </c>
      <c r="L170" s="49">
        <f t="shared" si="2"/>
        <v>0</v>
      </c>
    </row>
    <row r="171" spans="1:12">
      <c r="A171">
        <v>172</v>
      </c>
      <c r="B171" s="34" t="s">
        <v>250</v>
      </c>
      <c r="C171" s="33" t="s">
        <v>250</v>
      </c>
      <c r="D171" s="6">
        <v>7479.78</v>
      </c>
      <c r="F171" s="47">
        <v>5</v>
      </c>
      <c r="G171" s="48" t="s">
        <v>246</v>
      </c>
      <c r="H171" s="6">
        <v>7479.78</v>
      </c>
      <c r="I171" s="15">
        <v>170</v>
      </c>
      <c r="J171" s="34" t="s">
        <v>246</v>
      </c>
      <c r="K171" s="6">
        <v>7479.78</v>
      </c>
      <c r="L171" s="49">
        <f t="shared" si="2"/>
        <v>0</v>
      </c>
    </row>
    <row r="172" spans="1:12">
      <c r="A172">
        <v>173</v>
      </c>
      <c r="B172" s="34" t="s">
        <v>156</v>
      </c>
      <c r="C172" s="33" t="s">
        <v>156</v>
      </c>
      <c r="D172" s="6">
        <v>7479.78</v>
      </c>
      <c r="F172" s="47">
        <v>7</v>
      </c>
      <c r="G172" s="48" t="s">
        <v>247</v>
      </c>
      <c r="H172" s="6">
        <v>7479.78</v>
      </c>
      <c r="I172" s="15">
        <v>171</v>
      </c>
      <c r="J172" s="34" t="s">
        <v>247</v>
      </c>
      <c r="K172" s="6">
        <v>7479.78</v>
      </c>
      <c r="L172" s="49">
        <f t="shared" si="2"/>
        <v>0</v>
      </c>
    </row>
    <row r="173" spans="1:12">
      <c r="A173">
        <v>174</v>
      </c>
      <c r="B173" s="34" t="s">
        <v>157</v>
      </c>
      <c r="C173" s="33" t="s">
        <v>157</v>
      </c>
      <c r="D173" s="6">
        <v>3399.9</v>
      </c>
      <c r="F173" s="47">
        <v>11</v>
      </c>
      <c r="G173" s="9" t="s">
        <v>248</v>
      </c>
      <c r="H173" s="6">
        <v>7479.78</v>
      </c>
      <c r="I173" s="15">
        <v>172</v>
      </c>
      <c r="J173" s="35" t="s">
        <v>248</v>
      </c>
      <c r="K173" s="6">
        <v>7479.78</v>
      </c>
      <c r="L173" s="49">
        <f t="shared" si="2"/>
        <v>0</v>
      </c>
    </row>
    <row r="174" spans="1:12">
      <c r="A174">
        <v>175</v>
      </c>
      <c r="B174" s="34" t="s">
        <v>251</v>
      </c>
      <c r="C174" s="33" t="s">
        <v>251</v>
      </c>
      <c r="D174" s="6">
        <v>7479.78</v>
      </c>
      <c r="F174" s="47">
        <v>12</v>
      </c>
      <c r="G174" s="48" t="s">
        <v>249</v>
      </c>
      <c r="H174" s="6">
        <v>7479.78</v>
      </c>
      <c r="I174" s="15">
        <v>173</v>
      </c>
      <c r="J174" s="34" t="s">
        <v>249</v>
      </c>
      <c r="K174" s="6">
        <v>7479.78</v>
      </c>
      <c r="L174" s="49">
        <f t="shared" si="2"/>
        <v>0</v>
      </c>
    </row>
    <row r="175" spans="1:12">
      <c r="A175">
        <v>176</v>
      </c>
      <c r="B175" s="34" t="s">
        <v>418</v>
      </c>
      <c r="C175" s="33" t="s">
        <v>431</v>
      </c>
      <c r="D175" s="6">
        <v>3399.9</v>
      </c>
      <c r="F175" s="47">
        <v>13</v>
      </c>
      <c r="G175" s="48" t="s">
        <v>250</v>
      </c>
      <c r="H175" s="6">
        <v>7479.78</v>
      </c>
      <c r="I175" s="15">
        <v>174</v>
      </c>
      <c r="J175" s="34" t="s">
        <v>250</v>
      </c>
      <c r="K175" s="6">
        <v>7479.78</v>
      </c>
      <c r="L175" s="49">
        <f t="shared" si="2"/>
        <v>0</v>
      </c>
    </row>
    <row r="176" spans="1:12">
      <c r="A176">
        <v>177</v>
      </c>
      <c r="B176" s="34" t="s">
        <v>253</v>
      </c>
      <c r="C176" s="33" t="s">
        <v>253</v>
      </c>
      <c r="D176" s="8">
        <v>7479.78</v>
      </c>
      <c r="F176" s="47">
        <v>15</v>
      </c>
      <c r="G176" s="48" t="s">
        <v>156</v>
      </c>
      <c r="H176" s="6">
        <v>7479.78</v>
      </c>
      <c r="I176" s="15">
        <v>175</v>
      </c>
      <c r="J176" s="34" t="s">
        <v>156</v>
      </c>
      <c r="K176" s="6">
        <v>7479.78</v>
      </c>
      <c r="L176" s="49">
        <f t="shared" si="2"/>
        <v>0</v>
      </c>
    </row>
    <row r="177" spans="1:12">
      <c r="A177">
        <v>178</v>
      </c>
      <c r="B177" s="34" t="s">
        <v>419</v>
      </c>
      <c r="C177" s="33" t="s">
        <v>432</v>
      </c>
      <c r="D177" s="8">
        <v>7479.78</v>
      </c>
      <c r="F177" s="47">
        <v>16</v>
      </c>
      <c r="G177" s="48" t="s">
        <v>157</v>
      </c>
      <c r="H177" s="6">
        <v>3399.9</v>
      </c>
      <c r="I177" s="15">
        <v>176</v>
      </c>
      <c r="J177" s="34" t="s">
        <v>157</v>
      </c>
      <c r="K177" s="6">
        <v>3399.9</v>
      </c>
      <c r="L177" s="49">
        <f t="shared" si="2"/>
        <v>0</v>
      </c>
    </row>
    <row r="178" spans="1:12">
      <c r="A178">
        <v>179</v>
      </c>
      <c r="B178" s="34" t="s">
        <v>254</v>
      </c>
      <c r="C178" s="33" t="s">
        <v>254</v>
      </c>
      <c r="D178" s="8">
        <v>3399.9</v>
      </c>
      <c r="F178" s="47">
        <v>20</v>
      </c>
      <c r="G178" s="48" t="s">
        <v>251</v>
      </c>
      <c r="H178" s="6">
        <v>7479.78</v>
      </c>
      <c r="I178" s="15">
        <v>177</v>
      </c>
      <c r="J178" s="34" t="s">
        <v>251</v>
      </c>
      <c r="K178" s="6">
        <v>7479.78</v>
      </c>
      <c r="L178" s="49">
        <f t="shared" si="2"/>
        <v>0</v>
      </c>
    </row>
    <row r="179" spans="1:12">
      <c r="A179">
        <v>180</v>
      </c>
      <c r="B179" s="34" t="s">
        <v>255</v>
      </c>
      <c r="C179" s="33" t="s">
        <v>255</v>
      </c>
      <c r="D179" s="8">
        <v>3399.9</v>
      </c>
      <c r="F179" s="47">
        <v>23</v>
      </c>
      <c r="G179" s="48" t="s">
        <v>431</v>
      </c>
      <c r="H179" s="6">
        <v>3399.9</v>
      </c>
      <c r="I179" s="15">
        <v>178</v>
      </c>
      <c r="J179" s="34" t="s">
        <v>418</v>
      </c>
      <c r="K179" s="6">
        <v>3399.9</v>
      </c>
      <c r="L179" s="49">
        <f t="shared" si="2"/>
        <v>0</v>
      </c>
    </row>
    <row r="180" spans="1:12">
      <c r="A180">
        <v>181</v>
      </c>
      <c r="B180" s="34" t="s">
        <v>160</v>
      </c>
      <c r="C180" s="33" t="s">
        <v>160</v>
      </c>
      <c r="D180" s="6">
        <v>10199.700000000001</v>
      </c>
      <c r="F180" s="48">
        <v>4</v>
      </c>
      <c r="G180" s="48" t="s">
        <v>253</v>
      </c>
      <c r="H180" s="8">
        <v>7479.78</v>
      </c>
      <c r="I180" s="15">
        <v>179</v>
      </c>
      <c r="J180" s="34" t="s">
        <v>253</v>
      </c>
      <c r="K180" s="6">
        <v>7479.78</v>
      </c>
      <c r="L180" s="49">
        <f t="shared" si="2"/>
        <v>0</v>
      </c>
    </row>
    <row r="181" spans="1:12">
      <c r="A181">
        <v>182</v>
      </c>
      <c r="B181" s="34" t="s">
        <v>256</v>
      </c>
      <c r="C181" s="33" t="s">
        <v>256</v>
      </c>
      <c r="D181" s="6">
        <v>7479.78</v>
      </c>
      <c r="F181" s="48">
        <v>5</v>
      </c>
      <c r="G181" s="48" t="s">
        <v>432</v>
      </c>
      <c r="H181" s="8">
        <v>7479.78</v>
      </c>
      <c r="I181" s="15">
        <v>180</v>
      </c>
      <c r="J181" s="34" t="s">
        <v>419</v>
      </c>
      <c r="K181" s="6">
        <v>7479.78</v>
      </c>
      <c r="L181" s="49">
        <f t="shared" si="2"/>
        <v>0</v>
      </c>
    </row>
    <row r="182" spans="1:12">
      <c r="A182">
        <v>183</v>
      </c>
      <c r="B182" s="34" t="s">
        <v>257</v>
      </c>
      <c r="C182" s="33" t="s">
        <v>257</v>
      </c>
      <c r="D182" s="6">
        <v>7479.78</v>
      </c>
      <c r="F182" s="48">
        <v>7</v>
      </c>
      <c r="G182" s="48" t="s">
        <v>254</v>
      </c>
      <c r="H182" s="8">
        <v>3399.9</v>
      </c>
      <c r="I182" s="15">
        <v>181</v>
      </c>
      <c r="J182" s="34" t="s">
        <v>254</v>
      </c>
      <c r="K182" s="6">
        <v>3399.9</v>
      </c>
      <c r="L182" s="49">
        <f t="shared" si="2"/>
        <v>0</v>
      </c>
    </row>
    <row r="183" spans="1:12">
      <c r="B183" s="34" t="s">
        <v>161</v>
      </c>
      <c r="C183" s="33" t="s">
        <v>161</v>
      </c>
      <c r="D183" s="6">
        <v>3399.9</v>
      </c>
      <c r="F183" s="48">
        <v>8</v>
      </c>
      <c r="G183" s="48" t="s">
        <v>255</v>
      </c>
      <c r="H183" s="8">
        <v>3399.9</v>
      </c>
      <c r="I183" s="15">
        <v>182</v>
      </c>
      <c r="J183" s="34" t="s">
        <v>255</v>
      </c>
      <c r="K183" s="6">
        <v>3399.9</v>
      </c>
      <c r="L183" s="49">
        <f t="shared" si="2"/>
        <v>0</v>
      </c>
    </row>
    <row r="184" spans="1:12">
      <c r="B184" s="34" t="s">
        <v>162</v>
      </c>
      <c r="D184" s="5">
        <f>SUM(D2:D183)</f>
        <v>1068248.4700000021</v>
      </c>
      <c r="F184" s="47">
        <v>1</v>
      </c>
      <c r="G184" s="48" t="s">
        <v>160</v>
      </c>
      <c r="H184" s="6">
        <v>10199.700000000001</v>
      </c>
      <c r="I184" s="15">
        <v>183</v>
      </c>
      <c r="J184" s="34" t="s">
        <v>160</v>
      </c>
      <c r="K184" s="6">
        <v>10199.700000000001</v>
      </c>
      <c r="L184" s="49">
        <f t="shared" si="2"/>
        <v>0</v>
      </c>
    </row>
    <row r="185" spans="1:12">
      <c r="F185" s="47">
        <v>3</v>
      </c>
      <c r="G185" s="48" t="s">
        <v>256</v>
      </c>
      <c r="H185" s="6">
        <v>7479.78</v>
      </c>
      <c r="I185" s="15">
        <v>184</v>
      </c>
      <c r="J185" s="34" t="s">
        <v>256</v>
      </c>
      <c r="K185" s="6">
        <v>7479.78</v>
      </c>
      <c r="L185" s="49">
        <f t="shared" si="2"/>
        <v>0</v>
      </c>
    </row>
    <row r="186" spans="1:12">
      <c r="F186" s="47">
        <v>4</v>
      </c>
      <c r="G186" s="48" t="s">
        <v>257</v>
      </c>
      <c r="H186" s="6">
        <v>7479.78</v>
      </c>
      <c r="I186" s="15">
        <v>185</v>
      </c>
      <c r="J186" s="34" t="s">
        <v>455</v>
      </c>
      <c r="K186" s="6">
        <v>7479.78</v>
      </c>
      <c r="L186" s="49">
        <f t="shared" si="2"/>
        <v>0</v>
      </c>
    </row>
    <row r="187" spans="1:12">
      <c r="F187" s="47">
        <v>5</v>
      </c>
      <c r="G187" s="48" t="s">
        <v>491</v>
      </c>
      <c r="H187" s="6">
        <v>7479.78</v>
      </c>
      <c r="I187" s="15">
        <v>184</v>
      </c>
      <c r="J187" s="34" t="s">
        <v>257</v>
      </c>
      <c r="K187" s="6">
        <v>7479.78</v>
      </c>
      <c r="L187" s="49">
        <f t="shared" si="2"/>
        <v>0</v>
      </c>
    </row>
    <row r="188" spans="1:12">
      <c r="F188" s="47">
        <v>6</v>
      </c>
      <c r="G188" s="48" t="s">
        <v>161</v>
      </c>
      <c r="H188" s="6">
        <v>3399.9</v>
      </c>
      <c r="I188" s="15">
        <v>185</v>
      </c>
      <c r="J188" s="34" t="s">
        <v>161</v>
      </c>
      <c r="K188" s="6">
        <v>3399.9</v>
      </c>
      <c r="L188" s="49">
        <f t="shared" si="2"/>
        <v>0</v>
      </c>
    </row>
    <row r="189" spans="1:12">
      <c r="H189" s="5">
        <f>SUM(H2:H188)</f>
        <v>1233187.2600000014</v>
      </c>
      <c r="I189" s="257" t="s">
        <v>163</v>
      </c>
      <c r="J189" s="258"/>
      <c r="K189" s="31">
        <f>SUM(K2:K188)</f>
        <v>1233167.2600000014</v>
      </c>
      <c r="L189" s="49">
        <f t="shared" si="2"/>
        <v>-20</v>
      </c>
    </row>
    <row r="190" spans="1:12">
      <c r="K190" s="40">
        <f>K189</f>
        <v>1233167.2600000014</v>
      </c>
      <c r="L190" s="49">
        <f t="shared" si="2"/>
        <v>1233167.2600000014</v>
      </c>
    </row>
    <row r="193" spans="11:11">
      <c r="K193" s="43">
        <v>1166423.98</v>
      </c>
    </row>
    <row r="194" spans="11:11">
      <c r="K194" s="40">
        <f>K190-K193</f>
        <v>66743.280000001425</v>
      </c>
    </row>
    <row r="195" spans="11:11">
      <c r="K195" s="37"/>
    </row>
    <row r="196" spans="11:11">
      <c r="K196" s="38"/>
    </row>
    <row r="227" spans="4:4">
      <c r="D227" s="5">
        <f>C227-A884</f>
        <v>0</v>
      </c>
    </row>
    <row r="228" spans="4:4">
      <c r="D228" s="5">
        <f>D227/4</f>
        <v>0</v>
      </c>
    </row>
    <row r="237" spans="4:4">
      <c r="D237"/>
    </row>
    <row r="238" spans="4:4">
      <c r="D238"/>
    </row>
    <row r="239" spans="4:4">
      <c r="D239"/>
    </row>
    <row r="240" spans="4:4">
      <c r="D240"/>
    </row>
    <row r="241" spans="4:4">
      <c r="D241"/>
    </row>
    <row r="242" spans="4:4">
      <c r="D242"/>
    </row>
    <row r="243" spans="4:4">
      <c r="D243"/>
    </row>
    <row r="244" spans="4:4">
      <c r="D244"/>
    </row>
    <row r="245" spans="4:4">
      <c r="D245"/>
    </row>
    <row r="246" spans="4:4">
      <c r="D246"/>
    </row>
    <row r="247" spans="4:4">
      <c r="D247"/>
    </row>
    <row r="248" spans="4:4">
      <c r="D248"/>
    </row>
    <row r="249" spans="4:4">
      <c r="D249"/>
    </row>
    <row r="250" spans="4:4">
      <c r="D250"/>
    </row>
    <row r="251" spans="4:4">
      <c r="D251"/>
    </row>
    <row r="252" spans="4:4">
      <c r="D252"/>
    </row>
    <row r="253" spans="4:4">
      <c r="D253"/>
    </row>
    <row r="254" spans="4:4">
      <c r="D254"/>
    </row>
    <row r="255" spans="4:4">
      <c r="D255"/>
    </row>
    <row r="256" spans="4:4">
      <c r="D256"/>
    </row>
    <row r="257" spans="4:4">
      <c r="D257"/>
    </row>
    <row r="258" spans="4:4">
      <c r="D258"/>
    </row>
    <row r="259" spans="4:4">
      <c r="D259"/>
    </row>
    <row r="260" spans="4:4">
      <c r="D260"/>
    </row>
    <row r="261" spans="4:4">
      <c r="D261"/>
    </row>
    <row r="262" spans="4:4">
      <c r="D262"/>
    </row>
    <row r="263" spans="4:4">
      <c r="D263"/>
    </row>
    <row r="264" spans="4:4">
      <c r="D264"/>
    </row>
    <row r="265" spans="4:4">
      <c r="D265"/>
    </row>
  </sheetData>
  <mergeCells count="1">
    <mergeCell ref="I189:J18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19"/>
  <sheetViews>
    <sheetView workbookViewId="0">
      <selection activeCell="D1" sqref="D1:D65536"/>
    </sheetView>
  </sheetViews>
  <sheetFormatPr defaultRowHeight="15"/>
  <cols>
    <col min="2" max="2" width="47" bestFit="1" customWidth="1"/>
    <col min="3" max="3" width="13.28515625" style="5" bestFit="1" customWidth="1"/>
    <col min="4" max="4" width="26.28515625" customWidth="1"/>
    <col min="5" max="5" width="15.140625" customWidth="1"/>
    <col min="7" max="8" width="9.140625" customWidth="1"/>
    <col min="10" max="10" width="9.140625" customWidth="1"/>
  </cols>
  <sheetData>
    <row r="1" spans="1:5">
      <c r="A1">
        <v>3</v>
      </c>
      <c r="B1" t="s">
        <v>3</v>
      </c>
      <c r="C1" s="5">
        <v>10199.700000000001</v>
      </c>
      <c r="D1" s="1" t="s">
        <v>3</v>
      </c>
      <c r="E1" s="2">
        <v>10199.700000000001</v>
      </c>
    </row>
    <row r="2" spans="1:5">
      <c r="A2">
        <v>5</v>
      </c>
      <c r="B2" t="s">
        <v>184</v>
      </c>
      <c r="C2" s="5">
        <v>10199.700000000001</v>
      </c>
      <c r="D2" s="1" t="s">
        <v>184</v>
      </c>
      <c r="E2" s="2">
        <v>10199.700000000001</v>
      </c>
    </row>
    <row r="3" spans="1:5">
      <c r="A3">
        <v>6</v>
      </c>
      <c r="B3" t="s">
        <v>4</v>
      </c>
      <c r="C3" s="5">
        <v>10199.700000000001</v>
      </c>
      <c r="D3" s="1" t="s">
        <v>4</v>
      </c>
      <c r="E3" s="2">
        <v>10199.700000000001</v>
      </c>
    </row>
    <row r="4" spans="1:5">
      <c r="A4">
        <v>7</v>
      </c>
      <c r="B4" t="s">
        <v>5</v>
      </c>
      <c r="C4" s="5">
        <v>3739.89</v>
      </c>
      <c r="D4" s="1" t="s">
        <v>5</v>
      </c>
      <c r="E4" s="2">
        <v>3739.89</v>
      </c>
    </row>
    <row r="5" spans="1:5">
      <c r="A5">
        <v>8</v>
      </c>
      <c r="B5" t="s">
        <v>6</v>
      </c>
      <c r="C5" s="5">
        <v>7479.78</v>
      </c>
      <c r="D5" s="1" t="s">
        <v>6</v>
      </c>
      <c r="E5" s="2">
        <v>7479.78</v>
      </c>
    </row>
    <row r="6" spans="1:5">
      <c r="A6">
        <v>9</v>
      </c>
      <c r="B6" t="s">
        <v>185</v>
      </c>
      <c r="C6" s="5">
        <v>7479.78</v>
      </c>
      <c r="D6" s="1" t="s">
        <v>185</v>
      </c>
      <c r="E6" s="2">
        <v>7479.78</v>
      </c>
    </row>
    <row r="7" spans="1:5">
      <c r="A7">
        <v>10</v>
      </c>
      <c r="B7" t="s">
        <v>7</v>
      </c>
      <c r="C7" s="5">
        <v>7479.78</v>
      </c>
      <c r="D7" s="1" t="s">
        <v>7</v>
      </c>
      <c r="E7" s="2">
        <v>7479.78</v>
      </c>
    </row>
    <row r="8" spans="1:5">
      <c r="A8">
        <v>11</v>
      </c>
      <c r="B8" t="s">
        <v>8</v>
      </c>
      <c r="C8" s="5">
        <v>3739.89</v>
      </c>
      <c r="D8" s="1" t="s">
        <v>8</v>
      </c>
      <c r="E8" s="2">
        <v>3739.89</v>
      </c>
    </row>
    <row r="9" spans="1:5">
      <c r="A9">
        <v>12</v>
      </c>
      <c r="B9" t="s">
        <v>186</v>
      </c>
      <c r="C9" s="5">
        <v>7479.78</v>
      </c>
      <c r="D9" s="1" t="s">
        <v>186</v>
      </c>
      <c r="E9" s="2">
        <v>7479.78</v>
      </c>
    </row>
    <row r="10" spans="1:5">
      <c r="A10">
        <v>19</v>
      </c>
      <c r="B10" t="s">
        <v>9</v>
      </c>
      <c r="C10" s="5">
        <v>3739.89</v>
      </c>
      <c r="D10" s="1" t="s">
        <v>9</v>
      </c>
      <c r="E10" s="2">
        <v>3739.89</v>
      </c>
    </row>
    <row r="11" spans="1:5">
      <c r="A11">
        <v>20</v>
      </c>
      <c r="B11" t="s">
        <v>187</v>
      </c>
      <c r="C11" s="5">
        <v>7479.78</v>
      </c>
      <c r="D11" s="1" t="s">
        <v>187</v>
      </c>
      <c r="E11" s="2">
        <v>7479.78</v>
      </c>
    </row>
    <row r="12" spans="1:5">
      <c r="A12">
        <v>23</v>
      </c>
      <c r="B12" t="s">
        <v>10</v>
      </c>
      <c r="C12" s="5">
        <v>3399.9</v>
      </c>
      <c r="D12" s="1" t="s">
        <v>10</v>
      </c>
      <c r="E12" s="2">
        <v>3399.9</v>
      </c>
    </row>
    <row r="13" spans="1:5">
      <c r="A13">
        <v>25</v>
      </c>
      <c r="B13" t="s">
        <v>11</v>
      </c>
      <c r="C13" s="5">
        <v>1699.95</v>
      </c>
      <c r="D13" s="1" t="s">
        <v>11</v>
      </c>
      <c r="E13" s="2">
        <v>1699.95</v>
      </c>
    </row>
    <row r="14" spans="1:5">
      <c r="A14">
        <v>26</v>
      </c>
      <c r="B14" t="s">
        <v>12</v>
      </c>
      <c r="C14" s="5">
        <v>1699.95</v>
      </c>
      <c r="D14" s="1" t="s">
        <v>12</v>
      </c>
      <c r="E14" s="2">
        <v>1699.95</v>
      </c>
    </row>
    <row r="15" spans="1:5">
      <c r="A15">
        <v>3</v>
      </c>
      <c r="B15" t="s">
        <v>14</v>
      </c>
      <c r="C15" s="5">
        <v>8287.31</v>
      </c>
      <c r="D15" s="1" t="s">
        <v>13</v>
      </c>
      <c r="E15" s="2">
        <v>8287.3700000000008</v>
      </c>
    </row>
    <row r="16" spans="1:5">
      <c r="A16">
        <v>7</v>
      </c>
      <c r="B16" t="s">
        <v>188</v>
      </c>
      <c r="C16" s="5">
        <v>7479.78</v>
      </c>
      <c r="D16" s="1" t="s">
        <v>14</v>
      </c>
      <c r="E16" s="2">
        <v>7479.78</v>
      </c>
    </row>
    <row r="17" spans="1:5">
      <c r="A17">
        <v>10</v>
      </c>
      <c r="B17" t="s">
        <v>299</v>
      </c>
      <c r="C17" s="5">
        <v>7479.78</v>
      </c>
      <c r="D17" s="1" t="s">
        <v>188</v>
      </c>
      <c r="E17" s="2">
        <v>7479.78</v>
      </c>
    </row>
    <row r="18" spans="1:5">
      <c r="A18">
        <v>12</v>
      </c>
      <c r="B18" t="s">
        <v>15</v>
      </c>
      <c r="C18" s="5">
        <v>3739.89</v>
      </c>
      <c r="D18" s="1" t="s">
        <v>15</v>
      </c>
      <c r="E18" s="2">
        <v>3739.89</v>
      </c>
    </row>
    <row r="19" spans="1:5">
      <c r="A19">
        <v>16</v>
      </c>
      <c r="B19" t="s">
        <v>189</v>
      </c>
      <c r="C19" s="5">
        <v>3399.9</v>
      </c>
      <c r="D19" s="1" t="s">
        <v>189</v>
      </c>
      <c r="E19" s="2">
        <v>3399.9</v>
      </c>
    </row>
    <row r="20" spans="1:5">
      <c r="A20">
        <v>20</v>
      </c>
      <c r="B20" t="s">
        <v>16</v>
      </c>
      <c r="C20" s="5">
        <v>1699.95</v>
      </c>
      <c r="D20" s="1" t="s">
        <v>16</v>
      </c>
      <c r="E20" s="2">
        <v>1699.95</v>
      </c>
    </row>
    <row r="21" spans="1:5">
      <c r="A21">
        <v>3</v>
      </c>
      <c r="B21" t="s">
        <v>190</v>
      </c>
      <c r="C21" s="5">
        <v>7479.78</v>
      </c>
      <c r="D21" s="1" t="s">
        <v>190</v>
      </c>
      <c r="E21" s="2">
        <v>7479.78</v>
      </c>
    </row>
    <row r="22" spans="1:5">
      <c r="A22">
        <v>4</v>
      </c>
      <c r="B22" t="s">
        <v>191</v>
      </c>
      <c r="C22" s="5">
        <v>7479.78</v>
      </c>
      <c r="D22" s="1" t="s">
        <v>191</v>
      </c>
      <c r="E22" s="2">
        <v>7479.78</v>
      </c>
    </row>
    <row r="23" spans="1:5">
      <c r="A23">
        <v>6</v>
      </c>
      <c r="B23" t="s">
        <v>17</v>
      </c>
      <c r="C23" s="5">
        <v>1697.19</v>
      </c>
      <c r="D23" s="1" t="s">
        <v>17</v>
      </c>
      <c r="E23" s="2">
        <v>1699.95</v>
      </c>
    </row>
    <row r="24" spans="1:5">
      <c r="A24">
        <v>7</v>
      </c>
      <c r="B24" t="s">
        <v>18</v>
      </c>
      <c r="C24" s="5">
        <v>3399.9</v>
      </c>
      <c r="D24" s="1" t="s">
        <v>18</v>
      </c>
      <c r="E24" s="2">
        <v>3399.9</v>
      </c>
    </row>
    <row r="25" spans="1:5">
      <c r="A25">
        <v>8</v>
      </c>
      <c r="B25" t="s">
        <v>19</v>
      </c>
      <c r="C25" s="5">
        <v>1699.95</v>
      </c>
      <c r="D25" s="1" t="s">
        <v>19</v>
      </c>
      <c r="E25" s="2">
        <v>1699.95</v>
      </c>
    </row>
    <row r="26" spans="1:5">
      <c r="A26">
        <v>1</v>
      </c>
      <c r="B26" t="s">
        <v>192</v>
      </c>
      <c r="C26" s="5">
        <v>10199.700000000001</v>
      </c>
      <c r="D26" s="1" t="s">
        <v>192</v>
      </c>
      <c r="E26" s="2">
        <v>10199.700000000001</v>
      </c>
    </row>
    <row r="27" spans="1:5">
      <c r="A27">
        <v>10</v>
      </c>
      <c r="B27" t="s">
        <v>193</v>
      </c>
      <c r="C27" s="5">
        <v>11333</v>
      </c>
      <c r="D27" s="1" t="s">
        <v>193</v>
      </c>
      <c r="E27" s="2">
        <v>11333</v>
      </c>
    </row>
    <row r="28" spans="1:5">
      <c r="A28">
        <v>12</v>
      </c>
      <c r="B28" t="s">
        <v>20</v>
      </c>
      <c r="C28" s="5">
        <v>5666.5</v>
      </c>
      <c r="D28" s="1" t="s">
        <v>20</v>
      </c>
      <c r="E28" s="2">
        <v>5666.5</v>
      </c>
    </row>
    <row r="29" spans="1:5">
      <c r="A29">
        <v>17</v>
      </c>
      <c r="B29" t="s">
        <v>179</v>
      </c>
      <c r="C29" s="5">
        <v>11333</v>
      </c>
      <c r="D29" s="1" t="s">
        <v>179</v>
      </c>
      <c r="E29" s="2">
        <v>11333</v>
      </c>
    </row>
    <row r="30" spans="1:5">
      <c r="A30">
        <v>20</v>
      </c>
      <c r="B30" t="s">
        <v>194</v>
      </c>
      <c r="C30" s="5">
        <v>11333</v>
      </c>
      <c r="D30" s="1" t="s">
        <v>194</v>
      </c>
      <c r="E30" s="2">
        <v>11333</v>
      </c>
    </row>
    <row r="31" spans="1:5">
      <c r="A31">
        <v>22</v>
      </c>
      <c r="B31" t="s">
        <v>195</v>
      </c>
      <c r="C31" s="5">
        <v>11333</v>
      </c>
      <c r="D31" s="1" t="s">
        <v>195</v>
      </c>
      <c r="E31" s="2">
        <v>11333</v>
      </c>
    </row>
    <row r="32" spans="1:5">
      <c r="A32">
        <v>24</v>
      </c>
      <c r="B32" t="s">
        <v>21</v>
      </c>
      <c r="C32" s="5">
        <v>5099.8500000000004</v>
      </c>
      <c r="D32" s="1" t="s">
        <v>21</v>
      </c>
      <c r="E32" s="2">
        <v>5099.8500000000004</v>
      </c>
    </row>
    <row r="33" spans="1:5">
      <c r="A33">
        <v>25</v>
      </c>
      <c r="B33" t="s">
        <v>22</v>
      </c>
      <c r="C33" s="5">
        <v>3739.89</v>
      </c>
      <c r="D33" s="1" t="s">
        <v>22</v>
      </c>
      <c r="E33" s="2">
        <v>3739.89</v>
      </c>
    </row>
    <row r="34" spans="1:5">
      <c r="A34">
        <v>26</v>
      </c>
      <c r="B34" t="s">
        <v>23</v>
      </c>
      <c r="C34" s="5">
        <v>10199.700000000001</v>
      </c>
      <c r="D34" s="1" t="s">
        <v>23</v>
      </c>
      <c r="E34" s="2">
        <v>10199.700000000001</v>
      </c>
    </row>
    <row r="35" spans="1:5">
      <c r="A35">
        <v>27</v>
      </c>
      <c r="B35" t="s">
        <v>24</v>
      </c>
      <c r="C35" s="5">
        <v>5099.8500000000004</v>
      </c>
      <c r="D35" s="1" t="s">
        <v>24</v>
      </c>
      <c r="E35" s="2">
        <v>5099.8500000000004</v>
      </c>
    </row>
    <row r="36" spans="1:5">
      <c r="A36">
        <v>33</v>
      </c>
      <c r="B36" t="s">
        <v>196</v>
      </c>
      <c r="C36" s="5">
        <v>10199.700000000001</v>
      </c>
      <c r="D36" s="1" t="s">
        <v>25</v>
      </c>
      <c r="E36" s="2">
        <v>10199.700000000001</v>
      </c>
    </row>
    <row r="37" spans="1:5">
      <c r="A37">
        <v>34</v>
      </c>
      <c r="B37" t="s">
        <v>25</v>
      </c>
      <c r="C37" s="5">
        <v>3739.89</v>
      </c>
      <c r="D37" s="1" t="s">
        <v>196</v>
      </c>
      <c r="E37" s="2">
        <v>3739.89</v>
      </c>
    </row>
    <row r="38" spans="1:5">
      <c r="A38">
        <v>35</v>
      </c>
      <c r="B38" t="s">
        <v>26</v>
      </c>
      <c r="C38" s="5">
        <v>3739.89</v>
      </c>
      <c r="D38" s="1" t="s">
        <v>26</v>
      </c>
      <c r="E38" s="2">
        <v>3739.89</v>
      </c>
    </row>
    <row r="39" spans="1:5">
      <c r="A39">
        <v>37</v>
      </c>
      <c r="B39" t="s">
        <v>27</v>
      </c>
      <c r="C39" s="5">
        <v>3739.89</v>
      </c>
      <c r="D39" s="1" t="s">
        <v>27</v>
      </c>
      <c r="E39" s="2">
        <v>3739.89</v>
      </c>
    </row>
    <row r="40" spans="1:5">
      <c r="A40">
        <v>41</v>
      </c>
      <c r="B40" t="s">
        <v>28</v>
      </c>
      <c r="C40" s="5">
        <v>3739.89</v>
      </c>
      <c r="D40" s="1" t="s">
        <v>28</v>
      </c>
      <c r="E40" s="2">
        <v>3739.89</v>
      </c>
    </row>
    <row r="41" spans="1:5">
      <c r="A41">
        <v>45</v>
      </c>
      <c r="B41" t="s">
        <v>29</v>
      </c>
      <c r="C41" s="5">
        <v>1699.95</v>
      </c>
      <c r="D41" s="1" t="s">
        <v>29</v>
      </c>
      <c r="E41" s="2">
        <v>1699.95</v>
      </c>
    </row>
    <row r="42" spans="1:5">
      <c r="A42">
        <v>46</v>
      </c>
      <c r="B42" t="s">
        <v>30</v>
      </c>
      <c r="C42" s="5">
        <v>1699.95</v>
      </c>
      <c r="D42" s="1" t="s">
        <v>30</v>
      </c>
      <c r="E42" s="2">
        <v>1699.95</v>
      </c>
    </row>
    <row r="43" spans="1:5">
      <c r="A43">
        <v>50</v>
      </c>
      <c r="B43" t="s">
        <v>31</v>
      </c>
      <c r="C43" s="5">
        <v>1699.95</v>
      </c>
      <c r="D43" s="1" t="s">
        <v>31</v>
      </c>
      <c r="E43" s="2">
        <v>1699.95</v>
      </c>
    </row>
    <row r="44" spans="1:5">
      <c r="D44" s="1" t="s">
        <v>197</v>
      </c>
      <c r="E44" s="2">
        <v>10199.700000000001</v>
      </c>
    </row>
    <row r="45" spans="1:5">
      <c r="A45">
        <v>5</v>
      </c>
      <c r="B45" t="s">
        <v>198</v>
      </c>
      <c r="C45" s="5">
        <v>10199.700000000001</v>
      </c>
      <c r="D45" s="1" t="s">
        <v>198</v>
      </c>
      <c r="E45" s="2">
        <v>10199.700000000001</v>
      </c>
    </row>
    <row r="46" spans="1:5">
      <c r="A46">
        <v>7</v>
      </c>
      <c r="B46" t="s">
        <v>32</v>
      </c>
      <c r="C46" s="5">
        <v>7479.78</v>
      </c>
      <c r="D46" s="1" t="s">
        <v>32</v>
      </c>
      <c r="E46" s="2">
        <v>7479.78</v>
      </c>
    </row>
    <row r="47" spans="1:5">
      <c r="A47">
        <v>8</v>
      </c>
      <c r="B47" t="s">
        <v>33</v>
      </c>
      <c r="C47" s="5">
        <v>3739.89</v>
      </c>
      <c r="D47" s="1" t="s">
        <v>33</v>
      </c>
      <c r="E47" s="2">
        <v>3739.89</v>
      </c>
    </row>
    <row r="48" spans="1:5">
      <c r="A48">
        <v>9</v>
      </c>
      <c r="B48" t="s">
        <v>34</v>
      </c>
      <c r="C48" s="5">
        <v>3739.89</v>
      </c>
      <c r="D48" s="1" t="s">
        <v>34</v>
      </c>
      <c r="E48" s="2">
        <v>3739.89</v>
      </c>
    </row>
    <row r="49" spans="1:5">
      <c r="A49">
        <v>13</v>
      </c>
      <c r="B49" t="s">
        <v>35</v>
      </c>
      <c r="C49" s="5">
        <v>3739.89</v>
      </c>
      <c r="D49" s="1" t="s">
        <v>35</v>
      </c>
      <c r="E49" s="2">
        <v>3739.89</v>
      </c>
    </row>
    <row r="50" spans="1:5">
      <c r="A50">
        <v>14</v>
      </c>
      <c r="B50" t="s">
        <v>199</v>
      </c>
      <c r="C50" s="5">
        <v>7479.78</v>
      </c>
      <c r="D50" s="1" t="s">
        <v>199</v>
      </c>
      <c r="E50" s="2">
        <v>7479.78</v>
      </c>
    </row>
    <row r="51" spans="1:5">
      <c r="A51">
        <v>15</v>
      </c>
      <c r="B51" t="s">
        <v>200</v>
      </c>
      <c r="C51" s="5">
        <v>7479.78</v>
      </c>
      <c r="D51" s="1" t="s">
        <v>200</v>
      </c>
      <c r="E51" s="2">
        <v>7479.78</v>
      </c>
    </row>
    <row r="52" spans="1:5">
      <c r="A52">
        <v>16</v>
      </c>
      <c r="B52" t="s">
        <v>201</v>
      </c>
      <c r="C52" s="5">
        <v>7479.78</v>
      </c>
      <c r="D52" s="1" t="s">
        <v>201</v>
      </c>
      <c r="E52" s="2">
        <v>7479.78</v>
      </c>
    </row>
    <row r="53" spans="1:5">
      <c r="A53">
        <v>19</v>
      </c>
      <c r="B53" t="s">
        <v>202</v>
      </c>
      <c r="C53" s="5">
        <v>7479.78</v>
      </c>
      <c r="D53" s="1" t="s">
        <v>202</v>
      </c>
      <c r="E53" s="2">
        <v>7479.78</v>
      </c>
    </row>
    <row r="54" spans="1:5">
      <c r="A54">
        <v>20</v>
      </c>
      <c r="B54" t="s">
        <v>203</v>
      </c>
      <c r="C54" s="5">
        <v>7479.78</v>
      </c>
      <c r="D54" s="1" t="s">
        <v>203</v>
      </c>
      <c r="E54" s="2">
        <v>7479.78</v>
      </c>
    </row>
    <row r="55" spans="1:5">
      <c r="A55">
        <v>21</v>
      </c>
      <c r="B55" t="s">
        <v>36</v>
      </c>
      <c r="C55" s="5">
        <v>3739.89</v>
      </c>
      <c r="D55" s="1" t="s">
        <v>36</v>
      </c>
      <c r="E55" s="2">
        <v>3739.89</v>
      </c>
    </row>
    <row r="56" spans="1:5">
      <c r="A56">
        <v>24</v>
      </c>
      <c r="B56" t="s">
        <v>170</v>
      </c>
      <c r="C56" s="5">
        <v>3399.9</v>
      </c>
      <c r="D56" s="1" t="s">
        <v>170</v>
      </c>
      <c r="E56" s="2">
        <v>3399.9</v>
      </c>
    </row>
    <row r="57" spans="1:5">
      <c r="A57">
        <v>34</v>
      </c>
      <c r="B57" t="s">
        <v>204</v>
      </c>
      <c r="C57" s="5">
        <v>3399.9</v>
      </c>
      <c r="D57" s="1" t="s">
        <v>204</v>
      </c>
      <c r="E57" s="2">
        <v>3399.9</v>
      </c>
    </row>
    <row r="58" spans="1:5">
      <c r="A58">
        <v>35</v>
      </c>
      <c r="B58" t="s">
        <v>37</v>
      </c>
      <c r="C58" s="5">
        <v>1699.95</v>
      </c>
      <c r="D58" s="1" t="s">
        <v>37</v>
      </c>
      <c r="E58" s="2">
        <v>1699.95</v>
      </c>
    </row>
    <row r="59" spans="1:5">
      <c r="A59">
        <v>1</v>
      </c>
      <c r="B59" t="s">
        <v>38</v>
      </c>
      <c r="C59" s="5">
        <v>11333</v>
      </c>
      <c r="D59" s="1" t="s">
        <v>38</v>
      </c>
      <c r="E59" s="2">
        <v>11333</v>
      </c>
    </row>
    <row r="60" spans="1:5">
      <c r="A60">
        <v>6</v>
      </c>
      <c r="B60" t="s">
        <v>40</v>
      </c>
      <c r="C60" s="5">
        <v>5666.5</v>
      </c>
      <c r="D60" s="1" t="s">
        <v>40</v>
      </c>
      <c r="E60" s="2">
        <v>5666.5</v>
      </c>
    </row>
    <row r="61" spans="1:5">
      <c r="A61">
        <v>7</v>
      </c>
      <c r="B61" t="s">
        <v>205</v>
      </c>
      <c r="C61" s="5">
        <v>11333</v>
      </c>
      <c r="D61" s="1" t="s">
        <v>205</v>
      </c>
      <c r="E61" s="2">
        <v>11333</v>
      </c>
    </row>
    <row r="62" spans="1:5">
      <c r="A62">
        <v>12</v>
      </c>
      <c r="B62" t="s">
        <v>41</v>
      </c>
      <c r="C62" s="5">
        <v>11333</v>
      </c>
      <c r="D62" s="1" t="s">
        <v>41</v>
      </c>
      <c r="E62" s="2">
        <v>11333</v>
      </c>
    </row>
    <row r="63" spans="1:5">
      <c r="A63">
        <v>14</v>
      </c>
      <c r="B63" t="s">
        <v>42</v>
      </c>
      <c r="C63" s="5">
        <v>11333</v>
      </c>
      <c r="D63" s="1" t="s">
        <v>42</v>
      </c>
      <c r="E63" s="2">
        <v>11333</v>
      </c>
    </row>
    <row r="64" spans="1:5">
      <c r="A64">
        <v>15</v>
      </c>
      <c r="B64" t="s">
        <v>43</v>
      </c>
      <c r="C64" s="5">
        <v>10199.700000000001</v>
      </c>
      <c r="D64" s="1" t="s">
        <v>43</v>
      </c>
      <c r="E64" s="2">
        <v>10199.700000000001</v>
      </c>
    </row>
    <row r="65" spans="1:5">
      <c r="A65">
        <v>16</v>
      </c>
      <c r="B65" t="s">
        <v>44</v>
      </c>
      <c r="C65" s="5">
        <v>5099.8500000000004</v>
      </c>
      <c r="D65" s="1" t="s">
        <v>44</v>
      </c>
      <c r="E65" s="2">
        <v>5099.8500000000004</v>
      </c>
    </row>
    <row r="66" spans="1:5">
      <c r="A66">
        <v>20</v>
      </c>
      <c r="B66" t="s">
        <v>206</v>
      </c>
      <c r="C66" s="5">
        <v>10199.700000000001</v>
      </c>
      <c r="D66" s="1" t="s">
        <v>206</v>
      </c>
      <c r="E66" s="2">
        <v>10199.700000000001</v>
      </c>
    </row>
    <row r="67" spans="1:5">
      <c r="A67">
        <v>21</v>
      </c>
      <c r="B67" t="s">
        <v>45</v>
      </c>
      <c r="C67" s="5">
        <v>5099.8500000000004</v>
      </c>
      <c r="D67" s="1" t="s">
        <v>45</v>
      </c>
      <c r="E67" s="2">
        <v>5099.8500000000004</v>
      </c>
    </row>
    <row r="68" spans="1:5">
      <c r="A68">
        <v>23</v>
      </c>
      <c r="B68" t="s">
        <v>46</v>
      </c>
      <c r="C68" s="5">
        <v>5099.8500000000004</v>
      </c>
      <c r="D68" s="1" t="s">
        <v>46</v>
      </c>
      <c r="E68" s="2">
        <v>5099.8500000000004</v>
      </c>
    </row>
    <row r="69" spans="1:5">
      <c r="A69">
        <v>25</v>
      </c>
      <c r="B69" t="s">
        <v>47</v>
      </c>
      <c r="C69" s="5">
        <v>7479.78</v>
      </c>
      <c r="D69" s="1" t="s">
        <v>47</v>
      </c>
      <c r="E69" s="2">
        <v>7479.78</v>
      </c>
    </row>
    <row r="70" spans="1:5">
      <c r="A70">
        <v>28</v>
      </c>
      <c r="B70" t="s">
        <v>50</v>
      </c>
      <c r="C70" s="5">
        <v>3739.89</v>
      </c>
      <c r="D70" s="1" t="s">
        <v>50</v>
      </c>
      <c r="E70" s="2">
        <v>3739.89</v>
      </c>
    </row>
    <row r="71" spans="1:5">
      <c r="A71">
        <v>30</v>
      </c>
      <c r="B71" t="s">
        <v>48</v>
      </c>
      <c r="C71" s="5">
        <v>3739.89</v>
      </c>
      <c r="D71" s="1" t="s">
        <v>48</v>
      </c>
      <c r="E71" s="2">
        <v>3739.89</v>
      </c>
    </row>
    <row r="72" spans="1:5">
      <c r="A72">
        <v>31</v>
      </c>
      <c r="B72" t="s">
        <v>207</v>
      </c>
      <c r="C72" s="5">
        <v>7479.78</v>
      </c>
      <c r="D72" s="1" t="s">
        <v>207</v>
      </c>
      <c r="E72" s="2">
        <v>7479.78</v>
      </c>
    </row>
    <row r="73" spans="1:5">
      <c r="A73">
        <v>32</v>
      </c>
      <c r="B73" t="s">
        <v>49</v>
      </c>
      <c r="C73" s="5">
        <v>3739.89</v>
      </c>
      <c r="D73" s="1" t="s">
        <v>49</v>
      </c>
      <c r="E73" s="2">
        <v>3739.89</v>
      </c>
    </row>
    <row r="74" spans="1:5">
      <c r="A74">
        <v>33</v>
      </c>
      <c r="B74" t="s">
        <v>208</v>
      </c>
      <c r="C74" s="5">
        <v>7479.78</v>
      </c>
      <c r="D74" s="1" t="s">
        <v>208</v>
      </c>
      <c r="E74" s="2">
        <v>7479.78</v>
      </c>
    </row>
    <row r="75" spans="1:5">
      <c r="A75">
        <v>1</v>
      </c>
      <c r="B75" t="s">
        <v>258</v>
      </c>
      <c r="C75" s="5">
        <v>11333</v>
      </c>
      <c r="D75" s="1" t="s">
        <v>258</v>
      </c>
      <c r="E75" s="2">
        <v>11333</v>
      </c>
    </row>
    <row r="76" spans="1:5">
      <c r="A76">
        <v>7</v>
      </c>
      <c r="B76" t="s">
        <v>209</v>
      </c>
      <c r="C76" s="5">
        <v>7479.78</v>
      </c>
      <c r="D76" s="1" t="s">
        <v>209</v>
      </c>
      <c r="E76" s="2">
        <v>7479.78</v>
      </c>
    </row>
    <row r="77" spans="1:5">
      <c r="A77">
        <v>1</v>
      </c>
      <c r="B77" t="s">
        <v>51</v>
      </c>
      <c r="C77" s="5">
        <v>11333</v>
      </c>
      <c r="D77" s="1" t="s">
        <v>51</v>
      </c>
      <c r="E77" s="2">
        <v>11333</v>
      </c>
    </row>
    <row r="78" spans="1:5">
      <c r="A78">
        <v>4</v>
      </c>
      <c r="B78" t="s">
        <v>210</v>
      </c>
      <c r="C78" s="5">
        <v>7479.78</v>
      </c>
      <c r="D78" s="1" t="s">
        <v>210</v>
      </c>
      <c r="E78" s="2">
        <v>7479.78</v>
      </c>
    </row>
    <row r="79" spans="1:5">
      <c r="A79">
        <v>5</v>
      </c>
      <c r="B79" t="s">
        <v>52</v>
      </c>
      <c r="C79" s="5">
        <v>3739.89</v>
      </c>
      <c r="D79" s="1" t="s">
        <v>52</v>
      </c>
      <c r="E79" s="2">
        <v>3739.89</v>
      </c>
    </row>
    <row r="80" spans="1:5">
      <c r="A80">
        <v>6</v>
      </c>
      <c r="B80" t="s">
        <v>53</v>
      </c>
      <c r="C80" s="5">
        <v>1699.95</v>
      </c>
      <c r="D80" s="1" t="s">
        <v>53</v>
      </c>
      <c r="E80" s="2">
        <v>1699.95</v>
      </c>
    </row>
    <row r="81" spans="1:5">
      <c r="A81">
        <v>7</v>
      </c>
      <c r="B81" t="s">
        <v>211</v>
      </c>
      <c r="C81" s="5">
        <v>7479.78</v>
      </c>
      <c r="D81" s="1" t="s">
        <v>211</v>
      </c>
      <c r="E81" s="2">
        <v>7479.78</v>
      </c>
    </row>
    <row r="82" spans="1:5">
      <c r="A82">
        <v>8</v>
      </c>
      <c r="B82" t="s">
        <v>212</v>
      </c>
      <c r="C82" s="5">
        <v>7479.78</v>
      </c>
      <c r="D82" s="1" t="s">
        <v>212</v>
      </c>
      <c r="E82" s="2">
        <v>7479.78</v>
      </c>
    </row>
    <row r="83" spans="1:5">
      <c r="A83">
        <v>10</v>
      </c>
      <c r="B83" t="s">
        <v>54</v>
      </c>
      <c r="C83" s="5">
        <v>1699.95</v>
      </c>
      <c r="D83" s="1" t="s">
        <v>54</v>
      </c>
      <c r="E83" s="2">
        <v>1699.95</v>
      </c>
    </row>
    <row r="84" spans="1:5">
      <c r="A84">
        <v>11</v>
      </c>
      <c r="B84" t="s">
        <v>167</v>
      </c>
      <c r="C84" s="5">
        <v>3399.9</v>
      </c>
      <c r="D84" s="1" t="s">
        <v>167</v>
      </c>
      <c r="E84" s="2">
        <v>3399.9</v>
      </c>
    </row>
    <row r="85" spans="1:5">
      <c r="A85">
        <v>12</v>
      </c>
      <c r="B85" t="s">
        <v>55</v>
      </c>
      <c r="C85" s="5">
        <v>7479.78</v>
      </c>
      <c r="D85" s="1" t="s">
        <v>55</v>
      </c>
      <c r="E85" s="2">
        <v>7479.78</v>
      </c>
    </row>
    <row r="86" spans="1:5">
      <c r="A86">
        <v>13</v>
      </c>
      <c r="B86" t="s">
        <v>56</v>
      </c>
      <c r="C86" s="5">
        <v>1699.95</v>
      </c>
      <c r="D86" s="1" t="s">
        <v>56</v>
      </c>
      <c r="E86" s="2">
        <v>1699.95</v>
      </c>
    </row>
    <row r="87" spans="1:5">
      <c r="A87">
        <v>14</v>
      </c>
      <c r="B87" t="s">
        <v>213</v>
      </c>
      <c r="C87" s="5">
        <v>3399.9</v>
      </c>
      <c r="D87" s="1" t="s">
        <v>213</v>
      </c>
      <c r="E87" s="2">
        <v>3399.9</v>
      </c>
    </row>
    <row r="88" spans="1:5">
      <c r="A88">
        <v>4</v>
      </c>
      <c r="B88" t="s">
        <v>57</v>
      </c>
      <c r="C88" s="5">
        <v>5666.5</v>
      </c>
      <c r="D88" s="1" t="s">
        <v>57</v>
      </c>
      <c r="E88" s="2">
        <v>5666.5</v>
      </c>
    </row>
    <row r="89" spans="1:5">
      <c r="A89">
        <v>10</v>
      </c>
      <c r="B89" t="s">
        <v>58</v>
      </c>
      <c r="C89" s="5">
        <v>5099.8500000000004</v>
      </c>
      <c r="D89" s="1" t="s">
        <v>58</v>
      </c>
      <c r="E89" s="2">
        <v>5099.8500000000004</v>
      </c>
    </row>
    <row r="90" spans="1:5">
      <c r="A90">
        <v>11</v>
      </c>
      <c r="B90" t="s">
        <v>214</v>
      </c>
      <c r="C90" s="5">
        <v>10199.700000000001</v>
      </c>
      <c r="D90" s="1" t="s">
        <v>214</v>
      </c>
      <c r="E90" s="2">
        <v>10199.700000000001</v>
      </c>
    </row>
    <row r="91" spans="1:5">
      <c r="A91">
        <v>14</v>
      </c>
      <c r="B91" t="s">
        <v>60</v>
      </c>
      <c r="C91" s="5">
        <v>5099.8500000000004</v>
      </c>
      <c r="D91" s="1" t="s">
        <v>60</v>
      </c>
      <c r="E91" s="2">
        <v>5099.8500000000004</v>
      </c>
    </row>
    <row r="92" spans="1:5">
      <c r="A92">
        <v>16</v>
      </c>
      <c r="B92" t="s">
        <v>215</v>
      </c>
      <c r="C92" s="5">
        <v>10199.700000000001</v>
      </c>
      <c r="D92" s="1" t="s">
        <v>215</v>
      </c>
      <c r="E92" s="2">
        <v>10199.700000000001</v>
      </c>
    </row>
    <row r="93" spans="1:5">
      <c r="A93">
        <v>19</v>
      </c>
      <c r="B93" t="s">
        <v>59</v>
      </c>
      <c r="C93" s="5">
        <v>5099.8500000000004</v>
      </c>
      <c r="D93" s="1" t="s">
        <v>59</v>
      </c>
      <c r="E93" s="2">
        <v>5099.8500000000004</v>
      </c>
    </row>
    <row r="94" spans="1:5">
      <c r="A94">
        <v>20</v>
      </c>
      <c r="B94" t="s">
        <v>182</v>
      </c>
      <c r="C94" s="5">
        <v>7479.78</v>
      </c>
      <c r="D94" s="1" t="s">
        <v>182</v>
      </c>
      <c r="E94" s="2">
        <v>7479.78</v>
      </c>
    </row>
    <row r="95" spans="1:5">
      <c r="A95">
        <v>22</v>
      </c>
      <c r="B95" t="s">
        <v>61</v>
      </c>
      <c r="C95" s="5">
        <v>3739.89</v>
      </c>
      <c r="D95" s="1" t="s">
        <v>61</v>
      </c>
      <c r="E95" s="2">
        <v>3739.89</v>
      </c>
    </row>
    <row r="96" spans="1:5">
      <c r="A96">
        <v>24</v>
      </c>
      <c r="B96" t="s">
        <v>216</v>
      </c>
      <c r="C96" s="5">
        <v>10199.700000000001</v>
      </c>
      <c r="D96" s="1" t="s">
        <v>216</v>
      </c>
      <c r="E96" s="2">
        <v>10199.700000000001</v>
      </c>
    </row>
    <row r="97" spans="1:5">
      <c r="A97">
        <v>25</v>
      </c>
      <c r="B97" t="s">
        <v>62</v>
      </c>
      <c r="C97" s="5">
        <v>3739.89</v>
      </c>
      <c r="D97" s="1" t="s">
        <v>62</v>
      </c>
      <c r="E97" s="2">
        <v>3739.89</v>
      </c>
    </row>
    <row r="98" spans="1:5">
      <c r="A98">
        <v>27</v>
      </c>
      <c r="B98" t="s">
        <v>63</v>
      </c>
      <c r="C98" s="5">
        <v>7479.78</v>
      </c>
      <c r="D98" s="1" t="s">
        <v>63</v>
      </c>
      <c r="E98" s="2">
        <v>7479.78</v>
      </c>
    </row>
    <row r="99" spans="1:5">
      <c r="A99">
        <v>32</v>
      </c>
      <c r="B99" t="s">
        <v>64</v>
      </c>
      <c r="C99" s="5">
        <v>3739.89</v>
      </c>
      <c r="D99" s="1" t="s">
        <v>64</v>
      </c>
      <c r="E99" s="2">
        <v>3739.89</v>
      </c>
    </row>
    <row r="100" spans="1:5">
      <c r="A100">
        <v>33</v>
      </c>
      <c r="B100" t="s">
        <v>65</v>
      </c>
      <c r="C100" s="5">
        <v>3739.89</v>
      </c>
      <c r="D100" s="1" t="s">
        <v>65</v>
      </c>
      <c r="E100" s="2">
        <v>3739.89</v>
      </c>
    </row>
    <row r="101" spans="1:5">
      <c r="A101">
        <v>7</v>
      </c>
      <c r="B101" t="s">
        <v>329</v>
      </c>
      <c r="C101" s="5">
        <v>11333</v>
      </c>
      <c r="D101" s="1" t="s">
        <v>298</v>
      </c>
      <c r="E101" s="2">
        <v>11333</v>
      </c>
    </row>
    <row r="102" spans="1:5">
      <c r="D102" s="1" t="s">
        <v>66</v>
      </c>
      <c r="E102" s="2">
        <v>0</v>
      </c>
    </row>
    <row r="103" spans="1:5">
      <c r="A103">
        <v>5</v>
      </c>
      <c r="B103" t="s">
        <v>67</v>
      </c>
      <c r="C103" s="5">
        <v>3739.89</v>
      </c>
      <c r="D103" s="1" t="s">
        <v>67</v>
      </c>
      <c r="E103" s="2">
        <v>3739.89</v>
      </c>
    </row>
    <row r="104" spans="1:5">
      <c r="A104">
        <v>6</v>
      </c>
      <c r="B104" t="s">
        <v>180</v>
      </c>
      <c r="C104" s="5">
        <v>3739.89</v>
      </c>
      <c r="D104" s="1" t="s">
        <v>180</v>
      </c>
      <c r="E104" s="2">
        <v>3739.89</v>
      </c>
    </row>
    <row r="105" spans="1:5">
      <c r="A105">
        <v>9</v>
      </c>
      <c r="B105" t="s">
        <v>68</v>
      </c>
      <c r="C105" s="5">
        <v>3739.89</v>
      </c>
      <c r="D105" s="1" t="s">
        <v>68</v>
      </c>
      <c r="E105" s="2">
        <v>3739.89</v>
      </c>
    </row>
    <row r="106" spans="1:5">
      <c r="A106">
        <v>11</v>
      </c>
      <c r="B106" t="s">
        <v>69</v>
      </c>
      <c r="C106" s="5">
        <v>3739.89</v>
      </c>
      <c r="D106" s="1" t="s">
        <v>69</v>
      </c>
      <c r="E106" s="2">
        <v>3739.89</v>
      </c>
    </row>
    <row r="107" spans="1:5">
      <c r="A107">
        <v>12</v>
      </c>
      <c r="B107" t="s">
        <v>217</v>
      </c>
      <c r="C107" s="5">
        <v>7479.78</v>
      </c>
      <c r="D107" s="1" t="s">
        <v>217</v>
      </c>
      <c r="E107" s="2">
        <v>7479.78</v>
      </c>
    </row>
    <row r="108" spans="1:5">
      <c r="A108">
        <v>13</v>
      </c>
      <c r="B108" t="s">
        <v>70</v>
      </c>
      <c r="C108" s="5">
        <v>3739.89</v>
      </c>
      <c r="D108" s="1" t="s">
        <v>70</v>
      </c>
      <c r="E108" s="2">
        <v>3739.89</v>
      </c>
    </row>
    <row r="109" spans="1:5">
      <c r="A109">
        <v>14</v>
      </c>
      <c r="B109" t="s">
        <v>218</v>
      </c>
      <c r="C109" s="5">
        <v>7479.78</v>
      </c>
      <c r="D109" s="1" t="s">
        <v>218</v>
      </c>
      <c r="E109" s="2">
        <v>7479.78</v>
      </c>
    </row>
    <row r="110" spans="1:5">
      <c r="A110">
        <v>16</v>
      </c>
      <c r="B110" t="s">
        <v>71</v>
      </c>
      <c r="C110" s="5">
        <v>7479.78</v>
      </c>
      <c r="D110" s="1" t="s">
        <v>71</v>
      </c>
      <c r="E110" s="2">
        <v>7479.78</v>
      </c>
    </row>
    <row r="111" spans="1:5">
      <c r="A111">
        <v>17</v>
      </c>
      <c r="B111" t="s">
        <v>219</v>
      </c>
      <c r="C111" s="5">
        <v>7479.78</v>
      </c>
      <c r="D111" s="1" t="s">
        <v>219</v>
      </c>
      <c r="E111" s="2">
        <v>7479.78</v>
      </c>
    </row>
    <row r="112" spans="1:5">
      <c r="A112">
        <v>18</v>
      </c>
      <c r="B112" t="s">
        <v>72</v>
      </c>
      <c r="C112" s="5">
        <v>3739.89</v>
      </c>
      <c r="D112" s="1" t="s">
        <v>72</v>
      </c>
      <c r="E112" s="2">
        <v>3739.89</v>
      </c>
    </row>
    <row r="113" spans="1:5">
      <c r="A113">
        <v>20</v>
      </c>
      <c r="B113" t="s">
        <v>330</v>
      </c>
      <c r="C113" s="5">
        <v>7479.78</v>
      </c>
      <c r="D113" s="1"/>
      <c r="E113" s="2"/>
    </row>
    <row r="114" spans="1:5">
      <c r="A114">
        <v>21</v>
      </c>
      <c r="B114" t="s">
        <v>220</v>
      </c>
      <c r="C114" s="5">
        <v>7479.78</v>
      </c>
      <c r="D114" s="1" t="s">
        <v>220</v>
      </c>
      <c r="E114" s="2">
        <v>7479.78</v>
      </c>
    </row>
    <row r="115" spans="1:5">
      <c r="A115">
        <v>23</v>
      </c>
      <c r="B115" t="s">
        <v>73</v>
      </c>
      <c r="C115" s="5">
        <v>3739.89</v>
      </c>
      <c r="D115" s="1" t="s">
        <v>73</v>
      </c>
      <c r="E115" s="2">
        <v>3739.89</v>
      </c>
    </row>
    <row r="116" spans="1:5">
      <c r="A116">
        <v>2</v>
      </c>
      <c r="B116" t="s">
        <v>74</v>
      </c>
      <c r="C116" s="5">
        <v>1699.95</v>
      </c>
      <c r="D116" s="1" t="s">
        <v>74</v>
      </c>
      <c r="E116" s="2">
        <v>1699.95</v>
      </c>
    </row>
    <row r="117" spans="1:5">
      <c r="A117">
        <v>7</v>
      </c>
      <c r="B117" t="s">
        <v>75</v>
      </c>
      <c r="C117" s="5">
        <v>1699.95</v>
      </c>
      <c r="D117" s="1" t="s">
        <v>75</v>
      </c>
      <c r="E117" s="2">
        <v>1699.95</v>
      </c>
    </row>
    <row r="118" spans="1:5">
      <c r="A118">
        <v>1</v>
      </c>
      <c r="B118" t="s">
        <v>221</v>
      </c>
      <c r="C118" s="5">
        <v>7479.78</v>
      </c>
      <c r="D118" s="1" t="s">
        <v>221</v>
      </c>
      <c r="E118" s="2">
        <v>7479.78</v>
      </c>
    </row>
    <row r="119" spans="1:5">
      <c r="A119">
        <v>2</v>
      </c>
      <c r="B119" t="s">
        <v>77</v>
      </c>
      <c r="C119" s="5">
        <v>7479.78</v>
      </c>
      <c r="D119" s="1" t="s">
        <v>77</v>
      </c>
      <c r="E119" s="2">
        <v>7479.78</v>
      </c>
    </row>
    <row r="120" spans="1:5">
      <c r="A120">
        <v>3</v>
      </c>
      <c r="B120" t="s">
        <v>222</v>
      </c>
      <c r="C120" s="5">
        <v>7479.78</v>
      </c>
      <c r="D120" s="1" t="s">
        <v>222</v>
      </c>
      <c r="E120" s="2">
        <v>7479.78</v>
      </c>
    </row>
    <row r="121" spans="1:5">
      <c r="A121">
        <v>4</v>
      </c>
      <c r="B121" t="s">
        <v>78</v>
      </c>
      <c r="C121" s="5">
        <v>7479.78</v>
      </c>
      <c r="D121" s="1" t="s">
        <v>79</v>
      </c>
      <c r="E121" s="2">
        <v>3739.89</v>
      </c>
    </row>
    <row r="122" spans="1:5">
      <c r="A122">
        <v>5</v>
      </c>
      <c r="B122" t="s">
        <v>79</v>
      </c>
      <c r="C122" s="5">
        <v>3739.89</v>
      </c>
      <c r="D122" s="1" t="s">
        <v>223</v>
      </c>
      <c r="E122" s="2">
        <v>7479.78</v>
      </c>
    </row>
    <row r="123" spans="1:5">
      <c r="A123">
        <v>8</v>
      </c>
      <c r="B123" t="s">
        <v>223</v>
      </c>
      <c r="C123" s="5">
        <v>7479.78</v>
      </c>
      <c r="D123" s="1" t="s">
        <v>224</v>
      </c>
      <c r="E123" s="2">
        <v>7479.78</v>
      </c>
    </row>
    <row r="124" spans="1:5">
      <c r="A124">
        <v>13</v>
      </c>
      <c r="B124" t="s">
        <v>224</v>
      </c>
      <c r="C124" s="5">
        <v>7479.78</v>
      </c>
      <c r="D124" s="1" t="s">
        <v>80</v>
      </c>
      <c r="E124" s="2">
        <v>3739.89</v>
      </c>
    </row>
    <row r="125" spans="1:5">
      <c r="A125">
        <v>15</v>
      </c>
      <c r="B125" t="s">
        <v>80</v>
      </c>
      <c r="C125" s="5">
        <v>3739.89</v>
      </c>
      <c r="D125" s="1" t="s">
        <v>81</v>
      </c>
      <c r="E125" s="2">
        <v>3739.89</v>
      </c>
    </row>
    <row r="126" spans="1:5">
      <c r="A126">
        <v>21</v>
      </c>
      <c r="B126" t="s">
        <v>81</v>
      </c>
      <c r="C126" s="5">
        <v>3739.89</v>
      </c>
      <c r="D126" s="1" t="s">
        <v>82</v>
      </c>
      <c r="E126" s="2">
        <v>3399.9</v>
      </c>
    </row>
    <row r="127" spans="1:5">
      <c r="A127">
        <v>25</v>
      </c>
      <c r="B127" t="s">
        <v>82</v>
      </c>
      <c r="C127" s="5">
        <v>3399.9</v>
      </c>
      <c r="D127" s="1" t="s">
        <v>225</v>
      </c>
      <c r="E127" s="2">
        <v>7479.78</v>
      </c>
    </row>
    <row r="128" spans="1:5">
      <c r="A128">
        <v>26</v>
      </c>
      <c r="B128" t="s">
        <v>225</v>
      </c>
      <c r="C128" s="5">
        <v>7479.78</v>
      </c>
      <c r="D128" s="1" t="s">
        <v>83</v>
      </c>
      <c r="E128" s="2">
        <v>3399.9</v>
      </c>
    </row>
    <row r="129" spans="1:5">
      <c r="A129">
        <v>28</v>
      </c>
      <c r="B129" t="s">
        <v>83</v>
      </c>
      <c r="C129" s="5">
        <v>3399.9</v>
      </c>
      <c r="D129" s="1" t="s">
        <v>84</v>
      </c>
      <c r="E129" s="2">
        <v>3399.9</v>
      </c>
    </row>
    <row r="130" spans="1:5">
      <c r="A130">
        <v>29</v>
      </c>
      <c r="B130" t="s">
        <v>84</v>
      </c>
      <c r="C130" s="5">
        <v>3399.9</v>
      </c>
      <c r="D130" s="1" t="s">
        <v>85</v>
      </c>
      <c r="E130" s="2">
        <v>2266.6</v>
      </c>
    </row>
    <row r="131" spans="1:5">
      <c r="A131">
        <v>30</v>
      </c>
      <c r="B131" t="s">
        <v>85</v>
      </c>
      <c r="C131" s="5">
        <v>2266.6</v>
      </c>
      <c r="D131" s="1" t="s">
        <v>168</v>
      </c>
      <c r="E131" s="2">
        <v>3399.9</v>
      </c>
    </row>
    <row r="132" spans="1:5">
      <c r="A132">
        <v>31</v>
      </c>
      <c r="B132" t="s">
        <v>300</v>
      </c>
      <c r="C132" s="5">
        <v>7479.78</v>
      </c>
      <c r="D132" s="1" t="s">
        <v>86</v>
      </c>
      <c r="E132" s="2">
        <v>3399.9</v>
      </c>
    </row>
    <row r="133" spans="1:5">
      <c r="A133">
        <v>32</v>
      </c>
      <c r="B133" t="s">
        <v>168</v>
      </c>
      <c r="C133" s="5">
        <v>3399.9</v>
      </c>
      <c r="D133" s="1" t="s">
        <v>87</v>
      </c>
      <c r="E133" s="2">
        <v>7479.78</v>
      </c>
    </row>
    <row r="134" spans="1:5">
      <c r="A134">
        <v>34</v>
      </c>
      <c r="B134" t="s">
        <v>259</v>
      </c>
      <c r="C134" s="5">
        <v>7479.78</v>
      </c>
      <c r="D134" s="1" t="s">
        <v>169</v>
      </c>
      <c r="E134" s="2">
        <v>3399.9</v>
      </c>
    </row>
    <row r="135" spans="1:5">
      <c r="A135">
        <v>35</v>
      </c>
      <c r="B135" t="s">
        <v>86</v>
      </c>
      <c r="C135" s="5">
        <v>3399.9</v>
      </c>
      <c r="D135" s="1" t="s">
        <v>88</v>
      </c>
      <c r="E135" s="2">
        <v>1699.95</v>
      </c>
    </row>
    <row r="136" spans="1:5">
      <c r="A136">
        <v>36</v>
      </c>
      <c r="B136" t="s">
        <v>87</v>
      </c>
      <c r="C136" s="5">
        <v>7479.78</v>
      </c>
      <c r="D136" s="1" t="s">
        <v>171</v>
      </c>
      <c r="E136" s="2">
        <v>3399.9</v>
      </c>
    </row>
    <row r="137" spans="1:5">
      <c r="A137">
        <v>39</v>
      </c>
      <c r="B137" t="s">
        <v>169</v>
      </c>
      <c r="C137" s="5">
        <v>3399.9</v>
      </c>
      <c r="D137" s="1" t="s">
        <v>181</v>
      </c>
      <c r="E137" s="2">
        <v>1699.95</v>
      </c>
    </row>
    <row r="138" spans="1:5">
      <c r="A138">
        <v>42</v>
      </c>
      <c r="B138" t="s">
        <v>88</v>
      </c>
      <c r="C138" s="5">
        <v>1699.95</v>
      </c>
      <c r="D138" s="1" t="s">
        <v>78</v>
      </c>
      <c r="E138" s="2">
        <v>7479.78</v>
      </c>
    </row>
    <row r="139" spans="1:5">
      <c r="A139">
        <v>43</v>
      </c>
      <c r="B139" t="s">
        <v>171</v>
      </c>
      <c r="C139" s="5">
        <v>3399.9</v>
      </c>
      <c r="D139" s="1" t="s">
        <v>259</v>
      </c>
      <c r="E139" s="2">
        <v>7479.78</v>
      </c>
    </row>
    <row r="140" spans="1:5">
      <c r="A140">
        <v>50</v>
      </c>
      <c r="B140" t="s">
        <v>181</v>
      </c>
      <c r="C140" s="5">
        <v>1699.95</v>
      </c>
      <c r="D140" s="1" t="s">
        <v>89</v>
      </c>
      <c r="E140" s="2">
        <v>0</v>
      </c>
    </row>
    <row r="141" spans="1:5">
      <c r="A141">
        <v>2</v>
      </c>
      <c r="B141" t="s">
        <v>90</v>
      </c>
      <c r="C141" s="5">
        <v>10199.700000000001</v>
      </c>
      <c r="D141" s="1" t="s">
        <v>90</v>
      </c>
      <c r="E141" s="2">
        <v>10199.700000000001</v>
      </c>
    </row>
    <row r="142" spans="1:5">
      <c r="A142">
        <v>5</v>
      </c>
      <c r="B142" t="s">
        <v>91</v>
      </c>
      <c r="C142" s="5">
        <v>5099.8500000000004</v>
      </c>
      <c r="D142" s="1" t="s">
        <v>91</v>
      </c>
      <c r="E142" s="2">
        <v>5099.8500000000004</v>
      </c>
    </row>
    <row r="143" spans="1:5">
      <c r="A143">
        <v>6</v>
      </c>
      <c r="B143" t="s">
        <v>92</v>
      </c>
      <c r="C143" s="5">
        <v>5099.8500000000004</v>
      </c>
      <c r="D143" s="1" t="s">
        <v>92</v>
      </c>
      <c r="E143" s="2">
        <v>5099.8500000000004</v>
      </c>
    </row>
    <row r="144" spans="1:5">
      <c r="A144">
        <v>7</v>
      </c>
      <c r="B144" t="s">
        <v>93</v>
      </c>
      <c r="C144" s="5">
        <v>5099.8500000000004</v>
      </c>
      <c r="D144" s="1" t="s">
        <v>93</v>
      </c>
      <c r="E144" s="2">
        <v>5099.8500000000004</v>
      </c>
    </row>
    <row r="145" spans="1:5">
      <c r="A145">
        <v>8</v>
      </c>
      <c r="B145" t="s">
        <v>94</v>
      </c>
      <c r="C145" s="5">
        <v>5099.8500000000004</v>
      </c>
      <c r="D145" s="1" t="s">
        <v>94</v>
      </c>
      <c r="E145" s="2">
        <v>5099.8500000000004</v>
      </c>
    </row>
    <row r="146" spans="1:5">
      <c r="A146">
        <v>10</v>
      </c>
      <c r="B146" t="s">
        <v>95</v>
      </c>
      <c r="C146" s="5">
        <v>5099.8500000000004</v>
      </c>
      <c r="D146" s="1" t="s">
        <v>95</v>
      </c>
      <c r="E146" s="2">
        <v>5099.8500000000004</v>
      </c>
    </row>
    <row r="147" spans="1:5">
      <c r="A147">
        <v>11</v>
      </c>
      <c r="B147" t="s">
        <v>96</v>
      </c>
      <c r="C147" s="5">
        <v>5100.2</v>
      </c>
      <c r="D147" s="1" t="s">
        <v>96</v>
      </c>
      <c r="E147" s="2">
        <v>5099.8500000000004</v>
      </c>
    </row>
    <row r="148" spans="1:5">
      <c r="A148">
        <v>12</v>
      </c>
      <c r="B148" t="s">
        <v>97</v>
      </c>
      <c r="C148" s="5">
        <v>5099.8500000000004</v>
      </c>
      <c r="D148" s="1" t="s">
        <v>97</v>
      </c>
      <c r="E148" s="2">
        <v>5099.8500000000004</v>
      </c>
    </row>
    <row r="149" spans="1:5">
      <c r="A149">
        <v>15</v>
      </c>
      <c r="B149" t="s">
        <v>98</v>
      </c>
      <c r="C149" s="5">
        <v>3739.89</v>
      </c>
      <c r="D149" s="1" t="s">
        <v>98</v>
      </c>
      <c r="E149" s="2">
        <v>3739.89</v>
      </c>
    </row>
    <row r="150" spans="1:5">
      <c r="A150">
        <v>19</v>
      </c>
      <c r="B150" t="s">
        <v>99</v>
      </c>
      <c r="C150" s="5">
        <v>3739.89</v>
      </c>
      <c r="D150" s="1" t="s">
        <v>99</v>
      </c>
      <c r="E150" s="2">
        <v>3739.89</v>
      </c>
    </row>
    <row r="151" spans="1:5">
      <c r="A151">
        <v>20</v>
      </c>
      <c r="B151" t="s">
        <v>100</v>
      </c>
      <c r="C151" s="5">
        <v>3739.89</v>
      </c>
      <c r="D151" s="1" t="s">
        <v>100</v>
      </c>
      <c r="E151" s="2">
        <v>3739.89</v>
      </c>
    </row>
    <row r="152" spans="1:5">
      <c r="A152">
        <v>21</v>
      </c>
      <c r="B152" t="s">
        <v>101</v>
      </c>
      <c r="C152" s="5">
        <v>3737.89</v>
      </c>
      <c r="D152" s="1" t="s">
        <v>101</v>
      </c>
      <c r="E152" s="2">
        <v>3739.89</v>
      </c>
    </row>
    <row r="153" spans="1:5">
      <c r="A153">
        <v>22</v>
      </c>
      <c r="B153" t="s">
        <v>226</v>
      </c>
      <c r="C153" s="5">
        <v>10199.9</v>
      </c>
      <c r="D153" s="1" t="s">
        <v>226</v>
      </c>
      <c r="E153" s="2">
        <v>10199.9</v>
      </c>
    </row>
    <row r="154" spans="1:5">
      <c r="A154">
        <v>23</v>
      </c>
      <c r="B154" t="s">
        <v>227</v>
      </c>
      <c r="C154" s="5">
        <v>7479.78</v>
      </c>
      <c r="D154" s="1" t="s">
        <v>227</v>
      </c>
      <c r="E154" s="2">
        <v>7479.78</v>
      </c>
    </row>
    <row r="155" spans="1:5">
      <c r="A155">
        <v>24</v>
      </c>
      <c r="B155" t="s">
        <v>228</v>
      </c>
      <c r="C155" s="5">
        <v>7479.78</v>
      </c>
      <c r="D155" s="1" t="s">
        <v>228</v>
      </c>
      <c r="E155" s="2">
        <v>7479.78</v>
      </c>
    </row>
    <row r="156" spans="1:5">
      <c r="A156">
        <v>25</v>
      </c>
      <c r="B156" t="s">
        <v>229</v>
      </c>
      <c r="C156" s="5">
        <v>7479.78</v>
      </c>
      <c r="D156" s="1" t="s">
        <v>229</v>
      </c>
      <c r="E156" s="2">
        <v>7479.78</v>
      </c>
    </row>
    <row r="157" spans="1:5">
      <c r="A157">
        <v>28</v>
      </c>
      <c r="B157" t="s">
        <v>102</v>
      </c>
      <c r="C157" s="5">
        <v>3739.89</v>
      </c>
      <c r="D157" s="1" t="s">
        <v>102</v>
      </c>
      <c r="E157" s="2">
        <v>3739.89</v>
      </c>
    </row>
    <row r="158" spans="1:5">
      <c r="A158">
        <v>31</v>
      </c>
      <c r="B158" t="s">
        <v>103</v>
      </c>
      <c r="C158" s="5">
        <v>3399.9</v>
      </c>
      <c r="D158" s="1" t="s">
        <v>103</v>
      </c>
      <c r="E158" s="2">
        <v>3399.9</v>
      </c>
    </row>
    <row r="159" spans="1:5">
      <c r="A159">
        <v>33</v>
      </c>
      <c r="B159" t="s">
        <v>104</v>
      </c>
      <c r="C159" s="5">
        <v>1699.95</v>
      </c>
      <c r="D159" s="1" t="s">
        <v>104</v>
      </c>
      <c r="E159" s="2">
        <v>1699.95</v>
      </c>
    </row>
    <row r="160" spans="1:5">
      <c r="A160">
        <v>1</v>
      </c>
      <c r="B160" t="s">
        <v>105</v>
      </c>
      <c r="C160" s="5">
        <v>3739.89</v>
      </c>
      <c r="D160" s="1" t="s">
        <v>105</v>
      </c>
      <c r="E160" s="2">
        <v>3739.89</v>
      </c>
    </row>
    <row r="161" spans="1:5">
      <c r="A161">
        <v>3</v>
      </c>
      <c r="B161" t="s">
        <v>230</v>
      </c>
      <c r="C161" s="5">
        <v>3399.9</v>
      </c>
      <c r="D161" s="1" t="s">
        <v>230</v>
      </c>
      <c r="E161" s="2">
        <v>3399.9</v>
      </c>
    </row>
    <row r="162" spans="1:5">
      <c r="A162">
        <v>4</v>
      </c>
      <c r="B162" t="s">
        <v>231</v>
      </c>
      <c r="C162" s="5">
        <v>7479.78</v>
      </c>
      <c r="D162" s="1" t="s">
        <v>231</v>
      </c>
      <c r="E162" s="2">
        <v>7479.78</v>
      </c>
    </row>
    <row r="163" spans="1:5">
      <c r="A163">
        <v>5</v>
      </c>
      <c r="B163" t="s">
        <v>106</v>
      </c>
      <c r="C163" s="5">
        <v>3739.89</v>
      </c>
      <c r="D163" s="1" t="s">
        <v>106</v>
      </c>
      <c r="E163" s="2">
        <v>3739.89</v>
      </c>
    </row>
    <row r="164" spans="1:5">
      <c r="A164">
        <v>6</v>
      </c>
      <c r="B164" t="s">
        <v>107</v>
      </c>
      <c r="C164" s="5">
        <v>3739.89</v>
      </c>
      <c r="D164" s="1" t="s">
        <v>107</v>
      </c>
      <c r="E164" s="2">
        <v>3739.89</v>
      </c>
    </row>
    <row r="165" spans="1:5">
      <c r="A165">
        <v>11</v>
      </c>
      <c r="B165" t="s">
        <v>110</v>
      </c>
      <c r="C165" s="5">
        <v>1699.95</v>
      </c>
      <c r="D165" s="1" t="s">
        <v>110</v>
      </c>
      <c r="E165" s="2">
        <v>1699.95</v>
      </c>
    </row>
    <row r="166" spans="1:5">
      <c r="A166">
        <v>14</v>
      </c>
      <c r="B166" t="s">
        <v>111</v>
      </c>
      <c r="C166" s="5">
        <v>3399.9</v>
      </c>
      <c r="D166" s="1" t="s">
        <v>111</v>
      </c>
      <c r="E166" s="2">
        <v>3399.9</v>
      </c>
    </row>
    <row r="167" spans="1:5">
      <c r="A167">
        <v>17</v>
      </c>
      <c r="B167" t="s">
        <v>108</v>
      </c>
      <c r="C167" s="5">
        <v>1699.95</v>
      </c>
      <c r="D167" s="1" t="s">
        <v>108</v>
      </c>
      <c r="E167" s="2">
        <v>1699.95</v>
      </c>
    </row>
    <row r="168" spans="1:5">
      <c r="A168">
        <v>19</v>
      </c>
      <c r="B168" t="s">
        <v>109</v>
      </c>
      <c r="C168" s="5">
        <v>1699.95</v>
      </c>
      <c r="D168" s="1" t="s">
        <v>109</v>
      </c>
      <c r="E168" s="2">
        <v>1699.95</v>
      </c>
    </row>
    <row r="169" spans="1:5">
      <c r="A169">
        <v>24</v>
      </c>
      <c r="B169" t="s">
        <v>118</v>
      </c>
      <c r="C169" s="5">
        <v>1699.95</v>
      </c>
      <c r="D169" s="1" t="s">
        <v>118</v>
      </c>
      <c r="E169" s="2">
        <v>1699.95</v>
      </c>
    </row>
    <row r="170" spans="1:5">
      <c r="A170">
        <v>25</v>
      </c>
      <c r="B170" t="s">
        <v>232</v>
      </c>
      <c r="C170" s="5">
        <v>3399.9</v>
      </c>
      <c r="D170" s="1" t="s">
        <v>232</v>
      </c>
      <c r="E170" s="2">
        <v>3399.9</v>
      </c>
    </row>
    <row r="171" spans="1:5">
      <c r="A171">
        <v>28</v>
      </c>
      <c r="B171" t="s">
        <v>112</v>
      </c>
      <c r="C171" s="5">
        <v>1699.95</v>
      </c>
      <c r="D171" s="1" t="s">
        <v>112</v>
      </c>
      <c r="E171" s="2">
        <v>1699.95</v>
      </c>
    </row>
    <row r="172" spans="1:5">
      <c r="A172">
        <v>29</v>
      </c>
      <c r="B172" t="s">
        <v>113</v>
      </c>
      <c r="C172" s="5">
        <v>3399.9</v>
      </c>
      <c r="D172" s="1" t="s">
        <v>113</v>
      </c>
      <c r="E172" s="2">
        <v>3399.9</v>
      </c>
    </row>
    <row r="173" spans="1:5">
      <c r="A173">
        <v>31</v>
      </c>
      <c r="B173" t="s">
        <v>114</v>
      </c>
      <c r="C173" s="5">
        <v>1699.95</v>
      </c>
      <c r="D173" s="1" t="s">
        <v>114</v>
      </c>
      <c r="E173" s="2">
        <v>1699.95</v>
      </c>
    </row>
    <row r="174" spans="1:5">
      <c r="A174">
        <v>32</v>
      </c>
      <c r="B174" t="s">
        <v>115</v>
      </c>
      <c r="C174" s="5">
        <v>1699.95</v>
      </c>
      <c r="D174" s="1" t="s">
        <v>115</v>
      </c>
      <c r="E174" s="2">
        <v>1699.95</v>
      </c>
    </row>
    <row r="175" spans="1:5">
      <c r="A175">
        <v>33</v>
      </c>
      <c r="B175" t="s">
        <v>116</v>
      </c>
      <c r="C175" s="5">
        <v>1699.95</v>
      </c>
      <c r="D175" s="1" t="s">
        <v>116</v>
      </c>
      <c r="E175" s="2">
        <v>1699.95</v>
      </c>
    </row>
    <row r="176" spans="1:5">
      <c r="A176">
        <v>39</v>
      </c>
      <c r="B176" t="s">
        <v>119</v>
      </c>
      <c r="C176" s="5">
        <v>1699.95</v>
      </c>
      <c r="D176" s="1" t="s">
        <v>117</v>
      </c>
      <c r="E176" s="2">
        <v>1699.95</v>
      </c>
    </row>
    <row r="177" spans="1:5">
      <c r="A177">
        <v>44</v>
      </c>
      <c r="B177" t="s">
        <v>120</v>
      </c>
      <c r="C177" s="5">
        <v>3399.9</v>
      </c>
      <c r="D177" s="1" t="s">
        <v>119</v>
      </c>
      <c r="E177" s="2">
        <v>1699.95</v>
      </c>
    </row>
    <row r="178" spans="1:5">
      <c r="A178">
        <v>45</v>
      </c>
      <c r="B178" t="s">
        <v>233</v>
      </c>
      <c r="C178" s="5">
        <v>3399.9</v>
      </c>
      <c r="D178" s="1" t="s">
        <v>120</v>
      </c>
      <c r="E178" s="2">
        <v>3399.9</v>
      </c>
    </row>
    <row r="179" spans="1:5">
      <c r="A179">
        <v>48</v>
      </c>
      <c r="B179" t="s">
        <v>121</v>
      </c>
      <c r="C179" s="5">
        <v>3399.9</v>
      </c>
      <c r="D179" s="1" t="s">
        <v>233</v>
      </c>
      <c r="E179" s="2">
        <v>3399.9</v>
      </c>
    </row>
    <row r="180" spans="1:5">
      <c r="A180">
        <v>50</v>
      </c>
      <c r="B180" t="s">
        <v>122</v>
      </c>
      <c r="C180" s="5">
        <v>1699.95</v>
      </c>
      <c r="D180" s="1" t="s">
        <v>121</v>
      </c>
      <c r="E180" s="2">
        <v>3399.9</v>
      </c>
    </row>
    <row r="181" spans="1:5">
      <c r="A181">
        <v>6</v>
      </c>
      <c r="B181" t="s">
        <v>123</v>
      </c>
      <c r="C181" s="5">
        <v>1699.95</v>
      </c>
      <c r="D181" s="1" t="s">
        <v>122</v>
      </c>
      <c r="E181" s="2">
        <v>1699.95</v>
      </c>
    </row>
    <row r="182" spans="1:5">
      <c r="A182">
        <v>12</v>
      </c>
      <c r="B182" t="s">
        <v>124</v>
      </c>
      <c r="C182" s="5">
        <v>1699.95</v>
      </c>
      <c r="D182" s="1" t="s">
        <v>123</v>
      </c>
      <c r="E182" s="2">
        <v>1699.95</v>
      </c>
    </row>
    <row r="183" spans="1:5">
      <c r="A183">
        <v>17</v>
      </c>
      <c r="B183" t="s">
        <v>125</v>
      </c>
      <c r="C183" s="5">
        <v>3399.9</v>
      </c>
      <c r="D183" s="1" t="s">
        <v>124</v>
      </c>
      <c r="E183" s="2">
        <v>1699.95</v>
      </c>
    </row>
    <row r="184" spans="1:5">
      <c r="A184">
        <v>18</v>
      </c>
      <c r="B184" t="s">
        <v>234</v>
      </c>
      <c r="C184" s="5">
        <v>3399.95</v>
      </c>
      <c r="D184" s="1" t="s">
        <v>125</v>
      </c>
      <c r="E184" s="2">
        <v>3399.9</v>
      </c>
    </row>
    <row r="185" spans="1:5">
      <c r="A185">
        <v>21</v>
      </c>
      <c r="B185" t="s">
        <v>235</v>
      </c>
      <c r="C185" s="5">
        <v>1699.95</v>
      </c>
      <c r="D185" s="1" t="s">
        <v>234</v>
      </c>
      <c r="E185" s="2">
        <v>3399.95</v>
      </c>
    </row>
    <row r="186" spans="1:5">
      <c r="A186">
        <v>22</v>
      </c>
      <c r="B186" t="s">
        <v>126</v>
      </c>
      <c r="C186" s="5">
        <v>1699.95</v>
      </c>
      <c r="D186" s="1" t="s">
        <v>235</v>
      </c>
      <c r="E186" s="2">
        <v>1699.95</v>
      </c>
    </row>
    <row r="187" spans="1:5">
      <c r="A187">
        <v>25</v>
      </c>
      <c r="B187" t="s">
        <v>127</v>
      </c>
      <c r="C187" s="5">
        <v>1699.95</v>
      </c>
      <c r="D187" s="1" t="s">
        <v>126</v>
      </c>
      <c r="E187" s="2">
        <v>1699.95</v>
      </c>
    </row>
    <row r="188" spans="1:5">
      <c r="A188">
        <v>26</v>
      </c>
      <c r="B188" t="s">
        <v>128</v>
      </c>
      <c r="C188" s="5">
        <v>1699.95</v>
      </c>
      <c r="D188" s="1" t="s">
        <v>127</v>
      </c>
      <c r="E188" s="2">
        <v>1699.95</v>
      </c>
    </row>
    <row r="189" spans="1:5">
      <c r="A189">
        <v>27</v>
      </c>
      <c r="B189" t="s">
        <v>236</v>
      </c>
      <c r="C189" s="5">
        <v>3399.95</v>
      </c>
      <c r="D189" s="1" t="s">
        <v>128</v>
      </c>
      <c r="E189" s="2">
        <v>1699.95</v>
      </c>
    </row>
    <row r="190" spans="1:5">
      <c r="A190">
        <v>29</v>
      </c>
      <c r="B190" t="s">
        <v>129</v>
      </c>
      <c r="C190" s="5">
        <v>1699.95</v>
      </c>
      <c r="D190" s="1" t="s">
        <v>236</v>
      </c>
      <c r="E190" s="2">
        <v>3399.95</v>
      </c>
    </row>
    <row r="191" spans="1:5">
      <c r="A191">
        <v>30</v>
      </c>
      <c r="B191" t="s">
        <v>172</v>
      </c>
      <c r="C191" s="5">
        <v>3399.9</v>
      </c>
      <c r="D191" s="1" t="s">
        <v>129</v>
      </c>
      <c r="E191" s="2">
        <v>1699.95</v>
      </c>
    </row>
    <row r="192" spans="1:5">
      <c r="A192">
        <v>31</v>
      </c>
      <c r="B192" t="s">
        <v>130</v>
      </c>
      <c r="C192" s="5">
        <v>1699.95</v>
      </c>
      <c r="D192" s="1" t="s">
        <v>172</v>
      </c>
      <c r="E192" s="2">
        <v>3399.9</v>
      </c>
    </row>
    <row r="193" spans="1:5">
      <c r="A193">
        <v>35</v>
      </c>
      <c r="B193" t="s">
        <v>131</v>
      </c>
      <c r="C193" s="5">
        <v>3399.9</v>
      </c>
      <c r="D193" s="1" t="s">
        <v>130</v>
      </c>
      <c r="E193" s="2">
        <v>1699.95</v>
      </c>
    </row>
    <row r="194" spans="1:5">
      <c r="A194">
        <v>38</v>
      </c>
      <c r="B194" t="s">
        <v>132</v>
      </c>
      <c r="C194" s="5">
        <v>1699.95</v>
      </c>
      <c r="D194" s="1" t="s">
        <v>131</v>
      </c>
      <c r="E194" s="2">
        <v>3399.9</v>
      </c>
    </row>
    <row r="195" spans="1:5">
      <c r="A195">
        <v>42</v>
      </c>
      <c r="B195" t="s">
        <v>133</v>
      </c>
      <c r="C195" s="5">
        <v>1699.95</v>
      </c>
      <c r="D195" s="1" t="s">
        <v>132</v>
      </c>
      <c r="E195" s="2">
        <v>1699.95</v>
      </c>
    </row>
    <row r="196" spans="1:5">
      <c r="A196">
        <v>44</v>
      </c>
      <c r="B196" t="s">
        <v>134</v>
      </c>
      <c r="C196" s="5">
        <v>1699.95</v>
      </c>
      <c r="D196" s="1" t="s">
        <v>133</v>
      </c>
      <c r="E196" s="2">
        <v>1699.95</v>
      </c>
    </row>
    <row r="197" spans="1:5">
      <c r="A197">
        <v>51</v>
      </c>
      <c r="B197" t="s">
        <v>135</v>
      </c>
      <c r="C197" s="5">
        <v>3399.9</v>
      </c>
      <c r="D197" s="1" t="s">
        <v>134</v>
      </c>
      <c r="E197" s="2">
        <v>1699.95</v>
      </c>
    </row>
    <row r="198" spans="1:5">
      <c r="A198">
        <v>53</v>
      </c>
      <c r="B198" t="s">
        <v>136</v>
      </c>
      <c r="C198" s="5">
        <v>1699.95</v>
      </c>
      <c r="D198" s="1" t="s">
        <v>135</v>
      </c>
      <c r="E198" s="2">
        <v>3399.9</v>
      </c>
    </row>
    <row r="199" spans="1:5">
      <c r="A199">
        <v>54</v>
      </c>
      <c r="B199" t="s">
        <v>137</v>
      </c>
      <c r="C199" s="5">
        <v>1699.95</v>
      </c>
      <c r="D199" s="1" t="s">
        <v>136</v>
      </c>
      <c r="E199" s="2">
        <v>1699.95</v>
      </c>
    </row>
    <row r="200" spans="1:5">
      <c r="A200">
        <v>55</v>
      </c>
      <c r="B200" t="s">
        <v>138</v>
      </c>
      <c r="C200" s="5">
        <v>3399.9</v>
      </c>
      <c r="D200" s="1" t="s">
        <v>137</v>
      </c>
      <c r="E200" s="2">
        <v>1699.95</v>
      </c>
    </row>
    <row r="201" spans="1:5">
      <c r="A201">
        <v>57</v>
      </c>
      <c r="B201" t="s">
        <v>237</v>
      </c>
      <c r="C201" s="5">
        <v>3399.95</v>
      </c>
      <c r="D201" s="1" t="s">
        <v>138</v>
      </c>
      <c r="E201" s="2">
        <v>3399.9</v>
      </c>
    </row>
    <row r="202" spans="1:5">
      <c r="A202">
        <v>61</v>
      </c>
      <c r="B202" t="s">
        <v>139</v>
      </c>
      <c r="C202" s="5">
        <v>1699.95</v>
      </c>
      <c r="D202" s="1" t="s">
        <v>237</v>
      </c>
      <c r="E202" s="2">
        <v>3399.95</v>
      </c>
    </row>
    <row r="203" spans="1:5">
      <c r="A203">
        <v>1</v>
      </c>
      <c r="B203" t="s">
        <v>260</v>
      </c>
      <c r="C203" s="5">
        <v>7479.78</v>
      </c>
      <c r="D203" s="1" t="s">
        <v>139</v>
      </c>
      <c r="E203" s="2">
        <v>1699.95</v>
      </c>
    </row>
    <row r="204" spans="1:5">
      <c r="A204">
        <v>4</v>
      </c>
      <c r="B204" t="s">
        <v>173</v>
      </c>
      <c r="C204" s="5">
        <v>3399.9</v>
      </c>
      <c r="D204" s="1" t="s">
        <v>260</v>
      </c>
      <c r="E204" s="2">
        <v>7479.78</v>
      </c>
    </row>
    <row r="205" spans="1:5">
      <c r="A205">
        <v>5</v>
      </c>
      <c r="B205" t="s">
        <v>183</v>
      </c>
      <c r="C205" s="5">
        <v>3399.9</v>
      </c>
      <c r="D205" s="1" t="s">
        <v>173</v>
      </c>
      <c r="E205" s="2">
        <v>3399.9</v>
      </c>
    </row>
    <row r="206" spans="1:5">
      <c r="A206">
        <v>10</v>
      </c>
      <c r="B206" t="s">
        <v>164</v>
      </c>
      <c r="C206" s="5">
        <v>3399.9</v>
      </c>
      <c r="D206" s="1" t="s">
        <v>183</v>
      </c>
      <c r="E206" s="2">
        <v>3399.9</v>
      </c>
    </row>
    <row r="207" spans="1:5">
      <c r="A207">
        <v>11</v>
      </c>
      <c r="B207" t="s">
        <v>140</v>
      </c>
      <c r="C207" s="5">
        <v>1699.95</v>
      </c>
      <c r="D207" s="1" t="s">
        <v>164</v>
      </c>
      <c r="E207" s="2">
        <v>3399.9</v>
      </c>
    </row>
    <row r="208" spans="1:5">
      <c r="A208">
        <v>14</v>
      </c>
      <c r="B208" t="s">
        <v>174</v>
      </c>
      <c r="C208" s="5">
        <v>3399.9</v>
      </c>
      <c r="D208" s="1" t="s">
        <v>140</v>
      </c>
      <c r="E208" s="2">
        <v>1699.95</v>
      </c>
    </row>
    <row r="209" spans="1:5">
      <c r="A209">
        <v>16</v>
      </c>
      <c r="B209" t="s">
        <v>141</v>
      </c>
      <c r="C209" s="5">
        <v>1699.95</v>
      </c>
      <c r="D209" s="1" t="s">
        <v>174</v>
      </c>
      <c r="E209" s="2">
        <v>3399.9</v>
      </c>
    </row>
    <row r="210" spans="1:5">
      <c r="A210">
        <v>17</v>
      </c>
      <c r="B210" t="s">
        <v>238</v>
      </c>
      <c r="C210" s="5">
        <v>3399.9</v>
      </c>
      <c r="D210" s="1" t="s">
        <v>141</v>
      </c>
      <c r="E210" s="2">
        <v>1699.95</v>
      </c>
    </row>
    <row r="211" spans="1:5">
      <c r="A211">
        <v>22</v>
      </c>
      <c r="B211" t="s">
        <v>239</v>
      </c>
      <c r="C211" s="5">
        <v>3399.9</v>
      </c>
      <c r="D211" s="1" t="s">
        <v>238</v>
      </c>
      <c r="E211" s="2">
        <v>3399.9</v>
      </c>
    </row>
    <row r="212" spans="1:5">
      <c r="A212">
        <v>24</v>
      </c>
      <c r="B212" t="s">
        <v>175</v>
      </c>
      <c r="C212" s="5">
        <v>3399.9</v>
      </c>
      <c r="D212" s="1" t="s">
        <v>239</v>
      </c>
      <c r="E212" s="2">
        <v>3399.9</v>
      </c>
    </row>
    <row r="213" spans="1:5">
      <c r="A213">
        <v>31</v>
      </c>
      <c r="B213" t="s">
        <v>240</v>
      </c>
      <c r="C213" s="5">
        <v>3399.9</v>
      </c>
      <c r="D213" s="1" t="s">
        <v>175</v>
      </c>
      <c r="E213" s="2">
        <v>3399.9</v>
      </c>
    </row>
    <row r="214" spans="1:5">
      <c r="A214">
        <v>36</v>
      </c>
      <c r="B214" t="s">
        <v>241</v>
      </c>
      <c r="C214" s="5">
        <v>3399.9</v>
      </c>
      <c r="D214" s="1" t="s">
        <v>240</v>
      </c>
      <c r="E214" s="2">
        <v>3399.9</v>
      </c>
    </row>
    <row r="215" spans="1:5">
      <c r="A215">
        <v>43</v>
      </c>
      <c r="B215" t="s">
        <v>142</v>
      </c>
      <c r="C215" s="5">
        <v>1699.95</v>
      </c>
      <c r="D215" s="1" t="s">
        <v>241</v>
      </c>
      <c r="E215" s="2">
        <v>3399.9</v>
      </c>
    </row>
    <row r="216" spans="1:5">
      <c r="A216">
        <v>48</v>
      </c>
      <c r="B216" t="s">
        <v>176</v>
      </c>
      <c r="C216" s="5">
        <v>3399.9</v>
      </c>
      <c r="D216" s="1" t="s">
        <v>142</v>
      </c>
      <c r="E216" s="2">
        <v>1699.95</v>
      </c>
    </row>
    <row r="217" spans="1:5">
      <c r="A217">
        <v>49</v>
      </c>
      <c r="B217" t="s">
        <v>177</v>
      </c>
      <c r="C217" s="5">
        <v>3399.9</v>
      </c>
      <c r="D217" s="1" t="s">
        <v>176</v>
      </c>
      <c r="E217" s="2">
        <v>3399.9</v>
      </c>
    </row>
    <row r="218" spans="1:5">
      <c r="A218">
        <v>51</v>
      </c>
      <c r="B218" t="s">
        <v>242</v>
      </c>
      <c r="C218" s="5">
        <v>3399.9</v>
      </c>
      <c r="D218" s="1" t="s">
        <v>177</v>
      </c>
      <c r="E218" s="2">
        <v>3399.9</v>
      </c>
    </row>
    <row r="219" spans="1:5">
      <c r="A219">
        <v>53</v>
      </c>
      <c r="B219" t="s">
        <v>165</v>
      </c>
      <c r="C219" s="5">
        <v>3399.9</v>
      </c>
      <c r="D219" s="1" t="s">
        <v>242</v>
      </c>
      <c r="E219" s="2">
        <v>3399.9</v>
      </c>
    </row>
    <row r="220" spans="1:5">
      <c r="A220">
        <v>55</v>
      </c>
      <c r="B220" t="s">
        <v>166</v>
      </c>
      <c r="C220" s="5">
        <v>3399.9</v>
      </c>
      <c r="D220" s="1" t="s">
        <v>165</v>
      </c>
      <c r="E220" s="2">
        <v>3399.9</v>
      </c>
    </row>
    <row r="221" spans="1:5">
      <c r="A221">
        <v>56</v>
      </c>
      <c r="B221" t="s">
        <v>178</v>
      </c>
      <c r="C221" s="5">
        <v>3399.9</v>
      </c>
      <c r="D221" s="1" t="s">
        <v>166</v>
      </c>
      <c r="E221" s="2">
        <v>3399.9</v>
      </c>
    </row>
    <row r="222" spans="1:5">
      <c r="A222">
        <v>68</v>
      </c>
      <c r="B222" t="s">
        <v>243</v>
      </c>
      <c r="C222" s="5">
        <v>3399.9</v>
      </c>
      <c r="D222" s="1" t="s">
        <v>178</v>
      </c>
      <c r="E222" s="2">
        <v>3399.9</v>
      </c>
    </row>
    <row r="223" spans="1:5">
      <c r="A223">
        <v>1</v>
      </c>
      <c r="B223" t="s">
        <v>143</v>
      </c>
      <c r="C223" s="5">
        <v>10199.700000000001</v>
      </c>
      <c r="D223" s="1" t="s">
        <v>243</v>
      </c>
      <c r="E223" s="2">
        <v>3399.9</v>
      </c>
    </row>
    <row r="224" spans="1:5">
      <c r="A224">
        <v>3</v>
      </c>
      <c r="B224" t="s">
        <v>144</v>
      </c>
      <c r="C224" s="5">
        <v>3739.89</v>
      </c>
      <c r="D224" s="1" t="s">
        <v>143</v>
      </c>
      <c r="E224" s="2">
        <v>10199.700000000001</v>
      </c>
    </row>
    <row r="225" spans="1:5">
      <c r="A225">
        <v>4</v>
      </c>
      <c r="B225" t="s">
        <v>145</v>
      </c>
      <c r="C225" s="5">
        <v>3739.89</v>
      </c>
      <c r="D225" s="1" t="s">
        <v>144</v>
      </c>
      <c r="E225" s="2">
        <v>3739.89</v>
      </c>
    </row>
    <row r="226" spans="1:5">
      <c r="A226">
        <v>5</v>
      </c>
      <c r="B226" t="s">
        <v>146</v>
      </c>
      <c r="C226" s="5">
        <v>1699.95</v>
      </c>
      <c r="D226" s="1" t="s">
        <v>145</v>
      </c>
      <c r="E226" s="2">
        <v>3739.89</v>
      </c>
    </row>
    <row r="227" spans="1:5">
      <c r="A227">
        <v>7</v>
      </c>
      <c r="B227" t="s">
        <v>244</v>
      </c>
      <c r="C227" s="5">
        <v>7479.78</v>
      </c>
      <c r="D227" s="1" t="s">
        <v>146</v>
      </c>
      <c r="E227" s="2">
        <v>1699.95</v>
      </c>
    </row>
    <row r="228" spans="1:5">
      <c r="A228">
        <v>8</v>
      </c>
      <c r="B228" t="s">
        <v>147</v>
      </c>
      <c r="C228" s="5">
        <v>3739.89</v>
      </c>
      <c r="D228" s="1" t="s">
        <v>244</v>
      </c>
      <c r="E228" s="2">
        <v>7479.78</v>
      </c>
    </row>
    <row r="229" spans="1:5">
      <c r="A229">
        <v>9</v>
      </c>
      <c r="B229" t="s">
        <v>148</v>
      </c>
      <c r="C229" s="5">
        <v>3739.89</v>
      </c>
      <c r="D229" s="1" t="s">
        <v>147</v>
      </c>
      <c r="E229" s="2">
        <v>3739.89</v>
      </c>
    </row>
    <row r="230" spans="1:5">
      <c r="A230">
        <v>13</v>
      </c>
      <c r="B230" t="s">
        <v>149</v>
      </c>
      <c r="C230" s="5">
        <v>1699.95</v>
      </c>
      <c r="D230" s="1" t="s">
        <v>148</v>
      </c>
      <c r="E230" s="2">
        <v>3739.89</v>
      </c>
    </row>
    <row r="231" spans="1:5">
      <c r="A231">
        <v>15</v>
      </c>
      <c r="B231" t="s">
        <v>261</v>
      </c>
      <c r="C231" s="5">
        <v>7479.78</v>
      </c>
      <c r="D231" s="1" t="s">
        <v>149</v>
      </c>
      <c r="E231" s="2">
        <v>1699.95</v>
      </c>
    </row>
    <row r="232" spans="1:5">
      <c r="A232">
        <v>16</v>
      </c>
      <c r="B232" t="s">
        <v>150</v>
      </c>
      <c r="C232" s="5">
        <v>1699.95</v>
      </c>
      <c r="D232" s="1" t="s">
        <v>261</v>
      </c>
      <c r="E232" s="2">
        <v>7479.78</v>
      </c>
    </row>
    <row r="233" spans="1:5">
      <c r="A233">
        <v>17</v>
      </c>
      <c r="B233" t="s">
        <v>151</v>
      </c>
      <c r="C233" s="5">
        <v>1699.95</v>
      </c>
      <c r="D233" s="1" t="s">
        <v>150</v>
      </c>
      <c r="E233" s="2">
        <v>1699.95</v>
      </c>
    </row>
    <row r="234" spans="1:5">
      <c r="A234">
        <v>2</v>
      </c>
      <c r="B234" t="s">
        <v>245</v>
      </c>
      <c r="C234" s="5">
        <v>7479.78</v>
      </c>
      <c r="D234" s="1" t="s">
        <v>151</v>
      </c>
      <c r="E234" s="2">
        <v>1699.95</v>
      </c>
    </row>
    <row r="235" spans="1:5">
      <c r="A235">
        <v>3</v>
      </c>
      <c r="B235" t="s">
        <v>152</v>
      </c>
      <c r="C235" s="5">
        <v>3739.89</v>
      </c>
      <c r="D235" s="1" t="s">
        <v>245</v>
      </c>
      <c r="E235" s="2">
        <v>7479.78</v>
      </c>
    </row>
    <row r="236" spans="1:5">
      <c r="A236">
        <v>4</v>
      </c>
      <c r="B236" t="s">
        <v>153</v>
      </c>
      <c r="C236" s="5">
        <v>3739.89</v>
      </c>
      <c r="D236" s="1" t="s">
        <v>152</v>
      </c>
      <c r="E236" s="2">
        <v>3739.89</v>
      </c>
    </row>
    <row r="237" spans="1:5">
      <c r="A237">
        <v>6</v>
      </c>
      <c r="B237" t="s">
        <v>246</v>
      </c>
      <c r="C237" s="5">
        <v>7479.78</v>
      </c>
      <c r="D237" s="1" t="s">
        <v>153</v>
      </c>
      <c r="E237" s="2">
        <v>3739.89</v>
      </c>
    </row>
    <row r="238" spans="1:5">
      <c r="A238">
        <v>8</v>
      </c>
      <c r="B238" t="s">
        <v>154</v>
      </c>
      <c r="C238" s="5">
        <v>3739.89</v>
      </c>
      <c r="D238" s="1" t="s">
        <v>246</v>
      </c>
      <c r="E238" s="2">
        <v>7479.78</v>
      </c>
    </row>
    <row r="239" spans="1:5">
      <c r="A239">
        <v>9</v>
      </c>
      <c r="B239" t="s">
        <v>247</v>
      </c>
      <c r="C239" s="5">
        <v>7479.78</v>
      </c>
      <c r="D239" s="1" t="s">
        <v>154</v>
      </c>
      <c r="E239" s="2">
        <v>3739.89</v>
      </c>
    </row>
    <row r="240" spans="1:5">
      <c r="A240">
        <v>11</v>
      </c>
      <c r="B240" t="s">
        <v>155</v>
      </c>
      <c r="C240" s="5">
        <v>3739.89</v>
      </c>
      <c r="D240" s="1" t="s">
        <v>247</v>
      </c>
      <c r="E240" s="2">
        <v>7479.78</v>
      </c>
    </row>
    <row r="241" spans="1:5">
      <c r="A241">
        <v>16</v>
      </c>
      <c r="B241" t="s">
        <v>248</v>
      </c>
      <c r="C241" s="5">
        <v>7479.78</v>
      </c>
      <c r="D241" s="1" t="s">
        <v>155</v>
      </c>
      <c r="E241" s="2">
        <v>3739.89</v>
      </c>
    </row>
    <row r="242" spans="1:5">
      <c r="A242">
        <v>17</v>
      </c>
      <c r="B242" t="s">
        <v>249</v>
      </c>
      <c r="C242" s="5">
        <v>7479.78</v>
      </c>
      <c r="D242" s="10" t="s">
        <v>248</v>
      </c>
      <c r="E242" s="2">
        <v>7479.78</v>
      </c>
    </row>
    <row r="243" spans="1:5">
      <c r="A243">
        <v>18</v>
      </c>
      <c r="B243" t="s">
        <v>250</v>
      </c>
      <c r="C243" s="5">
        <v>7479.78</v>
      </c>
      <c r="D243" s="1" t="s">
        <v>249</v>
      </c>
      <c r="E243" s="2">
        <v>7479.78</v>
      </c>
    </row>
    <row r="244" spans="1:5">
      <c r="A244">
        <v>21</v>
      </c>
      <c r="B244" t="s">
        <v>156</v>
      </c>
      <c r="C244" s="5">
        <v>7479.78</v>
      </c>
      <c r="D244" s="1" t="s">
        <v>250</v>
      </c>
      <c r="E244" s="2">
        <v>7479.78</v>
      </c>
    </row>
    <row r="245" spans="1:5">
      <c r="A245">
        <v>22</v>
      </c>
      <c r="B245" t="s">
        <v>157</v>
      </c>
      <c r="C245" s="5">
        <v>3399.9</v>
      </c>
      <c r="D245" s="1" t="s">
        <v>156</v>
      </c>
      <c r="E245" s="2">
        <v>7479.78</v>
      </c>
    </row>
    <row r="246" spans="1:5">
      <c r="A246">
        <v>26</v>
      </c>
      <c r="B246" t="s">
        <v>251</v>
      </c>
      <c r="C246" s="5">
        <v>7479.78</v>
      </c>
      <c r="D246" s="1" t="s">
        <v>157</v>
      </c>
      <c r="E246" s="2">
        <v>3399.9</v>
      </c>
    </row>
    <row r="247" spans="1:5">
      <c r="A247">
        <v>30</v>
      </c>
      <c r="B247" t="s">
        <v>158</v>
      </c>
      <c r="C247" s="5">
        <v>1699.95</v>
      </c>
      <c r="D247" s="1" t="s">
        <v>251</v>
      </c>
      <c r="E247" s="2">
        <v>7479.78</v>
      </c>
    </row>
    <row r="248" spans="1:5">
      <c r="A248">
        <v>5</v>
      </c>
      <c r="B248" t="s">
        <v>253</v>
      </c>
      <c r="C248" s="5">
        <v>7479.78</v>
      </c>
      <c r="D248" s="1" t="s">
        <v>158</v>
      </c>
      <c r="E248" s="2">
        <v>1699.95</v>
      </c>
    </row>
    <row r="249" spans="1:5" ht="23.25">
      <c r="A249">
        <v>6</v>
      </c>
      <c r="B249" t="s">
        <v>159</v>
      </c>
      <c r="C249" s="5">
        <v>3739.89</v>
      </c>
      <c r="D249" s="1" t="s">
        <v>252</v>
      </c>
      <c r="E249" s="11">
        <v>11333</v>
      </c>
    </row>
    <row r="250" spans="1:5">
      <c r="A250">
        <v>9</v>
      </c>
      <c r="B250" t="s">
        <v>254</v>
      </c>
      <c r="C250" s="5">
        <v>3399.9</v>
      </c>
      <c r="D250" s="1" t="s">
        <v>253</v>
      </c>
      <c r="E250" s="11">
        <v>7479.78</v>
      </c>
    </row>
    <row r="251" spans="1:5">
      <c r="A251">
        <v>10</v>
      </c>
      <c r="B251" t="s">
        <v>255</v>
      </c>
      <c r="C251" s="5">
        <v>3399.9</v>
      </c>
      <c r="D251" s="1" t="s">
        <v>159</v>
      </c>
      <c r="E251" s="11">
        <v>3739.89</v>
      </c>
    </row>
    <row r="252" spans="1:5">
      <c r="A252">
        <v>1</v>
      </c>
      <c r="B252" t="s">
        <v>160</v>
      </c>
      <c r="C252" s="5">
        <v>10199.700000000001</v>
      </c>
      <c r="D252" s="1" t="s">
        <v>254</v>
      </c>
      <c r="E252" s="11">
        <v>3399.9</v>
      </c>
    </row>
    <row r="253" spans="1:5">
      <c r="A253">
        <v>3</v>
      </c>
      <c r="B253" t="s">
        <v>256</v>
      </c>
      <c r="C253" s="5">
        <v>7479.78</v>
      </c>
      <c r="D253" s="1" t="s">
        <v>255</v>
      </c>
      <c r="E253" s="11">
        <v>3399.9</v>
      </c>
    </row>
    <row r="254" spans="1:5">
      <c r="A254">
        <v>4</v>
      </c>
      <c r="B254" t="s">
        <v>257</v>
      </c>
      <c r="C254" s="5">
        <v>7479.78</v>
      </c>
      <c r="D254" s="1" t="s">
        <v>160</v>
      </c>
      <c r="E254" s="2">
        <v>10199.700000000001</v>
      </c>
    </row>
    <row r="255" spans="1:5">
      <c r="A255">
        <v>6</v>
      </c>
      <c r="B255" t="s">
        <v>161</v>
      </c>
      <c r="C255" s="5">
        <v>3399.9</v>
      </c>
      <c r="D255" s="1" t="s">
        <v>256</v>
      </c>
      <c r="E255" s="2">
        <v>7479.78</v>
      </c>
    </row>
    <row r="256" spans="1:5">
      <c r="A256">
        <v>7</v>
      </c>
      <c r="B256" t="s">
        <v>162</v>
      </c>
      <c r="C256" s="5">
        <v>1699.95</v>
      </c>
      <c r="D256" s="1" t="s">
        <v>257</v>
      </c>
      <c r="E256" s="2">
        <v>7479.78</v>
      </c>
    </row>
    <row r="257" spans="1:5">
      <c r="C257" s="5">
        <f>SUM(C1:C256)</f>
        <v>1267719.5399999977</v>
      </c>
      <c r="D257" s="1" t="s">
        <v>161</v>
      </c>
      <c r="E257" s="2">
        <v>3399.9</v>
      </c>
    </row>
    <row r="258" spans="1:5">
      <c r="D258" s="1" t="s">
        <v>162</v>
      </c>
      <c r="E258" s="2">
        <v>1699.95</v>
      </c>
    </row>
    <row r="259" spans="1:5">
      <c r="D259" s="1" t="s">
        <v>300</v>
      </c>
      <c r="E259" s="2">
        <v>7479.78</v>
      </c>
    </row>
    <row r="260" spans="1:5">
      <c r="A260" t="s">
        <v>306</v>
      </c>
      <c r="E260" s="3">
        <f>SUM(E1:E259)</f>
        <v>1283476.8799999978</v>
      </c>
    </row>
    <row r="261" spans="1:5">
      <c r="A261" t="s">
        <v>334</v>
      </c>
    </row>
    <row r="262" spans="1:5">
      <c r="A262" t="s">
        <v>335</v>
      </c>
    </row>
    <row r="263" spans="1:5">
      <c r="A263" t="s">
        <v>336</v>
      </c>
      <c r="B263" t="s">
        <v>337</v>
      </c>
      <c r="C263" s="5" t="s">
        <v>2</v>
      </c>
      <c r="E263" s="7"/>
    </row>
    <row r="264" spans="1:5">
      <c r="A264">
        <v>1</v>
      </c>
      <c r="B264" t="s">
        <v>338</v>
      </c>
      <c r="C264" s="5">
        <v>120356.46</v>
      </c>
    </row>
    <row r="265" spans="1:5">
      <c r="A265">
        <v>2</v>
      </c>
      <c r="B265" t="s">
        <v>307</v>
      </c>
      <c r="C265" s="5">
        <v>105396.9</v>
      </c>
    </row>
    <row r="266" spans="1:5" ht="60">
      <c r="A266">
        <v>3</v>
      </c>
      <c r="B266" t="s">
        <v>339</v>
      </c>
      <c r="C266" s="5">
        <v>92817.27</v>
      </c>
      <c r="D266" s="12" t="s">
        <v>1</v>
      </c>
      <c r="E266" s="13" t="s">
        <v>263</v>
      </c>
    </row>
    <row r="267" spans="1:5">
      <c r="A267">
        <v>4</v>
      </c>
      <c r="B267" t="s">
        <v>340</v>
      </c>
      <c r="C267" s="5">
        <v>71057.91</v>
      </c>
      <c r="D267" t="s">
        <v>262</v>
      </c>
      <c r="E267" s="14" t="s">
        <v>274</v>
      </c>
    </row>
    <row r="268" spans="1:5">
      <c r="A268">
        <v>5</v>
      </c>
      <c r="B268" t="s">
        <v>341</v>
      </c>
      <c r="C268" s="5">
        <v>3399.9</v>
      </c>
      <c r="D268" t="s">
        <v>264</v>
      </c>
      <c r="E268" s="14" t="s">
        <v>275</v>
      </c>
    </row>
    <row r="269" spans="1:5">
      <c r="A269">
        <v>6</v>
      </c>
      <c r="B269" t="s">
        <v>342</v>
      </c>
      <c r="C269" s="5">
        <v>115483.26999999996</v>
      </c>
      <c r="D269" t="s">
        <v>265</v>
      </c>
      <c r="E269" s="14" t="s">
        <v>276</v>
      </c>
    </row>
    <row r="270" spans="1:5">
      <c r="A270">
        <v>7</v>
      </c>
      <c r="B270" t="s">
        <v>343</v>
      </c>
      <c r="C270" s="5">
        <v>102335.53999999998</v>
      </c>
      <c r="D270" t="s">
        <v>266</v>
      </c>
      <c r="E270" s="14" t="s">
        <v>277</v>
      </c>
    </row>
    <row r="271" spans="1:5">
      <c r="A271">
        <v>8</v>
      </c>
      <c r="B271" t="s">
        <v>344</v>
      </c>
      <c r="C271" s="5">
        <v>59498.249999999993</v>
      </c>
      <c r="D271" t="s">
        <v>268</v>
      </c>
      <c r="E271" s="4" t="s">
        <v>267</v>
      </c>
    </row>
    <row r="272" spans="1:5">
      <c r="A272">
        <v>9</v>
      </c>
      <c r="B272" t="s">
        <v>345</v>
      </c>
      <c r="C272" s="5">
        <v>50998.649999999994</v>
      </c>
      <c r="D272" t="s">
        <v>269</v>
      </c>
      <c r="E272" s="14" t="s">
        <v>273</v>
      </c>
    </row>
    <row r="273" spans="1:5">
      <c r="A273">
        <v>10</v>
      </c>
      <c r="B273" t="s">
        <v>331</v>
      </c>
      <c r="C273" s="5">
        <v>46918.619999999988</v>
      </c>
      <c r="D273" t="s">
        <v>270</v>
      </c>
      <c r="E273" s="14" t="s">
        <v>273</v>
      </c>
    </row>
    <row r="274" spans="1:5">
      <c r="A274">
        <v>11</v>
      </c>
      <c r="B274" t="s">
        <v>346</v>
      </c>
      <c r="C274" s="5">
        <v>79897.649999999994</v>
      </c>
      <c r="D274" t="s">
        <v>278</v>
      </c>
      <c r="E274" s="4" t="s">
        <v>272</v>
      </c>
    </row>
    <row r="275" spans="1:5">
      <c r="A275">
        <v>12</v>
      </c>
      <c r="B275" t="s">
        <v>347</v>
      </c>
      <c r="C275" s="5">
        <v>66978.030000000013</v>
      </c>
      <c r="D275" t="s">
        <v>279</v>
      </c>
      <c r="E275" s="14" t="s">
        <v>271</v>
      </c>
    </row>
    <row r="276" spans="1:5">
      <c r="A276">
        <v>13</v>
      </c>
      <c r="B276" t="s">
        <v>333</v>
      </c>
      <c r="C276" s="5">
        <v>0</v>
      </c>
      <c r="D276" t="s">
        <v>280</v>
      </c>
      <c r="E276" s="4" t="s">
        <v>267</v>
      </c>
    </row>
    <row r="277" spans="1:5">
      <c r="A277">
        <v>14</v>
      </c>
      <c r="B277" t="s">
        <v>348</v>
      </c>
      <c r="C277" s="5">
        <v>86017.469999999987</v>
      </c>
      <c r="D277" t="s">
        <v>281</v>
      </c>
      <c r="E277" s="4" t="s">
        <v>267</v>
      </c>
    </row>
    <row r="278" spans="1:5">
      <c r="A278">
        <v>15</v>
      </c>
      <c r="B278" t="s">
        <v>349</v>
      </c>
      <c r="C278" s="5">
        <v>32086.61</v>
      </c>
      <c r="D278" t="s">
        <v>282</v>
      </c>
      <c r="E278" s="4" t="s">
        <v>283</v>
      </c>
    </row>
    <row r="279" spans="1:5">
      <c r="A279">
        <v>16</v>
      </c>
      <c r="B279" t="s">
        <v>350</v>
      </c>
      <c r="C279" s="5">
        <v>78537.689999999988</v>
      </c>
      <c r="D279" t="s">
        <v>285</v>
      </c>
      <c r="E279" s="4" t="s">
        <v>284</v>
      </c>
    </row>
    <row r="280" spans="1:5">
      <c r="A280">
        <v>17</v>
      </c>
      <c r="B280" t="s">
        <v>351</v>
      </c>
      <c r="C280" s="5">
        <v>56891.659999999996</v>
      </c>
      <c r="D280" t="s">
        <v>286</v>
      </c>
      <c r="E280" s="4" t="s">
        <v>284</v>
      </c>
    </row>
    <row r="281" spans="1:5">
      <c r="A281">
        <v>18</v>
      </c>
      <c r="B281" t="s">
        <v>332</v>
      </c>
      <c r="C281" s="5">
        <v>18019.47</v>
      </c>
      <c r="D281" t="s">
        <v>287</v>
      </c>
      <c r="E281" s="4" t="s">
        <v>288</v>
      </c>
    </row>
    <row r="282" spans="1:5">
      <c r="A282">
        <v>19</v>
      </c>
      <c r="B282" t="s">
        <v>352</v>
      </c>
      <c r="C282" s="5">
        <v>21756.600000000002</v>
      </c>
      <c r="D282" t="s">
        <v>290</v>
      </c>
      <c r="E282" s="4" t="s">
        <v>291</v>
      </c>
    </row>
    <row r="283" spans="1:5">
      <c r="A283">
        <v>20</v>
      </c>
      <c r="B283" t="s">
        <v>353</v>
      </c>
      <c r="C283" s="5">
        <v>10199.700000000001</v>
      </c>
      <c r="D283" t="s">
        <v>292</v>
      </c>
      <c r="E283" s="4" t="s">
        <v>296</v>
      </c>
    </row>
    <row r="284" spans="1:5">
      <c r="A284">
        <v>21</v>
      </c>
      <c r="B284" t="s">
        <v>354</v>
      </c>
      <c r="C284" s="5">
        <v>18812.78</v>
      </c>
      <c r="D284" t="s">
        <v>293</v>
      </c>
      <c r="E284" s="4" t="s">
        <v>297</v>
      </c>
    </row>
    <row r="285" spans="1:5">
      <c r="A285">
        <v>22</v>
      </c>
      <c r="B285" t="s">
        <v>355</v>
      </c>
      <c r="C285" s="5">
        <v>30259.11</v>
      </c>
      <c r="D285" t="s">
        <v>294</v>
      </c>
      <c r="E285" s="4" t="s">
        <v>296</v>
      </c>
    </row>
    <row r="286" spans="1:5">
      <c r="B286" t="s">
        <v>163</v>
      </c>
      <c r="C286" s="5">
        <v>1267719.54</v>
      </c>
      <c r="D286" t="s">
        <v>295</v>
      </c>
      <c r="E286" s="4" t="s">
        <v>296</v>
      </c>
    </row>
    <row r="300" spans="1:2">
      <c r="A300" t="s">
        <v>0</v>
      </c>
      <c r="B300" t="s">
        <v>356</v>
      </c>
    </row>
    <row r="301" spans="1:2">
      <c r="A301">
        <v>1</v>
      </c>
      <c r="B301" t="e">
        <v>#REF!</v>
      </c>
    </row>
    <row r="302" spans="1:2">
      <c r="A302">
        <v>2</v>
      </c>
      <c r="B302">
        <v>15</v>
      </c>
    </row>
    <row r="303" spans="1:2">
      <c r="B303" t="s">
        <v>357</v>
      </c>
    </row>
    <row r="304" spans="1:2">
      <c r="A304">
        <v>3</v>
      </c>
      <c r="B304" t="e">
        <v>#REF!</v>
      </c>
    </row>
    <row r="305" spans="1:2">
      <c r="A305">
        <v>4</v>
      </c>
      <c r="B305" t="e">
        <v>#REF!</v>
      </c>
    </row>
    <row r="306" spans="1:2">
      <c r="A306">
        <v>5</v>
      </c>
      <c r="B306" t="e">
        <v>#REF!</v>
      </c>
    </row>
    <row r="307" spans="1:2">
      <c r="A307">
        <v>6</v>
      </c>
      <c r="B307">
        <v>19</v>
      </c>
    </row>
    <row r="308" spans="1:2">
      <c r="A308">
        <v>7</v>
      </c>
      <c r="B308" t="e">
        <v>#REF!</v>
      </c>
    </row>
    <row r="309" spans="1:2">
      <c r="A309">
        <v>8</v>
      </c>
      <c r="B309" t="e">
        <v>#REF!</v>
      </c>
    </row>
    <row r="310" spans="1:2">
      <c r="A310">
        <v>9</v>
      </c>
      <c r="B310" t="e">
        <v>#REF!</v>
      </c>
    </row>
    <row r="311" spans="1:2">
      <c r="A311">
        <v>10</v>
      </c>
      <c r="B311" t="e">
        <v>#REF!</v>
      </c>
    </row>
    <row r="312" spans="1:2">
      <c r="A312">
        <v>11</v>
      </c>
      <c r="B312" t="e">
        <v>#REF!</v>
      </c>
    </row>
    <row r="313" spans="1:2">
      <c r="A313">
        <v>12</v>
      </c>
      <c r="B313" t="e">
        <v>#REF!</v>
      </c>
    </row>
    <row r="314" spans="1:2">
      <c r="A314">
        <v>13</v>
      </c>
      <c r="B314" t="e">
        <v>#REF!</v>
      </c>
    </row>
    <row r="315" spans="1:2">
      <c r="A315">
        <v>14</v>
      </c>
      <c r="B315">
        <v>15</v>
      </c>
    </row>
    <row r="316" spans="1:2">
      <c r="A316">
        <v>15</v>
      </c>
      <c r="B316">
        <v>15</v>
      </c>
    </row>
    <row r="317" spans="1:2">
      <c r="A317">
        <v>16</v>
      </c>
      <c r="B317">
        <v>0</v>
      </c>
    </row>
    <row r="318" spans="1:2">
      <c r="A318">
        <v>17</v>
      </c>
      <c r="B318">
        <v>0</v>
      </c>
    </row>
    <row r="319" spans="1:2">
      <c r="A319">
        <v>18</v>
      </c>
      <c r="B319" t="s">
        <v>358</v>
      </c>
    </row>
    <row r="320" spans="1:2">
      <c r="A320">
        <v>19</v>
      </c>
      <c r="B320">
        <v>15</v>
      </c>
    </row>
    <row r="325" spans="2:2">
      <c r="B325" t="s">
        <v>356</v>
      </c>
    </row>
    <row r="326" spans="2:2">
      <c r="B326" t="s">
        <v>359</v>
      </c>
    </row>
    <row r="327" spans="2:2">
      <c r="B327" t="s">
        <v>360</v>
      </c>
    </row>
    <row r="328" spans="2:2">
      <c r="B328" t="s">
        <v>357</v>
      </c>
    </row>
    <row r="329" spans="2:2">
      <c r="B329" t="s">
        <v>361</v>
      </c>
    </row>
    <row r="330" spans="2:2">
      <c r="B330" t="s">
        <v>362</v>
      </c>
    </row>
    <row r="331" spans="2:2">
      <c r="B331" t="s">
        <v>363</v>
      </c>
    </row>
    <row r="332" spans="2:2">
      <c r="B332" t="s">
        <v>364</v>
      </c>
    </row>
    <row r="333" spans="2:2">
      <c r="B333" t="s">
        <v>365</v>
      </c>
    </row>
    <row r="334" spans="2:2">
      <c r="B334" t="s">
        <v>366</v>
      </c>
    </row>
    <row r="335" spans="2:2">
      <c r="B335" t="s">
        <v>367</v>
      </c>
    </row>
    <row r="336" spans="2:2">
      <c r="B336" t="s">
        <v>368</v>
      </c>
    </row>
    <row r="337" spans="2:2">
      <c r="B337" t="s">
        <v>369</v>
      </c>
    </row>
    <row r="338" spans="2:2">
      <c r="B338" t="s">
        <v>370</v>
      </c>
    </row>
    <row r="339" spans="2:2">
      <c r="B339" t="s">
        <v>371</v>
      </c>
    </row>
    <row r="340" spans="2:2">
      <c r="B340" t="s">
        <v>372</v>
      </c>
    </row>
    <row r="341" spans="2:2">
      <c r="B341" t="s">
        <v>373</v>
      </c>
    </row>
    <row r="342" spans="2:2">
      <c r="B342" t="s">
        <v>374</v>
      </c>
    </row>
    <row r="343" spans="2:2">
      <c r="B343" t="s">
        <v>375</v>
      </c>
    </row>
    <row r="344" spans="2:2">
      <c r="B344" t="s">
        <v>376</v>
      </c>
    </row>
    <row r="345" spans="2:2">
      <c r="B345" t="s">
        <v>377</v>
      </c>
    </row>
    <row r="351" spans="2:2">
      <c r="B351" t="s">
        <v>356</v>
      </c>
    </row>
    <row r="352" spans="2:2">
      <c r="B352" t="s">
        <v>359</v>
      </c>
    </row>
    <row r="353" spans="2:2">
      <c r="B353" t="s">
        <v>360</v>
      </c>
    </row>
    <row r="354" spans="2:2">
      <c r="B354" t="s">
        <v>357</v>
      </c>
    </row>
    <row r="355" spans="2:2">
      <c r="B355" t="s">
        <v>361</v>
      </c>
    </row>
    <row r="356" spans="2:2">
      <c r="B356" t="s">
        <v>362</v>
      </c>
    </row>
    <row r="357" spans="2:2">
      <c r="B357" t="s">
        <v>363</v>
      </c>
    </row>
    <row r="358" spans="2:2">
      <c r="B358" t="s">
        <v>364</v>
      </c>
    </row>
    <row r="359" spans="2:2">
      <c r="B359" t="s">
        <v>365</v>
      </c>
    </row>
    <row r="360" spans="2:2">
      <c r="B360" t="s">
        <v>366</v>
      </c>
    </row>
    <row r="361" spans="2:2">
      <c r="B361" t="s">
        <v>367</v>
      </c>
    </row>
    <row r="362" spans="2:2">
      <c r="B362" t="s">
        <v>368</v>
      </c>
    </row>
    <row r="363" spans="2:2">
      <c r="B363" t="s">
        <v>369</v>
      </c>
    </row>
    <row r="364" spans="2:2">
      <c r="B364" t="s">
        <v>370</v>
      </c>
    </row>
    <row r="365" spans="2:2">
      <c r="B365" t="s">
        <v>371</v>
      </c>
    </row>
    <row r="366" spans="2:2">
      <c r="B366" t="s">
        <v>372</v>
      </c>
    </row>
    <row r="367" spans="2:2">
      <c r="B367" t="s">
        <v>373</v>
      </c>
    </row>
    <row r="368" spans="2:2">
      <c r="B368" t="s">
        <v>374</v>
      </c>
    </row>
    <row r="369" spans="2:2">
      <c r="B369" t="s">
        <v>375</v>
      </c>
    </row>
    <row r="370" spans="2:2">
      <c r="B370" t="s">
        <v>376</v>
      </c>
    </row>
    <row r="371" spans="2:2">
      <c r="B371" t="s">
        <v>377</v>
      </c>
    </row>
    <row r="389" spans="1:2">
      <c r="A389">
        <v>1</v>
      </c>
      <c r="B389" t="s">
        <v>38</v>
      </c>
    </row>
    <row r="390" spans="1:2">
      <c r="A390">
        <v>2</v>
      </c>
      <c r="B390" t="s">
        <v>39</v>
      </c>
    </row>
    <row r="391" spans="1:2">
      <c r="A391">
        <v>3</v>
      </c>
      <c r="B391" t="s">
        <v>322</v>
      </c>
    </row>
    <row r="392" spans="1:2">
      <c r="A392">
        <v>4</v>
      </c>
      <c r="B392" t="s">
        <v>323</v>
      </c>
    </row>
    <row r="393" spans="1:2">
      <c r="A393">
        <v>5</v>
      </c>
      <c r="B393" t="s">
        <v>324</v>
      </c>
    </row>
    <row r="394" spans="1:2">
      <c r="A394">
        <v>6</v>
      </c>
      <c r="B394" t="s">
        <v>40</v>
      </c>
    </row>
    <row r="395" spans="1:2">
      <c r="A395">
        <v>7</v>
      </c>
      <c r="B395" t="s">
        <v>205</v>
      </c>
    </row>
    <row r="396" spans="1:2">
      <c r="A396">
        <v>8</v>
      </c>
      <c r="B396" t="s">
        <v>325</v>
      </c>
    </row>
    <row r="397" spans="1:2">
      <c r="A397">
        <v>9</v>
      </c>
      <c r="B397" t="s">
        <v>326</v>
      </c>
    </row>
    <row r="398" spans="1:2">
      <c r="A398">
        <v>10</v>
      </c>
      <c r="B398" t="s">
        <v>327</v>
      </c>
    </row>
    <row r="399" spans="1:2">
      <c r="A399">
        <v>11</v>
      </c>
      <c r="B399" t="s">
        <v>328</v>
      </c>
    </row>
    <row r="400" spans="1:2">
      <c r="A400">
        <v>12</v>
      </c>
      <c r="B400" t="s">
        <v>41</v>
      </c>
    </row>
    <row r="401" spans="1:2">
      <c r="A401">
        <v>13</v>
      </c>
      <c r="B401" t="s">
        <v>378</v>
      </c>
    </row>
    <row r="402" spans="1:2">
      <c r="A402">
        <v>1</v>
      </c>
      <c r="B402" t="s">
        <v>308</v>
      </c>
    </row>
    <row r="403" spans="1:2">
      <c r="A403">
        <v>2</v>
      </c>
      <c r="B403" t="s">
        <v>309</v>
      </c>
    </row>
    <row r="404" spans="1:2">
      <c r="A404">
        <v>3</v>
      </c>
      <c r="B404" t="s">
        <v>379</v>
      </c>
    </row>
    <row r="405" spans="1:2">
      <c r="A405">
        <v>4</v>
      </c>
      <c r="B405" t="s">
        <v>310</v>
      </c>
    </row>
    <row r="406" spans="1:2">
      <c r="A406">
        <v>5</v>
      </c>
      <c r="B406" t="s">
        <v>311</v>
      </c>
    </row>
    <row r="407" spans="1:2">
      <c r="A407">
        <v>6</v>
      </c>
      <c r="B407" t="s">
        <v>312</v>
      </c>
    </row>
    <row r="408" spans="1:2">
      <c r="A408">
        <v>7</v>
      </c>
      <c r="B408" t="s">
        <v>313</v>
      </c>
    </row>
    <row r="409" spans="1:2">
      <c r="A409">
        <v>8</v>
      </c>
      <c r="B409" t="s">
        <v>314</v>
      </c>
    </row>
    <row r="410" spans="1:2">
      <c r="A410">
        <v>9</v>
      </c>
      <c r="B410" t="s">
        <v>315</v>
      </c>
    </row>
    <row r="411" spans="1:2">
      <c r="A411">
        <v>10</v>
      </c>
      <c r="B411" t="s">
        <v>316</v>
      </c>
    </row>
    <row r="412" spans="1:2">
      <c r="A412">
        <v>11</v>
      </c>
      <c r="B412" t="s">
        <v>193</v>
      </c>
    </row>
    <row r="413" spans="1:2">
      <c r="A413">
        <v>14</v>
      </c>
      <c r="B413" t="s">
        <v>317</v>
      </c>
    </row>
    <row r="414" spans="1:2">
      <c r="A414">
        <v>15</v>
      </c>
      <c r="B414" t="s">
        <v>318</v>
      </c>
    </row>
    <row r="415" spans="1:2">
      <c r="A415">
        <v>18</v>
      </c>
      <c r="B415" t="s">
        <v>179</v>
      </c>
    </row>
    <row r="416" spans="1:2">
      <c r="A416">
        <v>19</v>
      </c>
      <c r="B416" t="s">
        <v>319</v>
      </c>
    </row>
    <row r="417" spans="1:2">
      <c r="A417">
        <v>20</v>
      </c>
      <c r="B417" t="s">
        <v>320</v>
      </c>
    </row>
    <row r="418" spans="1:2">
      <c r="A418">
        <v>21</v>
      </c>
      <c r="B418" t="s">
        <v>194</v>
      </c>
    </row>
    <row r="419" spans="1:2">
      <c r="A419">
        <v>22</v>
      </c>
      <c r="B419" t="s">
        <v>321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A31" sqref="A31"/>
    </sheetView>
  </sheetViews>
  <sheetFormatPr defaultRowHeight="15"/>
  <cols>
    <col min="1" max="1" width="27.85546875" style="24" bestFit="1" customWidth="1"/>
    <col min="2" max="2" width="13.140625" bestFit="1" customWidth="1"/>
    <col min="3" max="3" width="12" bestFit="1" customWidth="1"/>
    <col min="4" max="4" width="13.140625" bestFit="1" customWidth="1"/>
    <col min="5" max="5" width="3" bestFit="1" customWidth="1"/>
    <col min="6" max="6" width="13.140625" bestFit="1" customWidth="1"/>
  </cols>
  <sheetData>
    <row r="1" spans="1:7">
      <c r="A1" s="58" t="s">
        <v>492</v>
      </c>
      <c r="B1" s="17">
        <v>330000</v>
      </c>
      <c r="C1" s="17">
        <f t="shared" ref="C1:C20" si="0">B1*0.1333</f>
        <v>43989</v>
      </c>
      <c r="D1" s="18">
        <f t="shared" ref="D1:D20" si="1">E1*F1</f>
        <v>373989</v>
      </c>
      <c r="E1" s="22">
        <v>50</v>
      </c>
      <c r="F1" s="6">
        <v>7479.78</v>
      </c>
      <c r="G1" t="s">
        <v>433</v>
      </c>
    </row>
    <row r="2" spans="1:7">
      <c r="A2" s="58" t="s">
        <v>400</v>
      </c>
      <c r="B2" s="17">
        <v>330000</v>
      </c>
      <c r="C2" s="17">
        <f t="shared" si="0"/>
        <v>43989</v>
      </c>
      <c r="D2" s="18">
        <f t="shared" si="1"/>
        <v>373989</v>
      </c>
      <c r="E2" s="22">
        <v>50</v>
      </c>
      <c r="F2" s="6">
        <v>7479.78</v>
      </c>
      <c r="G2" t="s">
        <v>433</v>
      </c>
    </row>
    <row r="3" spans="1:7">
      <c r="A3" s="58" t="s">
        <v>236</v>
      </c>
      <c r="B3" s="17">
        <v>150000</v>
      </c>
      <c r="C3" s="17">
        <f t="shared" si="0"/>
        <v>19995</v>
      </c>
      <c r="D3" s="18">
        <f t="shared" si="1"/>
        <v>169997.5</v>
      </c>
      <c r="E3" s="23">
        <v>50</v>
      </c>
      <c r="F3" s="6">
        <v>3399.95</v>
      </c>
      <c r="G3" t="s">
        <v>433</v>
      </c>
    </row>
    <row r="4" spans="1:7">
      <c r="A4" s="58" t="s">
        <v>172</v>
      </c>
      <c r="B4" s="17">
        <v>150000</v>
      </c>
      <c r="C4" s="17">
        <f t="shared" si="0"/>
        <v>19995</v>
      </c>
      <c r="D4" s="18">
        <f t="shared" si="1"/>
        <v>339990</v>
      </c>
      <c r="E4" s="22">
        <v>50</v>
      </c>
      <c r="F4" s="6">
        <v>6799.8</v>
      </c>
      <c r="G4" t="s">
        <v>433</v>
      </c>
    </row>
    <row r="5" spans="1:7">
      <c r="A5" s="58" t="s">
        <v>237</v>
      </c>
      <c r="B5" s="17">
        <v>150000</v>
      </c>
      <c r="C5" s="17">
        <f t="shared" si="0"/>
        <v>19995</v>
      </c>
      <c r="D5" s="18">
        <f t="shared" si="1"/>
        <v>169997.5</v>
      </c>
      <c r="E5" s="23">
        <v>50</v>
      </c>
      <c r="F5" s="6">
        <v>3399.95</v>
      </c>
      <c r="G5" t="s">
        <v>433</v>
      </c>
    </row>
    <row r="6" spans="1:7">
      <c r="A6" s="58" t="s">
        <v>435</v>
      </c>
      <c r="B6" s="17">
        <v>330000</v>
      </c>
      <c r="C6" s="17">
        <f t="shared" si="0"/>
        <v>43989</v>
      </c>
      <c r="D6" s="18">
        <f t="shared" si="1"/>
        <v>373989</v>
      </c>
      <c r="E6" s="23">
        <v>50</v>
      </c>
      <c r="F6" s="6">
        <v>7479.78</v>
      </c>
      <c r="G6" t="s">
        <v>433</v>
      </c>
    </row>
    <row r="7" spans="1:7">
      <c r="A7" s="58" t="s">
        <v>436</v>
      </c>
      <c r="B7" s="17">
        <v>150000</v>
      </c>
      <c r="C7" s="17">
        <f t="shared" si="0"/>
        <v>19995</v>
      </c>
      <c r="D7" s="18">
        <f t="shared" si="1"/>
        <v>169995</v>
      </c>
      <c r="E7" s="23">
        <v>50</v>
      </c>
      <c r="F7" s="6">
        <v>3399.9</v>
      </c>
      <c r="G7" t="s">
        <v>433</v>
      </c>
    </row>
    <row r="8" spans="1:7">
      <c r="A8" s="58" t="s">
        <v>437</v>
      </c>
      <c r="B8" s="17">
        <v>150000</v>
      </c>
      <c r="C8" s="17">
        <f t="shared" si="0"/>
        <v>19995</v>
      </c>
      <c r="D8" s="18">
        <f t="shared" si="1"/>
        <v>169995</v>
      </c>
      <c r="E8" s="23">
        <v>50</v>
      </c>
      <c r="F8" s="6">
        <v>3399.9</v>
      </c>
      <c r="G8" t="s">
        <v>433</v>
      </c>
    </row>
    <row r="9" spans="1:7">
      <c r="A9" s="58" t="s">
        <v>438</v>
      </c>
      <c r="B9" s="17">
        <v>330000</v>
      </c>
      <c r="C9" s="17">
        <f t="shared" si="0"/>
        <v>43989</v>
      </c>
      <c r="D9" s="18">
        <f t="shared" si="1"/>
        <v>373989</v>
      </c>
      <c r="E9" s="23">
        <v>50</v>
      </c>
      <c r="F9" s="6">
        <v>7479.78</v>
      </c>
      <c r="G9" t="s">
        <v>433</v>
      </c>
    </row>
    <row r="10" spans="1:7">
      <c r="A10" s="58" t="s">
        <v>439</v>
      </c>
      <c r="B10" s="17">
        <v>330000</v>
      </c>
      <c r="C10" s="17">
        <f t="shared" si="0"/>
        <v>43989</v>
      </c>
      <c r="D10" s="18">
        <f t="shared" si="1"/>
        <v>373989</v>
      </c>
      <c r="E10" s="23">
        <v>50</v>
      </c>
      <c r="F10" s="6">
        <v>7479.78</v>
      </c>
      <c r="G10" t="s">
        <v>433</v>
      </c>
    </row>
    <row r="11" spans="1:7">
      <c r="A11" s="58" t="s">
        <v>440</v>
      </c>
      <c r="B11" s="17">
        <v>150000</v>
      </c>
      <c r="C11" s="17">
        <f t="shared" si="0"/>
        <v>19995</v>
      </c>
      <c r="D11" s="18">
        <f t="shared" si="1"/>
        <v>169995</v>
      </c>
      <c r="E11" s="23">
        <v>50</v>
      </c>
      <c r="F11" s="6">
        <v>3399.9</v>
      </c>
      <c r="G11" t="s">
        <v>433</v>
      </c>
    </row>
    <row r="12" spans="1:7">
      <c r="A12" s="58" t="s">
        <v>444</v>
      </c>
      <c r="B12" s="17">
        <v>150000</v>
      </c>
      <c r="C12" s="17">
        <f t="shared" si="0"/>
        <v>19995</v>
      </c>
      <c r="D12" s="18">
        <f t="shared" si="1"/>
        <v>169995</v>
      </c>
      <c r="E12" s="23">
        <v>50</v>
      </c>
      <c r="F12" s="6">
        <v>3399.9</v>
      </c>
      <c r="G12" t="s">
        <v>433</v>
      </c>
    </row>
    <row r="13" spans="1:7">
      <c r="A13" s="58" t="s">
        <v>445</v>
      </c>
      <c r="B13" s="17">
        <v>150000</v>
      </c>
      <c r="C13" s="17">
        <f t="shared" si="0"/>
        <v>19995</v>
      </c>
      <c r="D13" s="18">
        <f t="shared" si="1"/>
        <v>169995</v>
      </c>
      <c r="E13" s="23">
        <v>50</v>
      </c>
      <c r="F13" s="6">
        <v>3399.9</v>
      </c>
      <c r="G13" t="s">
        <v>433</v>
      </c>
    </row>
    <row r="14" spans="1:7">
      <c r="A14" s="58" t="s">
        <v>454</v>
      </c>
      <c r="B14" s="17">
        <v>330000</v>
      </c>
      <c r="C14" s="17">
        <f t="shared" si="0"/>
        <v>43989</v>
      </c>
      <c r="D14" s="18">
        <f t="shared" si="1"/>
        <v>351114.72000000003</v>
      </c>
      <c r="E14" s="23">
        <v>24</v>
      </c>
      <c r="F14" s="6">
        <v>14629.78</v>
      </c>
      <c r="G14" t="s">
        <v>433</v>
      </c>
    </row>
    <row r="15" spans="1:7">
      <c r="A15" s="58" t="s">
        <v>495</v>
      </c>
      <c r="B15" s="17">
        <v>150000</v>
      </c>
      <c r="C15" s="17">
        <f t="shared" si="0"/>
        <v>19995</v>
      </c>
      <c r="D15" s="18">
        <f t="shared" si="1"/>
        <v>169995</v>
      </c>
      <c r="E15" s="23">
        <v>50</v>
      </c>
      <c r="F15" s="6">
        <v>3399.9</v>
      </c>
      <c r="G15" t="s">
        <v>433</v>
      </c>
    </row>
    <row r="16" spans="1:7">
      <c r="A16" s="58" t="s">
        <v>498</v>
      </c>
      <c r="B16" s="17">
        <v>150000</v>
      </c>
      <c r="C16" s="17">
        <f t="shared" si="0"/>
        <v>19995</v>
      </c>
      <c r="D16" s="18">
        <f t="shared" si="1"/>
        <v>169995</v>
      </c>
      <c r="E16" s="23">
        <v>25</v>
      </c>
      <c r="F16" s="6">
        <v>6799.8</v>
      </c>
      <c r="G16" t="s">
        <v>433</v>
      </c>
    </row>
    <row r="17" spans="1:7">
      <c r="A17" s="58" t="s">
        <v>694</v>
      </c>
      <c r="B17" s="17">
        <v>330000</v>
      </c>
      <c r="C17" s="17">
        <f t="shared" si="0"/>
        <v>43989</v>
      </c>
      <c r="D17" s="18">
        <f t="shared" si="1"/>
        <v>373989</v>
      </c>
      <c r="E17" s="23">
        <v>50</v>
      </c>
      <c r="F17" s="6">
        <v>7479.78</v>
      </c>
      <c r="G17" t="s">
        <v>433</v>
      </c>
    </row>
    <row r="18" spans="1:7">
      <c r="A18" s="58" t="s">
        <v>695</v>
      </c>
      <c r="B18" s="17">
        <v>150000</v>
      </c>
      <c r="C18" s="17">
        <f t="shared" si="0"/>
        <v>19995</v>
      </c>
      <c r="D18" s="18">
        <f t="shared" si="1"/>
        <v>169995</v>
      </c>
      <c r="E18" s="23">
        <v>50</v>
      </c>
      <c r="F18" s="6">
        <v>3399.9</v>
      </c>
      <c r="G18" t="s">
        <v>433</v>
      </c>
    </row>
    <row r="19" spans="1:7">
      <c r="A19" s="58" t="s">
        <v>544</v>
      </c>
      <c r="B19" s="17">
        <v>150000</v>
      </c>
      <c r="C19" s="17">
        <f t="shared" si="0"/>
        <v>19995</v>
      </c>
      <c r="D19" s="18">
        <f t="shared" si="1"/>
        <v>169995</v>
      </c>
      <c r="E19" s="23">
        <v>50</v>
      </c>
      <c r="F19" s="6">
        <v>3399.9</v>
      </c>
      <c r="G19" t="s">
        <v>433</v>
      </c>
    </row>
    <row r="20" spans="1:7">
      <c r="A20" s="58" t="s">
        <v>704</v>
      </c>
      <c r="B20" s="17">
        <v>150000</v>
      </c>
      <c r="C20" s="17">
        <f t="shared" si="0"/>
        <v>19995</v>
      </c>
      <c r="D20" s="18">
        <f t="shared" si="1"/>
        <v>169995</v>
      </c>
      <c r="E20" s="23">
        <v>50</v>
      </c>
      <c r="F20" s="6">
        <v>3399.9</v>
      </c>
      <c r="G20" t="s">
        <v>433</v>
      </c>
    </row>
    <row r="21" spans="1:7">
      <c r="F21" s="49">
        <f>SUM(F1:F20)</f>
        <v>110507.05999999998</v>
      </c>
    </row>
    <row r="22" spans="1:7">
      <c r="F22" s="83">
        <v>107107.16</v>
      </c>
    </row>
    <row r="23" spans="1:7">
      <c r="F23" s="49">
        <f>F21-F22</f>
        <v>3399.8999999999796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63"/>
  <sheetViews>
    <sheetView topLeftCell="A104" workbookViewId="0">
      <selection activeCell="D120" sqref="D120"/>
    </sheetView>
  </sheetViews>
  <sheetFormatPr defaultRowHeight="15"/>
  <cols>
    <col min="1" max="1" width="4.42578125" bestFit="1" customWidth="1"/>
    <col min="2" max="2" width="5.28515625" style="37" bestFit="1" customWidth="1"/>
    <col min="3" max="3" width="27.140625" style="9" customWidth="1"/>
    <col min="4" max="4" width="13.140625" style="19" bestFit="1" customWidth="1"/>
    <col min="5" max="5" width="4.42578125" customWidth="1"/>
    <col min="6" max="6" width="20.28515625" style="9" customWidth="1"/>
    <col min="7" max="7" width="13.140625" style="5" customWidth="1"/>
  </cols>
  <sheetData>
    <row r="1" spans="1:7">
      <c r="B1"/>
      <c r="C1"/>
      <c r="D1"/>
      <c r="F1"/>
      <c r="G1"/>
    </row>
    <row r="2" spans="1:7" ht="24.75">
      <c r="A2" s="15" t="s">
        <v>0</v>
      </c>
      <c r="B2" s="77" t="s">
        <v>301</v>
      </c>
      <c r="C2" s="15" t="s">
        <v>302</v>
      </c>
      <c r="D2" s="11" t="s">
        <v>394</v>
      </c>
      <c r="E2" s="46" t="s">
        <v>0</v>
      </c>
      <c r="F2" s="51" t="s">
        <v>1</v>
      </c>
      <c r="G2" s="41" t="s">
        <v>2</v>
      </c>
    </row>
    <row r="3" spans="1:7">
      <c r="A3" s="15">
        <v>1</v>
      </c>
      <c r="B3" s="77">
        <v>0</v>
      </c>
      <c r="C3" s="34" t="s">
        <v>456</v>
      </c>
      <c r="D3" s="6">
        <v>11333</v>
      </c>
      <c r="E3" s="46">
        <v>1</v>
      </c>
      <c r="F3" s="48" t="s">
        <v>461</v>
      </c>
      <c r="G3" s="6">
        <v>11333</v>
      </c>
    </row>
    <row r="4" spans="1:7">
      <c r="A4" s="15">
        <v>2</v>
      </c>
      <c r="B4" s="77">
        <v>0</v>
      </c>
      <c r="C4" s="34" t="s">
        <v>184</v>
      </c>
      <c r="D4" s="6">
        <v>10199.700000000001</v>
      </c>
      <c r="E4" s="46">
        <v>3</v>
      </c>
      <c r="F4" s="48" t="s">
        <v>184</v>
      </c>
      <c r="G4" s="6">
        <v>10199.700000000001</v>
      </c>
    </row>
    <row r="5" spans="1:7">
      <c r="A5" s="15">
        <v>4</v>
      </c>
      <c r="B5" s="77">
        <v>0</v>
      </c>
      <c r="C5" s="34" t="s">
        <v>185</v>
      </c>
      <c r="D5" s="6">
        <v>7479.78</v>
      </c>
      <c r="E5" s="46">
        <v>6</v>
      </c>
      <c r="F5" s="48" t="s">
        <v>185</v>
      </c>
      <c r="G5" s="6">
        <v>7479.78</v>
      </c>
    </row>
    <row r="6" spans="1:7">
      <c r="A6" s="15">
        <v>5</v>
      </c>
      <c r="B6" s="81">
        <v>0</v>
      </c>
      <c r="C6" s="76" t="s">
        <v>697</v>
      </c>
      <c r="D6" s="2">
        <v>10199.700000000001</v>
      </c>
      <c r="E6" s="46">
        <v>7</v>
      </c>
      <c r="F6" s="48" t="s">
        <v>8</v>
      </c>
      <c r="G6" s="6">
        <v>10199.700000000001</v>
      </c>
    </row>
    <row r="7" spans="1:7">
      <c r="A7" s="15">
        <v>6</v>
      </c>
      <c r="B7" s="77">
        <v>0</v>
      </c>
      <c r="C7" s="34" t="s">
        <v>186</v>
      </c>
      <c r="D7" s="6">
        <v>10000</v>
      </c>
      <c r="E7" s="46">
        <v>8</v>
      </c>
      <c r="F7" s="48" t="s">
        <v>186</v>
      </c>
      <c r="G7" s="6">
        <v>10000</v>
      </c>
    </row>
    <row r="8" spans="1:7">
      <c r="A8" s="15">
        <v>7</v>
      </c>
      <c r="B8" s="77">
        <v>0</v>
      </c>
      <c r="C8" s="34" t="s">
        <v>447</v>
      </c>
      <c r="D8" s="6">
        <v>7479.78</v>
      </c>
      <c r="E8" s="46">
        <v>11</v>
      </c>
      <c r="F8" s="48" t="s">
        <v>447</v>
      </c>
      <c r="G8" s="6">
        <v>7479.78</v>
      </c>
    </row>
    <row r="9" spans="1:7">
      <c r="A9" s="15">
        <v>8</v>
      </c>
      <c r="B9" s="78">
        <v>0</v>
      </c>
      <c r="C9" s="72" t="s">
        <v>187</v>
      </c>
      <c r="D9" s="73">
        <v>7479.78</v>
      </c>
      <c r="E9" s="46">
        <v>15</v>
      </c>
      <c r="F9" s="48" t="s">
        <v>187</v>
      </c>
      <c r="G9" s="6">
        <v>7479.78</v>
      </c>
    </row>
    <row r="10" spans="1:7" ht="27">
      <c r="A10" s="15">
        <v>9</v>
      </c>
      <c r="B10" s="77">
        <v>0</v>
      </c>
      <c r="C10" s="74" t="s">
        <v>188</v>
      </c>
      <c r="D10" s="75">
        <v>7479.78</v>
      </c>
      <c r="E10" s="47">
        <v>4</v>
      </c>
      <c r="F10" s="48" t="s">
        <v>188</v>
      </c>
      <c r="G10" s="6">
        <v>7479.78</v>
      </c>
    </row>
    <row r="11" spans="1:7">
      <c r="A11" s="15">
        <v>10</v>
      </c>
      <c r="B11" s="79">
        <v>0</v>
      </c>
      <c r="C11" s="34" t="s">
        <v>380</v>
      </c>
      <c r="D11" s="2">
        <v>7479.78</v>
      </c>
      <c r="E11" s="47">
        <v>7</v>
      </c>
      <c r="F11" s="48" t="s">
        <v>299</v>
      </c>
      <c r="G11" s="6">
        <v>7479.78</v>
      </c>
    </row>
    <row r="12" spans="1:7">
      <c r="A12" s="15">
        <v>11</v>
      </c>
      <c r="B12" s="77">
        <v>0</v>
      </c>
      <c r="C12" s="34" t="s">
        <v>189</v>
      </c>
      <c r="D12" s="6">
        <v>3399.9</v>
      </c>
      <c r="E12" s="47">
        <v>13</v>
      </c>
      <c r="F12" s="48" t="s">
        <v>189</v>
      </c>
      <c r="G12" s="6">
        <v>3399.9</v>
      </c>
    </row>
    <row r="13" spans="1:7">
      <c r="A13" s="15">
        <v>12</v>
      </c>
      <c r="B13" s="77">
        <v>0</v>
      </c>
      <c r="C13" s="34" t="s">
        <v>190</v>
      </c>
      <c r="D13" s="6">
        <v>7479.78</v>
      </c>
      <c r="E13" s="47">
        <v>3</v>
      </c>
      <c r="F13" s="48" t="s">
        <v>190</v>
      </c>
      <c r="G13" s="6">
        <v>7479.78</v>
      </c>
    </row>
    <row r="14" spans="1:7">
      <c r="A14" s="15">
        <v>13</v>
      </c>
      <c r="B14" s="77">
        <v>0</v>
      </c>
      <c r="C14" s="34" t="s">
        <v>191</v>
      </c>
      <c r="D14" s="6">
        <v>7479.78</v>
      </c>
      <c r="E14" s="47">
        <v>4</v>
      </c>
      <c r="F14" s="48" t="s">
        <v>191</v>
      </c>
      <c r="G14" s="6">
        <v>7479.78</v>
      </c>
    </row>
    <row r="15" spans="1:7">
      <c r="A15" s="15">
        <v>14</v>
      </c>
      <c r="B15" s="77">
        <v>0</v>
      </c>
      <c r="C15" s="34" t="s">
        <v>192</v>
      </c>
      <c r="D15" s="6">
        <v>10199.700000000001</v>
      </c>
      <c r="E15" s="47">
        <v>1</v>
      </c>
      <c r="F15" s="48" t="s">
        <v>192</v>
      </c>
      <c r="G15" s="6">
        <v>10199.700000000001</v>
      </c>
    </row>
    <row r="16" spans="1:7">
      <c r="A16" s="15">
        <v>15</v>
      </c>
      <c r="B16" s="77">
        <v>0</v>
      </c>
      <c r="C16" s="34" t="s">
        <v>686</v>
      </c>
      <c r="D16" s="6">
        <v>11333</v>
      </c>
      <c r="E16" s="47">
        <v>5</v>
      </c>
      <c r="F16" s="48" t="s">
        <v>313</v>
      </c>
      <c r="G16" s="6">
        <v>11333</v>
      </c>
    </row>
    <row r="17" spans="1:7">
      <c r="A17" s="15">
        <v>16</v>
      </c>
      <c r="B17" s="77">
        <v>0</v>
      </c>
      <c r="C17" s="34" t="s">
        <v>193</v>
      </c>
      <c r="D17" s="6">
        <v>11333</v>
      </c>
      <c r="E17" s="47">
        <v>8</v>
      </c>
      <c r="F17" s="48" t="s">
        <v>193</v>
      </c>
      <c r="G17" s="6">
        <v>11333</v>
      </c>
    </row>
    <row r="18" spans="1:7" ht="23.25">
      <c r="A18" s="15">
        <v>17</v>
      </c>
      <c r="B18" s="77">
        <v>0</v>
      </c>
      <c r="C18" s="34" t="s">
        <v>179</v>
      </c>
      <c r="D18" s="6">
        <v>11333</v>
      </c>
      <c r="E18" s="47">
        <v>15</v>
      </c>
      <c r="F18" s="48" t="s">
        <v>179</v>
      </c>
      <c r="G18" s="6">
        <v>11333</v>
      </c>
    </row>
    <row r="19" spans="1:7">
      <c r="A19" s="15">
        <v>18</v>
      </c>
      <c r="B19" s="77">
        <v>0</v>
      </c>
      <c r="C19" s="34" t="s">
        <v>194</v>
      </c>
      <c r="D19" s="6">
        <v>11333</v>
      </c>
      <c r="E19" s="47">
        <v>18</v>
      </c>
      <c r="F19" s="48" t="s">
        <v>194</v>
      </c>
      <c r="G19" s="6">
        <v>11333</v>
      </c>
    </row>
    <row r="20" spans="1:7">
      <c r="A20" s="15">
        <v>19</v>
      </c>
      <c r="B20" s="77">
        <v>0</v>
      </c>
      <c r="C20" s="34" t="s">
        <v>687</v>
      </c>
      <c r="D20" s="6">
        <v>22166</v>
      </c>
      <c r="E20" s="47">
        <v>19</v>
      </c>
      <c r="F20" s="48" t="s">
        <v>321</v>
      </c>
      <c r="G20" s="6">
        <v>22166</v>
      </c>
    </row>
    <row r="21" spans="1:7">
      <c r="A21" s="15">
        <v>20</v>
      </c>
      <c r="B21" s="77">
        <v>0</v>
      </c>
      <c r="C21" s="34" t="s">
        <v>195</v>
      </c>
      <c r="D21" s="6">
        <v>11333</v>
      </c>
      <c r="E21" s="47">
        <v>26</v>
      </c>
      <c r="F21" s="48" t="s">
        <v>195</v>
      </c>
      <c r="G21" s="6">
        <v>11333</v>
      </c>
    </row>
    <row r="22" spans="1:7">
      <c r="A22" s="15">
        <v>21</v>
      </c>
      <c r="B22" s="77">
        <v>0</v>
      </c>
      <c r="C22" s="34" t="s">
        <v>688</v>
      </c>
      <c r="D22" s="6">
        <v>11333</v>
      </c>
      <c r="E22" s="47">
        <v>27</v>
      </c>
      <c r="F22" s="48" t="s">
        <v>708</v>
      </c>
      <c r="G22" s="6">
        <v>11333</v>
      </c>
    </row>
    <row r="23" spans="1:7">
      <c r="A23" s="15">
        <v>22</v>
      </c>
      <c r="B23" s="77">
        <v>0</v>
      </c>
      <c r="C23" s="34" t="s">
        <v>23</v>
      </c>
      <c r="D23" s="6">
        <v>10199.700000000001</v>
      </c>
      <c r="E23" s="47">
        <v>38</v>
      </c>
      <c r="F23" s="48" t="s">
        <v>23</v>
      </c>
      <c r="G23" s="6">
        <v>10199.700000000001</v>
      </c>
    </row>
    <row r="24" spans="1:7">
      <c r="A24" s="15">
        <v>23</v>
      </c>
      <c r="B24" s="77">
        <v>0</v>
      </c>
      <c r="C24" s="34" t="s">
        <v>690</v>
      </c>
      <c r="D24" s="6">
        <v>10199.700000000001</v>
      </c>
      <c r="E24" s="47">
        <v>44</v>
      </c>
      <c r="F24" s="48" t="s">
        <v>709</v>
      </c>
      <c r="G24" s="6">
        <v>10199.700000000001</v>
      </c>
    </row>
    <row r="25" spans="1:7">
      <c r="A25" s="15">
        <v>24</v>
      </c>
      <c r="B25" s="77">
        <v>0</v>
      </c>
      <c r="C25" s="34" t="s">
        <v>196</v>
      </c>
      <c r="D25" s="6">
        <v>10199.700000000001</v>
      </c>
      <c r="E25" s="47">
        <v>45</v>
      </c>
      <c r="F25" s="48" t="s">
        <v>196</v>
      </c>
      <c r="G25" s="6">
        <v>10199.700000000001</v>
      </c>
    </row>
    <row r="26" spans="1:7">
      <c r="A26" s="15">
        <v>25</v>
      </c>
      <c r="B26" s="77">
        <v>0</v>
      </c>
      <c r="C26" s="34" t="s">
        <v>689</v>
      </c>
      <c r="D26" s="6">
        <v>7479.78</v>
      </c>
      <c r="E26" s="47">
        <v>50</v>
      </c>
      <c r="F26" s="48" t="s">
        <v>710</v>
      </c>
      <c r="G26" s="6">
        <v>7479.78</v>
      </c>
    </row>
    <row r="27" spans="1:7">
      <c r="A27" s="15">
        <v>26</v>
      </c>
      <c r="B27" s="77">
        <v>0</v>
      </c>
      <c r="C27" s="34" t="s">
        <v>408</v>
      </c>
      <c r="D27" s="6">
        <v>3399.9</v>
      </c>
      <c r="E27" s="47">
        <v>60</v>
      </c>
      <c r="F27" s="48" t="s">
        <v>422</v>
      </c>
      <c r="G27" s="6">
        <v>3399.9</v>
      </c>
    </row>
    <row r="28" spans="1:7" ht="23.25">
      <c r="A28" s="15">
        <v>27</v>
      </c>
      <c r="B28" s="77">
        <v>0</v>
      </c>
      <c r="C28" s="34" t="s">
        <v>198</v>
      </c>
      <c r="D28" s="6">
        <v>10199.700000000001</v>
      </c>
      <c r="E28" s="47">
        <v>3</v>
      </c>
      <c r="F28" s="48" t="s">
        <v>198</v>
      </c>
      <c r="G28" s="6">
        <v>10199.700000000001</v>
      </c>
    </row>
    <row r="29" spans="1:7">
      <c r="A29" s="15">
        <v>28</v>
      </c>
      <c r="B29" s="77">
        <v>0</v>
      </c>
      <c r="C29" s="34" t="s">
        <v>696</v>
      </c>
      <c r="D29" s="6">
        <v>10199.700000000001</v>
      </c>
      <c r="E29" s="47">
        <v>4</v>
      </c>
      <c r="F29" s="48" t="s">
        <v>33</v>
      </c>
      <c r="G29" s="6">
        <v>10199.700000000001</v>
      </c>
    </row>
    <row r="30" spans="1:7">
      <c r="A30" s="15">
        <v>29</v>
      </c>
      <c r="B30" s="77">
        <v>0</v>
      </c>
      <c r="C30" s="34" t="s">
        <v>199</v>
      </c>
      <c r="D30" s="6">
        <v>7479.78</v>
      </c>
      <c r="E30" s="47">
        <v>9</v>
      </c>
      <c r="F30" s="48" t="s">
        <v>199</v>
      </c>
      <c r="G30" s="6">
        <v>7479.78</v>
      </c>
    </row>
    <row r="31" spans="1:7">
      <c r="A31" s="15">
        <v>30</v>
      </c>
      <c r="B31" s="77">
        <v>0</v>
      </c>
      <c r="C31" s="34" t="s">
        <v>200</v>
      </c>
      <c r="D31" s="6">
        <v>7479.78</v>
      </c>
      <c r="E31" s="47">
        <v>10</v>
      </c>
      <c r="F31" s="48" t="s">
        <v>200</v>
      </c>
      <c r="G31" s="6">
        <v>7479.78</v>
      </c>
    </row>
    <row r="32" spans="1:7" ht="23.25">
      <c r="A32" s="15">
        <v>31</v>
      </c>
      <c r="B32" s="77">
        <v>0</v>
      </c>
      <c r="C32" s="34" t="s">
        <v>201</v>
      </c>
      <c r="D32" s="6">
        <v>7479.78</v>
      </c>
      <c r="E32" s="47">
        <v>11</v>
      </c>
      <c r="F32" s="48" t="s">
        <v>201</v>
      </c>
      <c r="G32" s="6">
        <v>7479.78</v>
      </c>
    </row>
    <row r="33" spans="1:7" ht="23.25">
      <c r="A33" s="15">
        <v>32</v>
      </c>
      <c r="B33" s="77">
        <v>0</v>
      </c>
      <c r="C33" s="34" t="s">
        <v>202</v>
      </c>
      <c r="D33" s="6">
        <v>7479.78</v>
      </c>
      <c r="E33" s="47">
        <v>12</v>
      </c>
      <c r="F33" s="48" t="s">
        <v>202</v>
      </c>
      <c r="G33" s="6">
        <v>7479.78</v>
      </c>
    </row>
    <row r="34" spans="1:7">
      <c r="A34" s="15">
        <v>33</v>
      </c>
      <c r="B34" s="77"/>
      <c r="C34" s="34" t="s">
        <v>203</v>
      </c>
      <c r="D34" s="6">
        <v>7479.78</v>
      </c>
      <c r="E34" s="47">
        <v>13</v>
      </c>
      <c r="F34" s="48" t="s">
        <v>203</v>
      </c>
      <c r="G34" s="6">
        <v>7479.78</v>
      </c>
    </row>
    <row r="35" spans="1:7">
      <c r="A35" s="15">
        <v>34</v>
      </c>
      <c r="B35" s="77">
        <v>0</v>
      </c>
      <c r="C35" s="34" t="s">
        <v>691</v>
      </c>
      <c r="D35" s="6">
        <v>7479.78</v>
      </c>
      <c r="E35" s="47">
        <v>14</v>
      </c>
      <c r="F35" s="48" t="s">
        <v>36</v>
      </c>
      <c r="G35" s="6">
        <v>7479.78</v>
      </c>
    </row>
    <row r="36" spans="1:7">
      <c r="A36" s="15">
        <v>35</v>
      </c>
      <c r="B36" s="77">
        <v>0</v>
      </c>
      <c r="C36" s="34" t="s">
        <v>170</v>
      </c>
      <c r="D36" s="6">
        <v>3399.9</v>
      </c>
      <c r="E36" s="47">
        <v>16</v>
      </c>
      <c r="F36" s="48" t="s">
        <v>170</v>
      </c>
      <c r="G36" s="6">
        <v>3399.9</v>
      </c>
    </row>
    <row r="37" spans="1:7">
      <c r="A37" s="15">
        <v>36</v>
      </c>
      <c r="B37" s="77">
        <v>0</v>
      </c>
      <c r="C37" s="34" t="s">
        <v>398</v>
      </c>
      <c r="D37" s="6">
        <v>3399.9</v>
      </c>
      <c r="E37" s="47">
        <v>22</v>
      </c>
      <c r="F37" s="48" t="s">
        <v>402</v>
      </c>
      <c r="G37" s="6">
        <v>3399.9</v>
      </c>
    </row>
    <row r="38" spans="1:7">
      <c r="A38" s="15">
        <v>37</v>
      </c>
      <c r="B38" s="77">
        <v>0</v>
      </c>
      <c r="C38" s="34" t="s">
        <v>204</v>
      </c>
      <c r="D38" s="6">
        <v>3399.9</v>
      </c>
      <c r="E38" s="47">
        <v>23</v>
      </c>
      <c r="F38" s="48" t="s">
        <v>204</v>
      </c>
      <c r="G38" s="6">
        <v>3399.9</v>
      </c>
    </row>
    <row r="39" spans="1:7">
      <c r="A39" s="15">
        <v>38</v>
      </c>
      <c r="B39" s="77">
        <v>0</v>
      </c>
      <c r="C39" s="34" t="s">
        <v>205</v>
      </c>
      <c r="D39" s="6">
        <v>11333</v>
      </c>
      <c r="E39" s="47">
        <v>4</v>
      </c>
      <c r="F39" s="48" t="s">
        <v>205</v>
      </c>
      <c r="G39" s="6">
        <v>11333</v>
      </c>
    </row>
    <row r="40" spans="1:7">
      <c r="A40" s="15">
        <v>39</v>
      </c>
      <c r="B40" s="77"/>
      <c r="C40" s="34" t="s">
        <v>493</v>
      </c>
      <c r="D40" s="6">
        <v>11333</v>
      </c>
      <c r="E40" s="47">
        <v>11</v>
      </c>
      <c r="F40" s="48" t="s">
        <v>43</v>
      </c>
      <c r="G40" s="6">
        <v>11333</v>
      </c>
    </row>
    <row r="41" spans="1:7">
      <c r="A41" s="15">
        <v>40</v>
      </c>
      <c r="B41" s="77"/>
      <c r="C41" s="34" t="s">
        <v>698</v>
      </c>
      <c r="D41" s="2">
        <v>10199.700000000001</v>
      </c>
      <c r="E41" s="47">
        <v>12</v>
      </c>
      <c r="F41" s="48" t="s">
        <v>44</v>
      </c>
      <c r="G41" s="6">
        <v>10199.700000000001</v>
      </c>
    </row>
    <row r="42" spans="1:7">
      <c r="A42" s="15">
        <v>41</v>
      </c>
      <c r="B42" s="77">
        <v>0</v>
      </c>
      <c r="C42" s="34" t="s">
        <v>441</v>
      </c>
      <c r="D42" s="6">
        <v>10199.700000000001</v>
      </c>
      <c r="E42" s="47">
        <v>13</v>
      </c>
      <c r="F42" s="48" t="s">
        <v>441</v>
      </c>
      <c r="G42" s="6">
        <v>10199.700000000001</v>
      </c>
    </row>
    <row r="43" spans="1:7">
      <c r="A43" s="15">
        <v>42</v>
      </c>
      <c r="B43" s="77">
        <v>0</v>
      </c>
      <c r="C43" s="34" t="s">
        <v>206</v>
      </c>
      <c r="D43" s="6">
        <v>10199.700000000001</v>
      </c>
      <c r="E43" s="47">
        <v>15</v>
      </c>
      <c r="F43" s="48" t="s">
        <v>206</v>
      </c>
      <c r="G43" s="6">
        <v>10199.700000000001</v>
      </c>
    </row>
    <row r="44" spans="1:7">
      <c r="A44" s="15">
        <v>43</v>
      </c>
      <c r="B44" s="77">
        <v>0</v>
      </c>
      <c r="C44" s="34" t="s">
        <v>409</v>
      </c>
      <c r="D44" s="6">
        <v>7479.78</v>
      </c>
      <c r="E44" s="47">
        <v>19</v>
      </c>
      <c r="F44" s="48" t="s">
        <v>423</v>
      </c>
      <c r="G44" s="6">
        <v>7479.78</v>
      </c>
    </row>
    <row r="45" spans="1:7">
      <c r="A45" s="15">
        <v>44</v>
      </c>
      <c r="B45" s="77">
        <v>0</v>
      </c>
      <c r="C45" s="34" t="s">
        <v>207</v>
      </c>
      <c r="D45" s="6">
        <v>7479.78</v>
      </c>
      <c r="E45" s="47">
        <v>22</v>
      </c>
      <c r="F45" s="48" t="s">
        <v>711</v>
      </c>
      <c r="G45" s="6">
        <v>7479.78</v>
      </c>
    </row>
    <row r="46" spans="1:7">
      <c r="A46" s="15">
        <v>45</v>
      </c>
      <c r="B46" s="77">
        <v>0</v>
      </c>
      <c r="C46" s="34" t="s">
        <v>208</v>
      </c>
      <c r="D46" s="6">
        <v>7479.78</v>
      </c>
      <c r="E46" s="47">
        <v>24</v>
      </c>
      <c r="F46" s="48" t="s">
        <v>208</v>
      </c>
      <c r="G46" s="6">
        <v>7479.78</v>
      </c>
    </row>
    <row r="47" spans="1:7">
      <c r="A47" s="15">
        <v>46</v>
      </c>
      <c r="B47" s="77">
        <v>0</v>
      </c>
      <c r="C47" s="34" t="s">
        <v>258</v>
      </c>
      <c r="D47" s="6">
        <v>11333</v>
      </c>
      <c r="E47" s="47">
        <v>1</v>
      </c>
      <c r="F47" s="48" t="s">
        <v>258</v>
      </c>
      <c r="G47" s="6">
        <v>11333</v>
      </c>
    </row>
    <row r="48" spans="1:7">
      <c r="A48" s="15">
        <v>47</v>
      </c>
      <c r="B48" s="77">
        <v>0</v>
      </c>
      <c r="C48" s="34" t="s">
        <v>442</v>
      </c>
      <c r="D48" s="6">
        <v>7479.78</v>
      </c>
      <c r="E48" s="47">
        <v>2</v>
      </c>
      <c r="F48" s="48" t="s">
        <v>462</v>
      </c>
      <c r="G48" s="6">
        <v>7479.78</v>
      </c>
    </row>
    <row r="49" spans="1:7" ht="23.25">
      <c r="A49" s="15">
        <v>48</v>
      </c>
      <c r="B49" s="77">
        <v>0</v>
      </c>
      <c r="C49" s="34" t="s">
        <v>209</v>
      </c>
      <c r="D49" s="6">
        <v>7479.78</v>
      </c>
      <c r="E49" s="47">
        <v>4</v>
      </c>
      <c r="F49" s="48" t="s">
        <v>209</v>
      </c>
      <c r="G49" s="6">
        <v>7479.78</v>
      </c>
    </row>
    <row r="50" spans="1:7" ht="23.25">
      <c r="A50" s="15">
        <v>49</v>
      </c>
      <c r="B50" s="77">
        <v>0</v>
      </c>
      <c r="C50" s="34" t="s">
        <v>210</v>
      </c>
      <c r="D50" s="6">
        <v>7479.78</v>
      </c>
      <c r="E50" s="47">
        <v>2</v>
      </c>
      <c r="F50" s="48" t="s">
        <v>210</v>
      </c>
      <c r="G50" s="6">
        <v>7479.78</v>
      </c>
    </row>
    <row r="51" spans="1:7">
      <c r="A51" s="15">
        <v>50</v>
      </c>
      <c r="B51" s="77">
        <v>0</v>
      </c>
      <c r="C51" s="34" t="s">
        <v>211</v>
      </c>
      <c r="D51" s="6">
        <v>7479.78</v>
      </c>
      <c r="E51" s="47">
        <v>5</v>
      </c>
      <c r="F51" s="48" t="s">
        <v>211</v>
      </c>
      <c r="G51" s="6">
        <v>7479.78</v>
      </c>
    </row>
    <row r="52" spans="1:7">
      <c r="A52" s="15">
        <v>51</v>
      </c>
      <c r="B52" s="77">
        <v>0</v>
      </c>
      <c r="C52" s="34" t="s">
        <v>212</v>
      </c>
      <c r="D52" s="6">
        <v>7479.78</v>
      </c>
      <c r="E52" s="47">
        <v>6</v>
      </c>
      <c r="F52" s="48" t="s">
        <v>212</v>
      </c>
      <c r="G52" s="6">
        <v>7479.78</v>
      </c>
    </row>
    <row r="53" spans="1:7">
      <c r="A53" s="15">
        <v>52</v>
      </c>
      <c r="B53" s="77">
        <v>0</v>
      </c>
      <c r="C53" s="34" t="s">
        <v>457</v>
      </c>
      <c r="D53" s="6">
        <v>7479.78</v>
      </c>
      <c r="E53" s="47">
        <v>7</v>
      </c>
      <c r="F53" s="48" t="s">
        <v>463</v>
      </c>
      <c r="G53" s="6">
        <v>7479.78</v>
      </c>
    </row>
    <row r="54" spans="1:7">
      <c r="A54" s="15">
        <v>53</v>
      </c>
      <c r="B54" s="77">
        <v>0</v>
      </c>
      <c r="C54" s="34" t="s">
        <v>167</v>
      </c>
      <c r="D54" s="6">
        <v>3399.9</v>
      </c>
      <c r="E54" s="47">
        <v>8</v>
      </c>
      <c r="F54" s="48" t="s">
        <v>167</v>
      </c>
      <c r="G54" s="6">
        <v>3399.9</v>
      </c>
    </row>
    <row r="55" spans="1:7">
      <c r="A55" s="15">
        <v>54</v>
      </c>
      <c r="B55" s="77">
        <v>0</v>
      </c>
      <c r="C55" s="34" t="s">
        <v>55</v>
      </c>
      <c r="D55" s="6">
        <v>12979.78</v>
      </c>
      <c r="E55" s="47">
        <v>9</v>
      </c>
      <c r="F55" s="48" t="s">
        <v>55</v>
      </c>
      <c r="G55" s="6">
        <v>12979.78</v>
      </c>
    </row>
    <row r="56" spans="1:7" ht="23.25">
      <c r="A56" s="15">
        <v>55</v>
      </c>
      <c r="B56" s="77">
        <v>0</v>
      </c>
      <c r="C56" s="34" t="s">
        <v>215</v>
      </c>
      <c r="D56" s="6">
        <v>10199.700000000001</v>
      </c>
      <c r="E56" s="47">
        <v>8</v>
      </c>
      <c r="F56" s="48" t="s">
        <v>215</v>
      </c>
      <c r="G56" s="6">
        <v>10199.700000000001</v>
      </c>
    </row>
    <row r="57" spans="1:7">
      <c r="A57" s="15">
        <v>56</v>
      </c>
      <c r="B57" s="77">
        <v>0</v>
      </c>
      <c r="C57" s="34" t="s">
        <v>410</v>
      </c>
      <c r="D57" s="6">
        <v>10199.700000000001</v>
      </c>
      <c r="E57" s="47">
        <v>9</v>
      </c>
      <c r="F57" s="48" t="s">
        <v>424</v>
      </c>
      <c r="G57" s="6">
        <v>10199.700000000001</v>
      </c>
    </row>
    <row r="58" spans="1:7">
      <c r="A58" s="15">
        <v>57</v>
      </c>
      <c r="B58" s="77">
        <v>0</v>
      </c>
      <c r="C58" s="34" t="s">
        <v>216</v>
      </c>
      <c r="D58" s="6">
        <v>10199.700000000001</v>
      </c>
      <c r="E58" s="47">
        <v>13</v>
      </c>
      <c r="F58" s="48" t="s">
        <v>216</v>
      </c>
      <c r="G58" s="6">
        <v>10199.700000000001</v>
      </c>
    </row>
    <row r="59" spans="1:7">
      <c r="A59" s="15">
        <v>58</v>
      </c>
      <c r="B59" s="77">
        <v>0</v>
      </c>
      <c r="C59" s="34" t="s">
        <v>699</v>
      </c>
      <c r="D59" s="2">
        <v>10199.700000000001</v>
      </c>
      <c r="E59" s="47">
        <v>14</v>
      </c>
      <c r="F59" s="48" t="s">
        <v>62</v>
      </c>
      <c r="G59" s="6">
        <v>10199.700000000001</v>
      </c>
    </row>
    <row r="60" spans="1:7">
      <c r="A60" s="15">
        <v>59</v>
      </c>
      <c r="B60" s="77"/>
      <c r="C60" s="34" t="s">
        <v>448</v>
      </c>
      <c r="D60" s="6">
        <v>7479.78</v>
      </c>
      <c r="E60" s="47">
        <v>18</v>
      </c>
      <c r="F60" s="48" t="s">
        <v>464</v>
      </c>
      <c r="G60" s="6">
        <v>7479.78</v>
      </c>
    </row>
    <row r="61" spans="1:7">
      <c r="A61" s="15">
        <v>60</v>
      </c>
      <c r="B61" s="77">
        <v>0</v>
      </c>
      <c r="C61" s="34" t="s">
        <v>66</v>
      </c>
      <c r="D61" s="6">
        <v>15999.75</v>
      </c>
      <c r="E61" s="47">
        <v>2</v>
      </c>
      <c r="F61" s="48" t="s">
        <v>66</v>
      </c>
      <c r="G61" s="6">
        <v>15999.75</v>
      </c>
    </row>
    <row r="62" spans="1:7">
      <c r="A62" s="15">
        <v>61</v>
      </c>
      <c r="B62" s="77">
        <v>0</v>
      </c>
      <c r="C62" s="34" t="s">
        <v>465</v>
      </c>
      <c r="D62" s="6">
        <v>7479.78</v>
      </c>
      <c r="E62" s="47">
        <v>6</v>
      </c>
      <c r="F62" s="48" t="s">
        <v>465</v>
      </c>
      <c r="G62" s="6">
        <v>7479.78</v>
      </c>
    </row>
    <row r="63" spans="1:7" ht="23.25">
      <c r="A63" s="15">
        <v>62</v>
      </c>
      <c r="B63" s="77">
        <v>0</v>
      </c>
      <c r="C63" s="34" t="s">
        <v>443</v>
      </c>
      <c r="D63" s="6">
        <v>7479.78</v>
      </c>
      <c r="E63" s="47">
        <v>9</v>
      </c>
      <c r="F63" s="48" t="s">
        <v>466</v>
      </c>
      <c r="G63" s="6">
        <v>7479.78</v>
      </c>
    </row>
    <row r="64" spans="1:7">
      <c r="A64" s="15">
        <v>63</v>
      </c>
      <c r="B64" s="77">
        <v>0</v>
      </c>
      <c r="C64" s="34" t="s">
        <v>217</v>
      </c>
      <c r="D64" s="6">
        <v>7479.78</v>
      </c>
      <c r="E64" s="47">
        <v>11</v>
      </c>
      <c r="F64" s="48" t="s">
        <v>217</v>
      </c>
      <c r="G64" s="6">
        <v>7479.78</v>
      </c>
    </row>
    <row r="65" spans="1:7">
      <c r="A65" s="15">
        <v>64</v>
      </c>
      <c r="B65" s="77">
        <v>0</v>
      </c>
      <c r="C65" s="34" t="s">
        <v>449</v>
      </c>
      <c r="D65" s="6">
        <v>7479.78</v>
      </c>
      <c r="E65" s="47">
        <v>13</v>
      </c>
      <c r="F65" s="48" t="s">
        <v>467</v>
      </c>
      <c r="G65" s="6">
        <v>7479.78</v>
      </c>
    </row>
    <row r="66" spans="1:7">
      <c r="A66" s="15">
        <v>65</v>
      </c>
      <c r="B66" s="77">
        <v>0</v>
      </c>
      <c r="C66" s="34" t="s">
        <v>219</v>
      </c>
      <c r="D66" s="6">
        <v>7479.78</v>
      </c>
      <c r="E66" s="47">
        <v>15</v>
      </c>
      <c r="F66" s="48" t="s">
        <v>219</v>
      </c>
      <c r="G66" s="6">
        <v>7479.78</v>
      </c>
    </row>
    <row r="67" spans="1:7">
      <c r="A67" s="15">
        <v>66</v>
      </c>
      <c r="B67" s="77">
        <v>0</v>
      </c>
      <c r="C67" s="34" t="s">
        <v>381</v>
      </c>
      <c r="D67" s="6">
        <v>7479.78</v>
      </c>
      <c r="E67" s="47">
        <v>18</v>
      </c>
      <c r="F67" s="48" t="s">
        <v>330</v>
      </c>
      <c r="G67" s="6">
        <v>7479.78</v>
      </c>
    </row>
    <row r="68" spans="1:7">
      <c r="A68" s="15">
        <v>67</v>
      </c>
      <c r="B68" s="77">
        <v>0</v>
      </c>
      <c r="C68" s="35" t="s">
        <v>450</v>
      </c>
      <c r="D68" s="6">
        <v>10046.44</v>
      </c>
      <c r="E68" s="47">
        <v>1</v>
      </c>
      <c r="F68" s="48" t="s">
        <v>468</v>
      </c>
      <c r="G68" s="6">
        <v>10046.44</v>
      </c>
    </row>
    <row r="69" spans="1:7">
      <c r="A69" s="15">
        <v>68</v>
      </c>
      <c r="B69" s="77">
        <v>0</v>
      </c>
      <c r="C69" s="35" t="s">
        <v>385</v>
      </c>
      <c r="D69" s="6">
        <v>7479.78</v>
      </c>
      <c r="E69" s="47">
        <v>3</v>
      </c>
      <c r="F69" s="48" t="s">
        <v>385</v>
      </c>
      <c r="G69" s="6">
        <v>7479.78</v>
      </c>
    </row>
    <row r="70" spans="1:7">
      <c r="A70" s="15">
        <v>69</v>
      </c>
      <c r="B70" s="77">
        <v>0</v>
      </c>
      <c r="C70" s="33" t="s">
        <v>469</v>
      </c>
      <c r="D70" s="6">
        <v>7479.78</v>
      </c>
      <c r="E70" s="47">
        <v>8</v>
      </c>
      <c r="F70" s="48" t="s">
        <v>469</v>
      </c>
      <c r="G70" s="6">
        <v>7479.78</v>
      </c>
    </row>
    <row r="71" spans="1:7">
      <c r="A71" s="15">
        <v>70</v>
      </c>
      <c r="B71" s="77">
        <v>0</v>
      </c>
      <c r="C71" s="35" t="s">
        <v>76</v>
      </c>
      <c r="D71" s="6">
        <v>7479.78</v>
      </c>
      <c r="E71" s="47">
        <v>11</v>
      </c>
      <c r="F71" s="48" t="s">
        <v>76</v>
      </c>
      <c r="G71" s="6">
        <v>7479.78</v>
      </c>
    </row>
    <row r="72" spans="1:7">
      <c r="A72" s="15">
        <v>71</v>
      </c>
      <c r="B72" s="77">
        <v>0</v>
      </c>
      <c r="C72" s="33" t="s">
        <v>471</v>
      </c>
      <c r="D72" s="6">
        <v>7479.78</v>
      </c>
      <c r="E72" s="47">
        <v>14</v>
      </c>
      <c r="F72" s="48" t="s">
        <v>471</v>
      </c>
      <c r="G72" s="6">
        <v>7479.78</v>
      </c>
    </row>
    <row r="73" spans="1:7">
      <c r="A73" s="15">
        <v>72</v>
      </c>
      <c r="B73" s="77">
        <v>0</v>
      </c>
      <c r="C73" s="34" t="s">
        <v>221</v>
      </c>
      <c r="D73" s="6">
        <v>7479.78</v>
      </c>
      <c r="E73" s="47">
        <v>1</v>
      </c>
      <c r="F73" s="48" t="s">
        <v>221</v>
      </c>
      <c r="G73" s="6">
        <v>7479.78</v>
      </c>
    </row>
    <row r="74" spans="1:7">
      <c r="A74" s="15">
        <v>73</v>
      </c>
      <c r="B74" s="77">
        <v>0</v>
      </c>
      <c r="C74" s="34" t="s">
        <v>222</v>
      </c>
      <c r="D74" s="6">
        <v>7479.78</v>
      </c>
      <c r="E74" s="47">
        <v>3</v>
      </c>
      <c r="F74" s="48" t="s">
        <v>222</v>
      </c>
      <c r="G74" s="6">
        <v>7479.78</v>
      </c>
    </row>
    <row r="75" spans="1:7">
      <c r="A75" s="15">
        <v>74</v>
      </c>
      <c r="B75" s="77">
        <v>0</v>
      </c>
      <c r="C75" s="35" t="s">
        <v>386</v>
      </c>
      <c r="D75" s="6">
        <v>7479.78</v>
      </c>
      <c r="E75" s="47">
        <v>6</v>
      </c>
      <c r="F75" s="48" t="s">
        <v>386</v>
      </c>
      <c r="G75" s="6">
        <v>7479.78</v>
      </c>
    </row>
    <row r="76" spans="1:7">
      <c r="A76" s="15">
        <v>75</v>
      </c>
      <c r="B76" s="77">
        <v>0</v>
      </c>
      <c r="C76" s="34" t="s">
        <v>223</v>
      </c>
      <c r="D76" s="6">
        <v>7479.78</v>
      </c>
      <c r="E76" s="47">
        <v>7</v>
      </c>
      <c r="F76" s="48" t="s">
        <v>223</v>
      </c>
      <c r="G76" s="6">
        <v>7479.78</v>
      </c>
    </row>
    <row r="77" spans="1:7">
      <c r="A77" s="15">
        <v>76</v>
      </c>
      <c r="B77" s="77">
        <v>0</v>
      </c>
      <c r="C77" s="34" t="s">
        <v>224</v>
      </c>
      <c r="D77" s="6">
        <v>7479.78</v>
      </c>
      <c r="E77" s="47">
        <v>12</v>
      </c>
      <c r="F77" s="48" t="s">
        <v>224</v>
      </c>
      <c r="G77" s="6">
        <v>7479.78</v>
      </c>
    </row>
    <row r="78" spans="1:7" ht="23.25">
      <c r="A78" s="15">
        <v>77</v>
      </c>
      <c r="B78" s="77">
        <v>0</v>
      </c>
      <c r="C78" s="34" t="s">
        <v>412</v>
      </c>
      <c r="D78" s="6">
        <v>7479.78</v>
      </c>
      <c r="E78" s="47">
        <v>14</v>
      </c>
      <c r="F78" s="48" t="s">
        <v>426</v>
      </c>
      <c r="G78" s="6">
        <v>7479.78</v>
      </c>
    </row>
    <row r="79" spans="1:7" ht="27">
      <c r="A79" s="15">
        <v>78</v>
      </c>
      <c r="B79" s="77">
        <v>0</v>
      </c>
      <c r="C79" s="34" t="s">
        <v>692</v>
      </c>
      <c r="D79" s="6">
        <v>7479.78</v>
      </c>
      <c r="E79" s="47">
        <v>16</v>
      </c>
      <c r="F79" s="48" t="s">
        <v>712</v>
      </c>
      <c r="G79" s="6">
        <v>7479.78</v>
      </c>
    </row>
    <row r="80" spans="1:7">
      <c r="A80" s="15">
        <v>79</v>
      </c>
      <c r="B80" s="77">
        <v>0</v>
      </c>
      <c r="C80" s="34" t="s">
        <v>693</v>
      </c>
      <c r="D80" s="6">
        <v>7479.78</v>
      </c>
      <c r="E80" s="47">
        <v>17</v>
      </c>
      <c r="F80" s="48" t="s">
        <v>713</v>
      </c>
      <c r="G80" s="6">
        <v>7479.78</v>
      </c>
    </row>
    <row r="81" spans="1:7">
      <c r="A81" s="15">
        <v>80</v>
      </c>
      <c r="B81" s="77">
        <v>0</v>
      </c>
      <c r="C81" s="35" t="s">
        <v>451</v>
      </c>
      <c r="D81" s="6">
        <v>11879.78</v>
      </c>
      <c r="E81" s="47">
        <v>21</v>
      </c>
      <c r="F81" s="48" t="s">
        <v>472</v>
      </c>
      <c r="G81" s="6">
        <v>11879.78</v>
      </c>
    </row>
    <row r="82" spans="1:7">
      <c r="A82" s="15">
        <v>81</v>
      </c>
      <c r="B82" s="77">
        <v>0</v>
      </c>
      <c r="C82" s="34" t="s">
        <v>225</v>
      </c>
      <c r="D82" s="6">
        <v>7479.78</v>
      </c>
      <c r="E82" s="47">
        <v>22</v>
      </c>
      <c r="F82" s="48" t="s">
        <v>225</v>
      </c>
      <c r="G82" s="6">
        <v>7479.78</v>
      </c>
    </row>
    <row r="83" spans="1:7">
      <c r="A83" s="15">
        <v>82</v>
      </c>
      <c r="B83" s="77">
        <v>0</v>
      </c>
      <c r="C83" s="34" t="s">
        <v>382</v>
      </c>
      <c r="D83" s="6">
        <v>7479.78</v>
      </c>
      <c r="E83" s="47">
        <v>26</v>
      </c>
      <c r="F83" s="48" t="s">
        <v>300</v>
      </c>
      <c r="G83" s="6">
        <v>7479.78</v>
      </c>
    </row>
    <row r="84" spans="1:7">
      <c r="A84" s="15">
        <v>83</v>
      </c>
      <c r="B84" s="77">
        <v>0</v>
      </c>
      <c r="C84" s="34" t="s">
        <v>259</v>
      </c>
      <c r="D84" s="6">
        <v>7479.78</v>
      </c>
      <c r="E84" s="47">
        <v>29</v>
      </c>
      <c r="F84" s="48" t="s">
        <v>259</v>
      </c>
      <c r="G84" s="6">
        <v>7479.78</v>
      </c>
    </row>
    <row r="85" spans="1:7">
      <c r="A85" s="15">
        <v>84</v>
      </c>
      <c r="B85" s="77">
        <v>0</v>
      </c>
      <c r="C85" s="34" t="s">
        <v>87</v>
      </c>
      <c r="D85" s="6">
        <v>7479.78</v>
      </c>
      <c r="E85" s="47">
        <v>31</v>
      </c>
      <c r="F85" s="48" t="s">
        <v>87</v>
      </c>
      <c r="G85" s="6">
        <v>7479.78</v>
      </c>
    </row>
    <row r="86" spans="1:7">
      <c r="A86" s="15">
        <v>85</v>
      </c>
      <c r="B86" s="77">
        <v>0</v>
      </c>
      <c r="C86" s="35" t="s">
        <v>387</v>
      </c>
      <c r="D86" s="6">
        <v>3399.9</v>
      </c>
      <c r="E86" s="47">
        <v>32</v>
      </c>
      <c r="F86" s="48" t="s">
        <v>387</v>
      </c>
      <c r="G86" s="6">
        <v>3399.9</v>
      </c>
    </row>
    <row r="87" spans="1:7">
      <c r="A87" s="15">
        <v>86</v>
      </c>
      <c r="B87" s="77">
        <v>0</v>
      </c>
      <c r="C87" s="34" t="s">
        <v>169</v>
      </c>
      <c r="D87" s="6">
        <v>3399.76</v>
      </c>
      <c r="E87" s="47">
        <v>34</v>
      </c>
      <c r="F87" s="48" t="s">
        <v>169</v>
      </c>
      <c r="G87" s="6">
        <v>3399.76</v>
      </c>
    </row>
    <row r="88" spans="1:7">
      <c r="A88" s="15">
        <v>87</v>
      </c>
      <c r="B88" s="77"/>
      <c r="C88" s="34" t="s">
        <v>494</v>
      </c>
      <c r="D88" s="6">
        <v>7479.78</v>
      </c>
      <c r="E88" s="47">
        <v>35</v>
      </c>
      <c r="F88" s="48" t="s">
        <v>499</v>
      </c>
      <c r="G88" s="6">
        <v>7479.78</v>
      </c>
    </row>
    <row r="89" spans="1:7">
      <c r="A89" s="15">
        <v>88</v>
      </c>
      <c r="B89" s="77"/>
      <c r="C89" s="34" t="s">
        <v>171</v>
      </c>
      <c r="D89" s="6">
        <v>3399.9</v>
      </c>
      <c r="E89" s="47">
        <v>37</v>
      </c>
      <c r="F89" s="48" t="s">
        <v>171</v>
      </c>
      <c r="G89" s="6">
        <v>3399.9</v>
      </c>
    </row>
    <row r="90" spans="1:7">
      <c r="A90" s="15">
        <v>89</v>
      </c>
      <c r="B90" s="77"/>
      <c r="C90" s="35" t="s">
        <v>452</v>
      </c>
      <c r="D90" s="6">
        <v>3399.9</v>
      </c>
      <c r="E90" s="47">
        <v>40</v>
      </c>
      <c r="F90" s="48" t="s">
        <v>473</v>
      </c>
      <c r="G90" s="6">
        <v>3399.9</v>
      </c>
    </row>
    <row r="91" spans="1:7">
      <c r="A91" s="15"/>
      <c r="B91" s="77"/>
      <c r="C91" s="34" t="s">
        <v>706</v>
      </c>
      <c r="D91" s="6">
        <v>10199.9</v>
      </c>
      <c r="E91" s="47">
        <v>8</v>
      </c>
      <c r="F91" s="48" t="s">
        <v>98</v>
      </c>
      <c r="G91" s="6">
        <v>10199.9</v>
      </c>
    </row>
    <row r="92" spans="1:7">
      <c r="A92" s="15">
        <v>90</v>
      </c>
      <c r="B92" s="77">
        <v>0</v>
      </c>
      <c r="C92" s="34" t="s">
        <v>453</v>
      </c>
      <c r="D92" s="6">
        <v>7479.78</v>
      </c>
      <c r="E92" s="47">
        <v>10</v>
      </c>
      <c r="F92" s="48" t="s">
        <v>474</v>
      </c>
      <c r="G92" s="6">
        <v>7479.78</v>
      </c>
    </row>
    <row r="93" spans="1:7">
      <c r="A93" s="15">
        <v>91</v>
      </c>
      <c r="B93" s="77">
        <v>0</v>
      </c>
      <c r="C93" s="34" t="s">
        <v>226</v>
      </c>
      <c r="D93" s="6">
        <v>10199.9</v>
      </c>
      <c r="E93" s="47">
        <v>15</v>
      </c>
      <c r="F93" s="48" t="s">
        <v>226</v>
      </c>
      <c r="G93" s="6">
        <v>10199.9</v>
      </c>
    </row>
    <row r="94" spans="1:7">
      <c r="A94" s="15">
        <v>92</v>
      </c>
      <c r="B94" s="77">
        <v>0</v>
      </c>
      <c r="C94" s="34" t="s">
        <v>227</v>
      </c>
      <c r="D94" s="6">
        <v>7479.89</v>
      </c>
      <c r="E94" s="47">
        <v>16</v>
      </c>
      <c r="F94" s="48" t="s">
        <v>227</v>
      </c>
      <c r="G94" s="6">
        <v>7479.89</v>
      </c>
    </row>
    <row r="95" spans="1:7">
      <c r="A95" s="15">
        <v>93</v>
      </c>
      <c r="B95" s="77">
        <v>0</v>
      </c>
      <c r="C95" s="34" t="s">
        <v>228</v>
      </c>
      <c r="D95" s="6">
        <v>7479.78</v>
      </c>
      <c r="E95" s="47">
        <v>17</v>
      </c>
      <c r="F95" s="48" t="s">
        <v>228</v>
      </c>
      <c r="G95" s="6">
        <v>7479.78</v>
      </c>
    </row>
    <row r="96" spans="1:7">
      <c r="A96" s="15">
        <v>95</v>
      </c>
      <c r="B96" s="77"/>
      <c r="C96" s="34" t="s">
        <v>700</v>
      </c>
      <c r="D96" s="6">
        <v>11879.78</v>
      </c>
      <c r="E96" s="47">
        <v>20</v>
      </c>
      <c r="F96" s="48" t="s">
        <v>714</v>
      </c>
      <c r="G96" s="6">
        <v>11879.78</v>
      </c>
    </row>
    <row r="97" spans="1:7">
      <c r="A97" s="15">
        <v>96</v>
      </c>
      <c r="B97" s="77"/>
      <c r="C97" s="34" t="s">
        <v>703</v>
      </c>
      <c r="D97" s="6">
        <v>14629.78</v>
      </c>
      <c r="E97" s="47">
        <v>21</v>
      </c>
      <c r="F97" s="48" t="s">
        <v>102</v>
      </c>
      <c r="G97" s="6">
        <v>14629.78</v>
      </c>
    </row>
    <row r="98" spans="1:7">
      <c r="A98" s="15">
        <v>97</v>
      </c>
      <c r="B98" s="77">
        <v>0</v>
      </c>
      <c r="C98" s="34" t="s">
        <v>231</v>
      </c>
      <c r="D98" s="6">
        <v>7479.89</v>
      </c>
      <c r="E98" s="47">
        <v>3</v>
      </c>
      <c r="F98" s="48" t="s">
        <v>231</v>
      </c>
      <c r="G98" s="6">
        <v>7479.89</v>
      </c>
    </row>
    <row r="99" spans="1:7">
      <c r="A99" s="15">
        <v>98</v>
      </c>
      <c r="B99" s="77">
        <v>0</v>
      </c>
      <c r="C99" s="34" t="s">
        <v>414</v>
      </c>
      <c r="D99" s="6">
        <v>3399.9</v>
      </c>
      <c r="E99" s="47">
        <v>10</v>
      </c>
      <c r="F99" s="48" t="s">
        <v>427</v>
      </c>
      <c r="G99" s="6">
        <v>3399.9</v>
      </c>
    </row>
    <row r="100" spans="1:7">
      <c r="A100" s="15">
        <v>99</v>
      </c>
      <c r="B100" s="77">
        <v>0</v>
      </c>
      <c r="C100" s="34" t="s">
        <v>413</v>
      </c>
      <c r="D100" s="6">
        <v>3399.9</v>
      </c>
      <c r="E100" s="47">
        <v>26</v>
      </c>
      <c r="F100" s="48" t="s">
        <v>475</v>
      </c>
      <c r="G100" s="6">
        <v>3399.9</v>
      </c>
    </row>
    <row r="101" spans="1:7">
      <c r="A101" s="15">
        <v>100</v>
      </c>
      <c r="B101" s="77">
        <v>0</v>
      </c>
      <c r="C101" s="34" t="s">
        <v>701</v>
      </c>
      <c r="D101" s="6">
        <v>3399.9</v>
      </c>
      <c r="E101" s="47">
        <v>33</v>
      </c>
      <c r="F101" s="48" t="s">
        <v>510</v>
      </c>
      <c r="G101" s="6">
        <v>3399.9</v>
      </c>
    </row>
    <row r="102" spans="1:7">
      <c r="A102" s="15">
        <v>101</v>
      </c>
      <c r="B102" s="77">
        <v>0</v>
      </c>
      <c r="C102" s="35" t="s">
        <v>388</v>
      </c>
      <c r="D102" s="6">
        <v>3399.9</v>
      </c>
      <c r="E102" s="47">
        <v>35</v>
      </c>
      <c r="F102" s="48" t="s">
        <v>388</v>
      </c>
      <c r="G102" s="6">
        <v>3399.9</v>
      </c>
    </row>
    <row r="103" spans="1:7">
      <c r="A103" s="15">
        <v>102</v>
      </c>
      <c r="B103" s="77">
        <v>0</v>
      </c>
      <c r="C103" s="34" t="s">
        <v>233</v>
      </c>
      <c r="D103" s="6">
        <v>3399.9</v>
      </c>
      <c r="E103" s="47">
        <v>37</v>
      </c>
      <c r="F103" s="48" t="s">
        <v>233</v>
      </c>
      <c r="G103" s="6">
        <v>3399.9</v>
      </c>
    </row>
    <row r="104" spans="1:7" ht="23.25">
      <c r="A104" s="15">
        <v>103</v>
      </c>
      <c r="B104" s="77">
        <v>0</v>
      </c>
      <c r="C104" s="34" t="s">
        <v>492</v>
      </c>
      <c r="D104" s="6">
        <v>7479.78</v>
      </c>
      <c r="E104" s="47">
        <v>1</v>
      </c>
      <c r="F104" s="48" t="s">
        <v>476</v>
      </c>
      <c r="G104" s="6">
        <v>7479.78</v>
      </c>
    </row>
    <row r="105" spans="1:7">
      <c r="A105" s="15">
        <v>104</v>
      </c>
      <c r="B105" s="77">
        <v>0</v>
      </c>
      <c r="C105" s="34" t="s">
        <v>400</v>
      </c>
      <c r="D105" s="6">
        <v>7479.78</v>
      </c>
      <c r="E105" s="47">
        <v>2</v>
      </c>
      <c r="F105" s="48" t="s">
        <v>477</v>
      </c>
      <c r="G105" s="6">
        <v>7479.78</v>
      </c>
    </row>
    <row r="106" spans="1:7">
      <c r="A106" s="15">
        <v>105</v>
      </c>
      <c r="B106" s="77">
        <v>0</v>
      </c>
      <c r="C106" s="34" t="s">
        <v>454</v>
      </c>
      <c r="D106" s="6">
        <v>14629.78</v>
      </c>
      <c r="E106" s="47">
        <v>3</v>
      </c>
      <c r="F106" s="48" t="s">
        <v>478</v>
      </c>
      <c r="G106" s="6">
        <v>14629.78</v>
      </c>
    </row>
    <row r="107" spans="1:7">
      <c r="A107" s="15">
        <v>106</v>
      </c>
      <c r="B107" s="77">
        <v>0</v>
      </c>
      <c r="C107" s="34" t="s">
        <v>435</v>
      </c>
      <c r="D107" s="6">
        <v>7479.78</v>
      </c>
      <c r="E107" s="47">
        <v>5</v>
      </c>
      <c r="F107" s="48" t="s">
        <v>479</v>
      </c>
      <c r="G107" s="6">
        <v>7479.78</v>
      </c>
    </row>
    <row r="108" spans="1:7">
      <c r="A108" s="15">
        <v>107</v>
      </c>
      <c r="B108" s="77">
        <v>0</v>
      </c>
      <c r="C108" s="34" t="s">
        <v>694</v>
      </c>
      <c r="D108" s="6">
        <v>7479.78</v>
      </c>
      <c r="E108" s="47">
        <v>7</v>
      </c>
      <c r="F108" s="48" t="s">
        <v>522</v>
      </c>
      <c r="G108" s="6">
        <v>7479.78</v>
      </c>
    </row>
    <row r="109" spans="1:7">
      <c r="A109" s="15">
        <v>108</v>
      </c>
      <c r="B109" s="77">
        <v>0</v>
      </c>
      <c r="C109" s="34" t="s">
        <v>438</v>
      </c>
      <c r="D109" s="6">
        <v>7479.78</v>
      </c>
      <c r="E109" s="47">
        <v>9</v>
      </c>
      <c r="F109" s="48" t="s">
        <v>480</v>
      </c>
      <c r="G109" s="6">
        <v>7479.78</v>
      </c>
    </row>
    <row r="110" spans="1:7">
      <c r="A110" s="15">
        <v>109</v>
      </c>
      <c r="B110" s="77">
        <v>0</v>
      </c>
      <c r="C110" s="34" t="s">
        <v>439</v>
      </c>
      <c r="D110" s="6">
        <v>7479.78</v>
      </c>
      <c r="E110" s="47">
        <v>10</v>
      </c>
      <c r="F110" s="48" t="s">
        <v>481</v>
      </c>
      <c r="G110" s="6">
        <v>7479.78</v>
      </c>
    </row>
    <row r="111" spans="1:7">
      <c r="A111" s="15">
        <v>110</v>
      </c>
      <c r="B111" s="77">
        <v>0</v>
      </c>
      <c r="C111" s="34" t="s">
        <v>707</v>
      </c>
      <c r="D111" s="6">
        <v>3399.9</v>
      </c>
      <c r="E111" s="47">
        <v>13</v>
      </c>
      <c r="F111" s="48" t="s">
        <v>525</v>
      </c>
      <c r="G111" s="6">
        <v>3399.9</v>
      </c>
    </row>
    <row r="112" spans="1:7">
      <c r="A112" s="15">
        <v>111</v>
      </c>
      <c r="B112" s="77">
        <v>0</v>
      </c>
      <c r="C112" s="34" t="s">
        <v>436</v>
      </c>
      <c r="D112" s="6">
        <v>3399.9</v>
      </c>
      <c r="E112" s="47">
        <v>15</v>
      </c>
      <c r="F112" s="48" t="s">
        <v>482</v>
      </c>
      <c r="G112" s="6">
        <v>3399.9</v>
      </c>
    </row>
    <row r="113" spans="1:7">
      <c r="A113" s="15">
        <v>112</v>
      </c>
      <c r="B113" s="77">
        <v>0</v>
      </c>
      <c r="C113" s="34" t="s">
        <v>236</v>
      </c>
      <c r="D113" s="6">
        <v>3399.95</v>
      </c>
      <c r="E113" s="47">
        <v>23</v>
      </c>
      <c r="F113" s="48" t="s">
        <v>236</v>
      </c>
      <c r="G113" s="6">
        <v>3399.95</v>
      </c>
    </row>
    <row r="114" spans="1:7">
      <c r="A114" s="15">
        <v>113</v>
      </c>
      <c r="B114" s="77">
        <v>0</v>
      </c>
      <c r="C114" s="34" t="s">
        <v>440</v>
      </c>
      <c r="D114" s="6">
        <v>3399.9</v>
      </c>
      <c r="E114" s="47">
        <v>29</v>
      </c>
      <c r="F114" s="48" t="s">
        <v>483</v>
      </c>
      <c r="G114" s="6">
        <v>3399.9</v>
      </c>
    </row>
    <row r="115" spans="1:7">
      <c r="A115" s="15">
        <v>115</v>
      </c>
      <c r="B115" s="77">
        <v>0</v>
      </c>
      <c r="C115" s="34" t="s">
        <v>445</v>
      </c>
      <c r="D115" s="6">
        <v>3399.9</v>
      </c>
      <c r="E115" s="47">
        <v>33</v>
      </c>
      <c r="F115" s="48" t="s">
        <v>484</v>
      </c>
      <c r="G115" s="6">
        <v>3399.9</v>
      </c>
    </row>
    <row r="116" spans="1:7">
      <c r="A116" s="15">
        <v>116</v>
      </c>
      <c r="B116" s="77">
        <v>0</v>
      </c>
      <c r="C116" s="34" t="s">
        <v>495</v>
      </c>
      <c r="D116" s="6">
        <v>3399.9</v>
      </c>
      <c r="E116" s="47">
        <v>36</v>
      </c>
      <c r="F116" s="48" t="s">
        <v>485</v>
      </c>
      <c r="G116" s="6">
        <v>3399.9</v>
      </c>
    </row>
    <row r="117" spans="1:7">
      <c r="A117" s="15">
        <v>117</v>
      </c>
      <c r="B117" s="77">
        <v>0</v>
      </c>
      <c r="C117" s="34" t="s">
        <v>437</v>
      </c>
      <c r="D117" s="6">
        <v>3399.9</v>
      </c>
      <c r="E117" s="47">
        <v>40</v>
      </c>
      <c r="F117" s="48" t="s">
        <v>486</v>
      </c>
      <c r="G117" s="6">
        <v>3399.9</v>
      </c>
    </row>
    <row r="118" spans="1:7">
      <c r="A118" s="15">
        <v>118</v>
      </c>
      <c r="B118" s="77"/>
      <c r="C118" s="34" t="s">
        <v>444</v>
      </c>
      <c r="D118" s="6">
        <v>3399.9</v>
      </c>
      <c r="E118" s="47">
        <v>44</v>
      </c>
      <c r="F118" s="48" t="s">
        <v>487</v>
      </c>
      <c r="G118" s="6">
        <v>3399.9</v>
      </c>
    </row>
    <row r="119" spans="1:7" ht="23.25">
      <c r="A119" s="15">
        <v>119</v>
      </c>
      <c r="B119" s="77"/>
      <c r="C119" s="34" t="s">
        <v>695</v>
      </c>
      <c r="D119" s="6">
        <v>3399.9</v>
      </c>
      <c r="E119" s="47">
        <v>47</v>
      </c>
      <c r="F119" s="48" t="s">
        <v>543</v>
      </c>
      <c r="G119" s="6">
        <v>3399.9</v>
      </c>
    </row>
    <row r="120" spans="1:7">
      <c r="A120" s="15">
        <v>120</v>
      </c>
      <c r="B120" s="77"/>
      <c r="C120" s="34" t="s">
        <v>237</v>
      </c>
      <c r="D120" s="6">
        <v>3399.9</v>
      </c>
      <c r="E120" s="47">
        <v>48</v>
      </c>
      <c r="F120" s="48" t="s">
        <v>237</v>
      </c>
      <c r="G120" s="6">
        <v>3399.95</v>
      </c>
    </row>
    <row r="121" spans="1:7">
      <c r="A121" s="15">
        <v>121</v>
      </c>
      <c r="B121" s="77"/>
      <c r="C121" s="34" t="s">
        <v>544</v>
      </c>
      <c r="D121" s="6">
        <v>3399.9</v>
      </c>
      <c r="E121" s="47">
        <v>49</v>
      </c>
      <c r="F121" s="48" t="s">
        <v>544</v>
      </c>
      <c r="G121" s="6">
        <v>3399.9</v>
      </c>
    </row>
    <row r="122" spans="1:7" ht="23.25">
      <c r="A122" s="15"/>
      <c r="B122" s="77"/>
      <c r="C122" s="34" t="s">
        <v>498</v>
      </c>
      <c r="D122" s="6">
        <v>6799.8</v>
      </c>
      <c r="E122" s="47">
        <v>53</v>
      </c>
      <c r="F122" s="48" t="s">
        <v>500</v>
      </c>
      <c r="G122" s="6">
        <v>6799.8</v>
      </c>
    </row>
    <row r="123" spans="1:7" ht="23.25">
      <c r="A123" s="15">
        <v>122</v>
      </c>
      <c r="B123" s="77">
        <v>0</v>
      </c>
      <c r="C123" s="34" t="s">
        <v>260</v>
      </c>
      <c r="D123" s="6">
        <v>7479.78</v>
      </c>
      <c r="E123" s="47">
        <v>1</v>
      </c>
      <c r="F123" s="48" t="s">
        <v>260</v>
      </c>
      <c r="G123" s="6">
        <v>7479.78</v>
      </c>
    </row>
    <row r="124" spans="1:7">
      <c r="A124" s="15">
        <v>123</v>
      </c>
      <c r="B124" s="77">
        <v>0</v>
      </c>
      <c r="C124" s="34" t="s">
        <v>458</v>
      </c>
      <c r="D124" s="6">
        <v>3399.9</v>
      </c>
      <c r="E124" s="47">
        <v>3</v>
      </c>
      <c r="F124" s="48" t="s">
        <v>488</v>
      </c>
      <c r="G124" s="6">
        <v>3399.9</v>
      </c>
    </row>
    <row r="125" spans="1:7">
      <c r="A125" s="15">
        <v>124</v>
      </c>
      <c r="B125" s="77">
        <v>0</v>
      </c>
      <c r="C125" s="34" t="s">
        <v>173</v>
      </c>
      <c r="D125" s="6">
        <v>0</v>
      </c>
      <c r="E125" s="47">
        <v>5</v>
      </c>
      <c r="F125" s="48" t="s">
        <v>183</v>
      </c>
      <c r="G125" s="6">
        <v>3399.9</v>
      </c>
    </row>
    <row r="126" spans="1:7">
      <c r="A126" s="15">
        <v>125</v>
      </c>
      <c r="B126" s="77">
        <v>0</v>
      </c>
      <c r="C126" s="34" t="s">
        <v>183</v>
      </c>
      <c r="D126" s="6">
        <v>3399.9</v>
      </c>
      <c r="E126" s="47">
        <v>9</v>
      </c>
      <c r="F126" s="48" t="s">
        <v>164</v>
      </c>
      <c r="G126" s="6">
        <v>3399.9</v>
      </c>
    </row>
    <row r="127" spans="1:7">
      <c r="A127" s="15">
        <v>126</v>
      </c>
      <c r="B127" s="77">
        <v>0</v>
      </c>
      <c r="C127" s="34" t="s">
        <v>164</v>
      </c>
      <c r="D127" s="6">
        <v>3399.9</v>
      </c>
      <c r="E127" s="47">
        <v>14</v>
      </c>
      <c r="F127" s="48" t="s">
        <v>238</v>
      </c>
      <c r="G127" s="6">
        <v>3399.9</v>
      </c>
    </row>
    <row r="128" spans="1:7">
      <c r="A128" s="15">
        <v>127</v>
      </c>
      <c r="B128" s="77">
        <v>0</v>
      </c>
      <c r="C128" s="34" t="s">
        <v>238</v>
      </c>
      <c r="D128" s="6">
        <v>3399.9</v>
      </c>
      <c r="E128" s="47">
        <v>18</v>
      </c>
      <c r="F128" s="48" t="s">
        <v>239</v>
      </c>
      <c r="G128" s="6">
        <v>3399.9</v>
      </c>
    </row>
    <row r="129" spans="1:7">
      <c r="A129" s="15">
        <v>128</v>
      </c>
      <c r="B129" s="77">
        <v>0</v>
      </c>
      <c r="C129" s="34" t="s">
        <v>459</v>
      </c>
      <c r="D129" s="6">
        <v>3399.9</v>
      </c>
      <c r="E129" s="47">
        <v>19</v>
      </c>
      <c r="F129" s="48" t="s">
        <v>175</v>
      </c>
      <c r="G129" s="6">
        <v>3399.9</v>
      </c>
    </row>
    <row r="130" spans="1:7">
      <c r="A130" s="15">
        <v>129</v>
      </c>
      <c r="B130" s="77">
        <v>0</v>
      </c>
      <c r="C130" s="34" t="s">
        <v>239</v>
      </c>
      <c r="D130" s="6">
        <v>3399.9</v>
      </c>
      <c r="E130" s="47">
        <v>21</v>
      </c>
      <c r="F130" s="48" t="s">
        <v>489</v>
      </c>
      <c r="G130" s="6">
        <v>3399.9</v>
      </c>
    </row>
    <row r="131" spans="1:7">
      <c r="A131" s="15">
        <v>130</v>
      </c>
      <c r="B131" s="77">
        <v>0</v>
      </c>
      <c r="C131" s="34" t="s">
        <v>175</v>
      </c>
      <c r="D131" s="6">
        <v>3399.9</v>
      </c>
      <c r="E131" s="47">
        <v>26</v>
      </c>
      <c r="F131" s="48" t="s">
        <v>490</v>
      </c>
      <c r="G131" s="6">
        <v>3399.9</v>
      </c>
    </row>
    <row r="132" spans="1:7">
      <c r="A132" s="15">
        <v>131</v>
      </c>
      <c r="B132" s="80" t="s">
        <v>433</v>
      </c>
      <c r="C132" s="34" t="s">
        <v>446</v>
      </c>
      <c r="D132" s="6">
        <v>3399.9</v>
      </c>
      <c r="E132" s="47">
        <v>31</v>
      </c>
      <c r="F132" s="48" t="s">
        <v>446</v>
      </c>
      <c r="G132" s="6">
        <v>3399.9</v>
      </c>
    </row>
    <row r="133" spans="1:7">
      <c r="A133" s="15">
        <v>132</v>
      </c>
      <c r="B133" s="80"/>
      <c r="C133" s="34" t="s">
        <v>460</v>
      </c>
      <c r="D133" s="6">
        <v>3399.9</v>
      </c>
      <c r="E133" s="47">
        <v>35</v>
      </c>
      <c r="F133" s="48" t="s">
        <v>176</v>
      </c>
      <c r="G133" s="6">
        <v>3399.72</v>
      </c>
    </row>
    <row r="134" spans="1:7">
      <c r="A134" s="15">
        <v>133</v>
      </c>
      <c r="B134" s="80"/>
      <c r="C134" s="34" t="s">
        <v>176</v>
      </c>
      <c r="D134" s="6">
        <v>3399.72</v>
      </c>
      <c r="E134" s="47">
        <v>36</v>
      </c>
      <c r="F134" s="48" t="s">
        <v>177</v>
      </c>
      <c r="G134" s="6">
        <v>3399.9</v>
      </c>
    </row>
    <row r="135" spans="1:7">
      <c r="A135" s="15">
        <v>134</v>
      </c>
      <c r="B135" s="80"/>
      <c r="C135" s="34" t="s">
        <v>177</v>
      </c>
      <c r="D135" s="6">
        <v>3399.9</v>
      </c>
      <c r="E135" s="47">
        <v>39</v>
      </c>
      <c r="F135" s="48" t="s">
        <v>165</v>
      </c>
      <c r="G135" s="6">
        <v>3399.9</v>
      </c>
    </row>
    <row r="136" spans="1:7">
      <c r="A136" s="15">
        <v>135</v>
      </c>
      <c r="B136" s="80"/>
      <c r="C136" s="34" t="s">
        <v>165</v>
      </c>
      <c r="D136" s="6">
        <v>3399.9</v>
      </c>
      <c r="E136" s="47">
        <v>40</v>
      </c>
      <c r="F136" s="48" t="s">
        <v>166</v>
      </c>
      <c r="G136" s="6">
        <v>3399.9</v>
      </c>
    </row>
    <row r="137" spans="1:7">
      <c r="A137" s="15">
        <v>136</v>
      </c>
      <c r="B137" s="80"/>
      <c r="C137" s="34" t="s">
        <v>166</v>
      </c>
      <c r="D137" s="6">
        <v>3399.9</v>
      </c>
      <c r="E137" s="47">
        <v>41</v>
      </c>
      <c r="F137" s="48" t="s">
        <v>178</v>
      </c>
      <c r="G137" s="6">
        <v>3401.9</v>
      </c>
    </row>
    <row r="138" spans="1:7">
      <c r="A138" s="15">
        <v>137</v>
      </c>
      <c r="B138" s="80"/>
      <c r="C138" s="34" t="s">
        <v>178</v>
      </c>
      <c r="D138" s="6">
        <v>3401.9</v>
      </c>
      <c r="E138" s="47">
        <v>81</v>
      </c>
      <c r="F138" s="48" t="s">
        <v>497</v>
      </c>
      <c r="G138" s="6">
        <v>3399.9</v>
      </c>
    </row>
    <row r="139" spans="1:7">
      <c r="A139" s="15">
        <v>138</v>
      </c>
      <c r="B139" s="80"/>
      <c r="C139" s="34" t="s">
        <v>496</v>
      </c>
      <c r="D139" s="6">
        <v>3399.9</v>
      </c>
      <c r="E139" s="47">
        <v>82</v>
      </c>
      <c r="F139" s="48" t="s">
        <v>496</v>
      </c>
      <c r="G139" s="6">
        <v>3399.9</v>
      </c>
    </row>
    <row r="140" spans="1:7">
      <c r="A140" s="15">
        <v>139</v>
      </c>
      <c r="B140" s="80"/>
      <c r="C140" s="34" t="s">
        <v>497</v>
      </c>
      <c r="D140" s="6">
        <v>3399.9</v>
      </c>
      <c r="E140" s="47">
        <v>13</v>
      </c>
      <c r="F140" s="48" t="s">
        <v>261</v>
      </c>
      <c r="G140" s="6">
        <v>7479.78</v>
      </c>
    </row>
    <row r="141" spans="1:7">
      <c r="A141" s="15">
        <v>140</v>
      </c>
      <c r="B141" s="80"/>
      <c r="C141" s="34" t="s">
        <v>261</v>
      </c>
      <c r="D141" s="6">
        <v>7479.78</v>
      </c>
      <c r="E141" s="47">
        <v>16</v>
      </c>
      <c r="F141" s="48" t="s">
        <v>430</v>
      </c>
      <c r="G141" s="6">
        <v>3399.9</v>
      </c>
    </row>
    <row r="142" spans="1:7">
      <c r="A142" s="15">
        <v>141</v>
      </c>
      <c r="B142" s="80"/>
      <c r="C142" s="35" t="s">
        <v>389</v>
      </c>
      <c r="D142" s="6">
        <v>3399.9</v>
      </c>
      <c r="E142" s="47">
        <v>17</v>
      </c>
      <c r="F142" s="48" t="s">
        <v>389</v>
      </c>
      <c r="G142" s="6">
        <v>3399.9</v>
      </c>
    </row>
    <row r="143" spans="1:7">
      <c r="A143" s="15">
        <v>142</v>
      </c>
      <c r="B143" s="80"/>
      <c r="C143" s="34" t="s">
        <v>417</v>
      </c>
      <c r="D143" s="6">
        <v>3399.9</v>
      </c>
      <c r="E143" s="47">
        <v>2</v>
      </c>
      <c r="F143" s="48" t="s">
        <v>245</v>
      </c>
      <c r="G143" s="6">
        <v>7479.78</v>
      </c>
    </row>
    <row r="144" spans="1:7">
      <c r="A144" s="15">
        <v>143</v>
      </c>
      <c r="B144" s="80"/>
      <c r="C144" s="34" t="s">
        <v>245</v>
      </c>
      <c r="D144" s="6">
        <v>7479.78</v>
      </c>
      <c r="E144" s="47">
        <v>4</v>
      </c>
      <c r="F144" s="48" t="s">
        <v>246</v>
      </c>
      <c r="G144" s="6">
        <v>7479.78</v>
      </c>
    </row>
    <row r="145" spans="1:7">
      <c r="A145" s="15">
        <v>144</v>
      </c>
      <c r="B145" s="80"/>
      <c r="C145" s="34" t="s">
        <v>246</v>
      </c>
      <c r="D145" s="6">
        <v>7479.78</v>
      </c>
      <c r="E145" s="47">
        <v>6</v>
      </c>
      <c r="F145" s="48" t="s">
        <v>247</v>
      </c>
      <c r="G145" s="6">
        <v>7479.78</v>
      </c>
    </row>
    <row r="146" spans="1:7">
      <c r="A146" s="15">
        <v>145</v>
      </c>
      <c r="B146" s="80"/>
      <c r="C146" s="34" t="s">
        <v>247</v>
      </c>
      <c r="D146" s="6">
        <v>7479.78</v>
      </c>
      <c r="E146" s="47">
        <v>10</v>
      </c>
      <c r="F146" s="9" t="s">
        <v>248</v>
      </c>
      <c r="G146" s="6">
        <v>7479.78</v>
      </c>
    </row>
    <row r="147" spans="1:7">
      <c r="A147" s="15">
        <v>146</v>
      </c>
      <c r="B147" s="80"/>
      <c r="C147" s="35" t="s">
        <v>248</v>
      </c>
      <c r="D147" s="6">
        <v>7479.78</v>
      </c>
      <c r="E147" s="47">
        <v>11</v>
      </c>
      <c r="F147" s="48" t="s">
        <v>249</v>
      </c>
      <c r="G147" s="6">
        <v>7479.78</v>
      </c>
    </row>
    <row r="148" spans="1:7">
      <c r="A148" s="15">
        <v>147</v>
      </c>
      <c r="B148" s="80"/>
      <c r="C148" s="34" t="s">
        <v>249</v>
      </c>
      <c r="D148" s="6">
        <v>7479.78</v>
      </c>
      <c r="E148" s="47">
        <v>17</v>
      </c>
      <c r="F148" s="48" t="s">
        <v>251</v>
      </c>
      <c r="G148" s="6">
        <v>7479.78</v>
      </c>
    </row>
    <row r="149" spans="1:7">
      <c r="A149" s="15">
        <v>149</v>
      </c>
      <c r="B149" s="80"/>
      <c r="C149" s="34" t="s">
        <v>251</v>
      </c>
      <c r="D149" s="6">
        <v>7479.78</v>
      </c>
      <c r="E149" s="47">
        <v>19</v>
      </c>
      <c r="F149" s="48" t="s">
        <v>431</v>
      </c>
      <c r="G149" s="6">
        <v>3399.9</v>
      </c>
    </row>
    <row r="150" spans="1:7">
      <c r="A150" s="15">
        <v>150</v>
      </c>
      <c r="B150" s="80"/>
      <c r="C150" s="34" t="s">
        <v>418</v>
      </c>
      <c r="D150" s="6">
        <v>3399.9</v>
      </c>
      <c r="E150" s="48">
        <v>1</v>
      </c>
      <c r="F150" s="48" t="s">
        <v>680</v>
      </c>
      <c r="G150" s="8">
        <v>10199.700000000001</v>
      </c>
    </row>
    <row r="151" spans="1:7">
      <c r="A151" s="15">
        <v>151</v>
      </c>
      <c r="B151" s="80"/>
      <c r="C151" s="34" t="s">
        <v>253</v>
      </c>
      <c r="D151" s="6">
        <v>7479.78</v>
      </c>
      <c r="E151" s="48">
        <v>3</v>
      </c>
      <c r="F151" s="48" t="s">
        <v>253</v>
      </c>
      <c r="G151" s="8">
        <v>7479.78</v>
      </c>
    </row>
    <row r="152" spans="1:7">
      <c r="A152" s="15">
        <v>152</v>
      </c>
      <c r="B152" s="80"/>
      <c r="C152" s="34" t="s">
        <v>419</v>
      </c>
      <c r="D152" s="6">
        <v>7479.78</v>
      </c>
      <c r="E152" s="48">
        <v>4</v>
      </c>
      <c r="F152" s="48" t="s">
        <v>432</v>
      </c>
      <c r="G152" s="8">
        <v>7479.78</v>
      </c>
    </row>
    <row r="153" spans="1:7">
      <c r="A153" s="15">
        <v>153</v>
      </c>
      <c r="B153" s="80"/>
      <c r="C153" s="34" t="s">
        <v>254</v>
      </c>
      <c r="D153" s="6">
        <v>3399.9</v>
      </c>
      <c r="E153" s="48">
        <v>5</v>
      </c>
      <c r="F153" s="48" t="s">
        <v>254</v>
      </c>
      <c r="G153" s="8">
        <v>3399.9</v>
      </c>
    </row>
    <row r="154" spans="1:7">
      <c r="A154" s="15">
        <v>154</v>
      </c>
      <c r="B154" s="80"/>
      <c r="C154" s="34" t="s">
        <v>255</v>
      </c>
      <c r="D154" s="6">
        <v>3399.9</v>
      </c>
      <c r="E154" s="48">
        <v>6</v>
      </c>
      <c r="F154" s="48" t="s">
        <v>255</v>
      </c>
      <c r="G154" s="8">
        <v>3399.9</v>
      </c>
    </row>
    <row r="155" spans="1:7">
      <c r="A155" s="15">
        <v>155</v>
      </c>
      <c r="B155" s="80"/>
      <c r="C155" s="34" t="s">
        <v>705</v>
      </c>
      <c r="D155" s="82">
        <v>10199.700000000001</v>
      </c>
      <c r="E155" s="47">
        <v>2</v>
      </c>
      <c r="F155" s="48" t="s">
        <v>684</v>
      </c>
      <c r="G155" s="6">
        <v>10199.700000000001</v>
      </c>
    </row>
    <row r="156" spans="1:7">
      <c r="A156" s="15">
        <v>156</v>
      </c>
      <c r="B156" s="80"/>
      <c r="C156" s="34" t="s">
        <v>702</v>
      </c>
      <c r="D156" s="2">
        <v>10199.700000000001</v>
      </c>
      <c r="E156" s="47">
        <v>3</v>
      </c>
      <c r="F156" s="48" t="s">
        <v>256</v>
      </c>
      <c r="G156" s="6">
        <v>7479.78</v>
      </c>
    </row>
    <row r="157" spans="1:7">
      <c r="A157" s="15">
        <v>157</v>
      </c>
      <c r="B157" s="80"/>
      <c r="C157" s="34" t="s">
        <v>256</v>
      </c>
      <c r="D157" s="6">
        <v>7479.78</v>
      </c>
      <c r="E157" s="47">
        <v>4</v>
      </c>
      <c r="F157" s="48" t="s">
        <v>257</v>
      </c>
      <c r="G157" s="6">
        <v>7479.78</v>
      </c>
    </row>
    <row r="158" spans="1:7">
      <c r="A158" s="15">
        <v>158</v>
      </c>
      <c r="B158" s="80"/>
      <c r="C158" s="34" t="s">
        <v>455</v>
      </c>
      <c r="D158" s="6">
        <v>7479.78</v>
      </c>
      <c r="E158" s="47">
        <v>5</v>
      </c>
      <c r="F158" s="48" t="s">
        <v>491</v>
      </c>
      <c r="G158" s="6">
        <v>7479.78</v>
      </c>
    </row>
    <row r="159" spans="1:7">
      <c r="A159" s="15">
        <v>159</v>
      </c>
      <c r="B159" s="80"/>
      <c r="C159" s="34" t="s">
        <v>257</v>
      </c>
      <c r="D159" s="6">
        <v>7479.78</v>
      </c>
      <c r="G159" s="5">
        <f>SUM(G3:G158)</f>
        <v>1121517.4900000023</v>
      </c>
    </row>
    <row r="160" spans="1:7">
      <c r="A160" s="84" t="s">
        <v>163</v>
      </c>
      <c r="B160" s="85"/>
      <c r="C160" s="85"/>
      <c r="D160" s="31">
        <f>SUM(D3:D159)</f>
        <v>1121517.4400000023</v>
      </c>
    </row>
    <row r="161" spans="4:4">
      <c r="D161" s="43">
        <v>1121517.49</v>
      </c>
    </row>
    <row r="162" spans="4:4">
      <c r="D162" s="38">
        <f>D160-D161</f>
        <v>-4.9999997718259692E-2</v>
      </c>
    </row>
    <row r="163" spans="4:4">
      <c r="D163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pm</dc:creator>
  <cp:lastModifiedBy>Personnel Emolument</cp:lastModifiedBy>
  <cp:lastPrinted>2020-06-03T11:25:05Z</cp:lastPrinted>
  <dcterms:created xsi:type="dcterms:W3CDTF">2014-07-04T07:58:20Z</dcterms:created>
  <dcterms:modified xsi:type="dcterms:W3CDTF">2020-06-03T11:27:11Z</dcterms:modified>
</cp:coreProperties>
</file>