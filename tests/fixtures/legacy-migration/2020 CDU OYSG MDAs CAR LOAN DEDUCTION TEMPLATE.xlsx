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135" windowWidth="8415" windowHeight="3285" firstSheet="14" activeTab="16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APRIL" sheetId="16" r:id="rId16"/>
    <sheet name="MAY" sheetId="17" r:id="rId17"/>
    <sheet name="JUNE" sheetId="19" r:id="rId18"/>
  </sheets>
  <calcPr calcId="124519"/>
</workbook>
</file>

<file path=xl/calcChain.xml><?xml version="1.0" encoding="utf-8"?>
<calcChain xmlns="http://schemas.openxmlformats.org/spreadsheetml/2006/main">
  <c r="Q25" i="19"/>
  <c r="P25"/>
  <c r="M25"/>
  <c r="L25"/>
  <c r="K25"/>
  <c r="J25"/>
  <c r="I25"/>
  <c r="H25"/>
  <c r="F25"/>
  <c r="E25"/>
  <c r="D25"/>
  <c r="Q25" i="17"/>
  <c r="P25"/>
  <c r="M25"/>
  <c r="L25"/>
  <c r="K25"/>
  <c r="J25"/>
  <c r="I25"/>
  <c r="H25"/>
  <c r="F25"/>
  <c r="E25"/>
  <c r="D25"/>
  <c r="R26" i="16"/>
  <c r="Q26"/>
  <c r="N26"/>
  <c r="M26"/>
  <c r="L26"/>
  <c r="K26"/>
  <c r="J26"/>
  <c r="I26"/>
  <c r="G26"/>
  <c r="F26"/>
  <c r="E26"/>
  <c r="R26" i="15"/>
  <c r="Q26"/>
  <c r="N26"/>
  <c r="M26"/>
  <c r="L26"/>
  <c r="K26"/>
  <c r="J26"/>
  <c r="I26"/>
  <c r="G26"/>
  <c r="F26"/>
  <c r="E26"/>
  <c r="R27" i="14"/>
  <c r="Q27"/>
  <c r="N27"/>
  <c r="M27"/>
  <c r="L27"/>
  <c r="K27"/>
  <c r="J27"/>
  <c r="I27"/>
  <c r="G27"/>
  <c r="F27"/>
  <c r="E27"/>
  <c r="R26" i="13"/>
  <c r="Q26"/>
  <c r="N26"/>
  <c r="M26"/>
  <c r="L26"/>
  <c r="K26"/>
  <c r="J26"/>
  <c r="I26"/>
  <c r="G26"/>
  <c r="F26"/>
  <c r="E26"/>
  <c r="Q26" i="12"/>
  <c r="P26"/>
  <c r="M26"/>
  <c r="L26"/>
  <c r="K26"/>
  <c r="J26"/>
  <c r="I26"/>
  <c r="H26"/>
  <c r="F26"/>
  <c r="E26"/>
  <c r="D26"/>
  <c r="Q26" i="11"/>
  <c r="P26"/>
  <c r="M26"/>
  <c r="L26"/>
  <c r="K26"/>
  <c r="J26"/>
  <c r="I26"/>
  <c r="H26"/>
  <c r="F26"/>
  <c r="E26"/>
  <c r="D26"/>
  <c r="Q26" i="10"/>
  <c r="P26"/>
  <c r="M26"/>
  <c r="L26"/>
  <c r="K26"/>
  <c r="J26"/>
  <c r="I26"/>
  <c r="H26"/>
  <c r="F26"/>
  <c r="E26"/>
  <c r="D26"/>
  <c r="Q25" i="9"/>
  <c r="P25"/>
  <c r="M25"/>
  <c r="L25"/>
  <c r="K25"/>
  <c r="J25"/>
  <c r="I25"/>
  <c r="H25"/>
  <c r="F25"/>
  <c r="E25"/>
  <c r="D25"/>
  <c r="Q25" i="8"/>
  <c r="P25"/>
  <c r="M25"/>
  <c r="L25"/>
  <c r="K25"/>
  <c r="J25"/>
  <c r="I25"/>
  <c r="H25"/>
  <c r="F25"/>
  <c r="E25"/>
  <c r="D25"/>
  <c r="Q22" i="7"/>
  <c r="P22"/>
  <c r="M22"/>
  <c r="L22"/>
  <c r="K22"/>
  <c r="J22"/>
  <c r="I22"/>
  <c r="H22"/>
  <c r="F22"/>
  <c r="E22"/>
  <c r="D22"/>
  <c r="K21" i="1"/>
</calcChain>
</file>

<file path=xl/sharedStrings.xml><?xml version="1.0" encoding="utf-8"?>
<sst xmlns="http://schemas.openxmlformats.org/spreadsheetml/2006/main" count="1092" uniqueCount="72">
  <si>
    <t>OYSG MDAs CAR LOAN DEDUCTION TEMPLATE      JANUARY 2019</t>
  </si>
  <si>
    <t>OYO STATE COCOA DEVELOPMENT UNIT</t>
  </si>
  <si>
    <t>S/N</t>
  </si>
  <si>
    <t>MDA's</t>
  </si>
  <si>
    <t>NAME</t>
  </si>
  <si>
    <t>Principal</t>
  </si>
  <si>
    <t>Interest According to Instalment</t>
  </si>
  <si>
    <t>TOTAL  LOAN</t>
  </si>
  <si>
    <t>No of Inst.</t>
  </si>
  <si>
    <t xml:space="preserve">Monthly Deduction </t>
  </si>
  <si>
    <t>Monthly Interest</t>
  </si>
  <si>
    <t>Monthly Principal</t>
  </si>
  <si>
    <t>Total Interest paid</t>
  </si>
  <si>
    <t>Total outstanding Interest</t>
  </si>
  <si>
    <t>No of instal paid</t>
  </si>
  <si>
    <t>No of instal. outstanding</t>
  </si>
  <si>
    <t>Total Loan Paid</t>
  </si>
  <si>
    <t>Outstanding Balance</t>
  </si>
  <si>
    <t>REMARKS LPC in /Out</t>
  </si>
  <si>
    <t>CDU</t>
  </si>
  <si>
    <t>AKINYINKA AKINYEMI T.</t>
  </si>
  <si>
    <t>OGUNDIRAN EMMANUEL O.</t>
  </si>
  <si>
    <t>OYADOKUN J. AKINNIYI</t>
  </si>
  <si>
    <t>OYERINDE SERIFAT B.</t>
  </si>
  <si>
    <t>OYEKANMI GRACE O.</t>
  </si>
  <si>
    <t xml:space="preserve">AGBOLUAJE KAYODE </t>
  </si>
  <si>
    <t>OLABODE A. OLABISI</t>
  </si>
  <si>
    <t>AKINFENWA GBENGA A.</t>
  </si>
  <si>
    <t>ADISA E. ADEMOLA</t>
  </si>
  <si>
    <t>OJO FELICIA O.</t>
  </si>
  <si>
    <t>SUNMONU FOLORUNSO S.</t>
  </si>
  <si>
    <t xml:space="preserve">AKINWALE WASIU </t>
  </si>
  <si>
    <t>WINJOBI FOLORUNSO</t>
  </si>
  <si>
    <t>AKINTOBI BOLUWAJI J.</t>
  </si>
  <si>
    <t>AKINADE WAHAB O.</t>
  </si>
  <si>
    <t>LASISI SALAMI</t>
  </si>
  <si>
    <t>AJIBADE KUBURAT</t>
  </si>
  <si>
    <t>TOTAL</t>
  </si>
  <si>
    <t>OYSG MDAs CAR LOAN DEDUCTION TEMPLATE      FEBRUARY,2019</t>
  </si>
  <si>
    <t>OYSG MDAs CAR LOAN DEDUCTION TEMPLATE      MARCH,2019</t>
  </si>
  <si>
    <t>OYSG MDAs CAR LOAN DEDUCTION TEMPLATE      APRIL,2019</t>
  </si>
  <si>
    <t>OYSG MDAs CAR LOAN DEDUCTION TEMPLATE      MAY,2019</t>
  </si>
  <si>
    <t>OYSG MDAs CAR LOAN DEDUCTION TEMPLATE      JUNE,2019</t>
  </si>
  <si>
    <t>ARIYO SARAFA ADEGOKE</t>
  </si>
  <si>
    <t>ADENIRAN MONSURAT A.</t>
  </si>
  <si>
    <t>OYSG MDAs CAR LOAN DEDUCTION TEMPLATE      JULY,2019</t>
  </si>
  <si>
    <t>OYSG MDAs CAR LOAN DEDUCTION TEMPLATE      AUGUST,2019</t>
  </si>
  <si>
    <t>OYSG MDAs CAR LOAN DEDUCTION TEMPLATE      SEPTEMBER,2019</t>
  </si>
  <si>
    <t>OYSG MDAs CAR LOAN DEDUCTION TEMPLATE      OCTOBER,2019</t>
  </si>
  <si>
    <t>ABIODUN TEJUMOLA ANIKE</t>
  </si>
  <si>
    <t>SADIQ RAMON ADEKUNLE</t>
  </si>
  <si>
    <t>OYSG MDAs CAR LOAN DEDUCTION TEMPLATE  NOVEMBER,2019</t>
  </si>
  <si>
    <t>ALADE ABIODUN</t>
  </si>
  <si>
    <t>OLALEYE OLAITAN R.</t>
  </si>
  <si>
    <t>OLALEYE OLAITAN R</t>
  </si>
  <si>
    <t>OLALEYE  OLAITAN R.</t>
  </si>
  <si>
    <t>OYSG MDAs CAR LOAN DEDUCTION TEMPLATE  DECEMBER,2019</t>
  </si>
  <si>
    <t>OYSG MDAs CAR LOAN DEDUCTION TEMPLATE  JANUARY,2020</t>
  </si>
  <si>
    <t>LAWAL KAZEEM KOLAWOLE</t>
  </si>
  <si>
    <t>ODEBODE KEHINDE</t>
  </si>
  <si>
    <t>`16</t>
  </si>
  <si>
    <t>LPC from Gov. office</t>
  </si>
  <si>
    <t>84,997,50</t>
  </si>
  <si>
    <t>AJIMOKUNOLA OMOLARA</t>
  </si>
  <si>
    <t>OYSG MDAs CAR LOAN DEDUCTION TEMPLATE  FEBRUARY,2020</t>
  </si>
  <si>
    <t>OYSG MDAs CAR LOAN DEDUCTION TEMPLATE  MARCH,2020</t>
  </si>
  <si>
    <t xml:space="preserve">                      OYO STATE COCOA DEVELOPMENT UNIT</t>
  </si>
  <si>
    <t>LPC from CDU to Finance</t>
  </si>
  <si>
    <t>OYSG MDAs CAR LOAN DEDUCTION TEMPLATE  APRIL,2020</t>
  </si>
  <si>
    <t xml:space="preserve">   </t>
  </si>
  <si>
    <t>OYSG MDAs CAR LOAN DEDUCTION TEMPLATE  MAY,2020</t>
  </si>
  <si>
    <t>OYSG MDAs CAR LOAN DEDUCTION TEMPLATE  JUNE,2020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</si>
</sst>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7">
    <xf numFmtId="0" fontId="0" fillId="0" borderId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44">
    <xf numFmtId="0" fontId="0" fillId="0" borderId="0" xfId="0"/>
    <xf numFmtId="0" fontId="4" fillId="2" borderId="0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right"/>
    </xf>
    <xf numFmtId="0" fontId="5" fillId="2" borderId="0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center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right" wrapText="1"/>
    </xf>
    <xf numFmtId="0" fontId="6" fillId="3" borderId="1" xfId="0" applyFont="1" applyFill="1" applyBorder="1" applyAlignment="1">
      <alignment wrapText="1"/>
    </xf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 applyAlignment="1">
      <alignment wrapText="1"/>
    </xf>
    <xf numFmtId="43" fontId="6" fillId="0" borderId="1" xfId="1" applyNumberFormat="1" applyFont="1" applyBorder="1" applyAlignment="1">
      <alignment wrapText="1"/>
    </xf>
    <xf numFmtId="43" fontId="6" fillId="0" borderId="1" xfId="1" applyNumberFormat="1" applyFont="1" applyBorder="1" applyAlignment="1">
      <alignment horizontal="center" wrapText="1"/>
    </xf>
    <xf numFmtId="0" fontId="4" fillId="0" borderId="1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43" fontId="7" fillId="0" borderId="1" xfId="0" applyNumberFormat="1" applyFont="1" applyBorder="1" applyAlignment="1">
      <alignment horizontal="right"/>
    </xf>
    <xf numFmtId="43" fontId="7" fillId="0" borderId="1" xfId="1" applyNumberFormat="1" applyFont="1" applyBorder="1" applyAlignment="1">
      <alignment horizontal="right"/>
    </xf>
    <xf numFmtId="0" fontId="7" fillId="0" borderId="1" xfId="0" applyFont="1" applyBorder="1" applyAlignment="1"/>
    <xf numFmtId="43" fontId="7" fillId="3" borderId="1" xfId="1" applyNumberFormat="1" applyFont="1" applyFill="1" applyBorder="1" applyAlignment="1"/>
    <xf numFmtId="43" fontId="7" fillId="0" borderId="1" xfId="1" applyNumberFormat="1" applyFont="1" applyBorder="1" applyAlignment="1"/>
    <xf numFmtId="0" fontId="7" fillId="0" borderId="1" xfId="0" applyFont="1" applyFill="1" applyBorder="1" applyAlignment="1">
      <alignment horizontal="center"/>
    </xf>
    <xf numFmtId="0" fontId="7" fillId="0" borderId="1" xfId="1" quotePrefix="1" applyNumberFormat="1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1" xfId="0" quotePrefix="1" applyFont="1" applyBorder="1" applyAlignment="1">
      <alignment horizontal="center"/>
    </xf>
    <xf numFmtId="0" fontId="5" fillId="2" borderId="0" xfId="0" applyFont="1" applyFill="1" applyBorder="1" applyAlignment="1"/>
    <xf numFmtId="43" fontId="7" fillId="0" borderId="1" xfId="1" applyNumberFormat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4" fontId="7" fillId="0" borderId="1" xfId="0" applyNumberFormat="1" applyFont="1" applyBorder="1" applyAlignment="1">
      <alignment horizontal="center"/>
    </xf>
    <xf numFmtId="43" fontId="7" fillId="0" borderId="1" xfId="0" applyNumberFormat="1" applyFont="1" applyBorder="1" applyAlignment="1">
      <alignment horizontal="center"/>
    </xf>
    <xf numFmtId="4" fontId="7" fillId="3" borderId="1" xfId="1" applyNumberFormat="1" applyFont="1" applyFill="1" applyBorder="1" applyAlignment="1">
      <alignment horizontal="center"/>
    </xf>
    <xf numFmtId="43" fontId="7" fillId="3" borderId="1" xfId="1" applyNumberFormat="1" applyFont="1" applyFill="1" applyBorder="1" applyAlignment="1">
      <alignment horizontal="center"/>
    </xf>
    <xf numFmtId="43" fontId="7" fillId="4" borderId="1" xfId="1" applyNumberFormat="1" applyFont="1" applyFill="1" applyBorder="1" applyAlignment="1">
      <alignment horizontal="center"/>
    </xf>
    <xf numFmtId="43" fontId="7" fillId="5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right" wrapText="1"/>
    </xf>
    <xf numFmtId="0" fontId="9" fillId="0" borderId="1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right"/>
    </xf>
    <xf numFmtId="0" fontId="5" fillId="2" borderId="0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center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right" wrapText="1"/>
    </xf>
    <xf numFmtId="0" fontId="6" fillId="3" borderId="1" xfId="0" applyFont="1" applyFill="1" applyBorder="1" applyAlignment="1">
      <alignment wrapText="1"/>
    </xf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 applyAlignment="1">
      <alignment wrapText="1"/>
    </xf>
    <xf numFmtId="43" fontId="6" fillId="0" borderId="1" xfId="5" applyNumberFormat="1" applyFont="1" applyBorder="1" applyAlignment="1">
      <alignment wrapText="1"/>
    </xf>
    <xf numFmtId="43" fontId="6" fillId="0" borderId="1" xfId="5" applyNumberFormat="1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43" fontId="7" fillId="0" borderId="1" xfId="0" applyNumberFormat="1" applyFont="1" applyBorder="1" applyAlignment="1">
      <alignment horizontal="right"/>
    </xf>
    <xf numFmtId="43" fontId="7" fillId="0" borderId="1" xfId="5" applyNumberFormat="1" applyFont="1" applyBorder="1" applyAlignment="1">
      <alignment horizontal="right"/>
    </xf>
    <xf numFmtId="0" fontId="7" fillId="0" borderId="1" xfId="0" applyFont="1" applyBorder="1" applyAlignment="1"/>
    <xf numFmtId="43" fontId="7" fillId="3" borderId="1" xfId="5" applyNumberFormat="1" applyFont="1" applyFill="1" applyBorder="1" applyAlignment="1"/>
    <xf numFmtId="43" fontId="7" fillId="0" borderId="1" xfId="5" applyNumberFormat="1" applyFont="1" applyBorder="1" applyAlignment="1"/>
    <xf numFmtId="0" fontId="7" fillId="0" borderId="1" xfId="0" applyFont="1" applyFill="1" applyBorder="1" applyAlignment="1">
      <alignment horizontal="center"/>
    </xf>
    <xf numFmtId="0" fontId="7" fillId="0" borderId="1" xfId="5" quotePrefix="1" applyNumberFormat="1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1" xfId="0" quotePrefix="1" applyFont="1" applyBorder="1" applyAlignment="1">
      <alignment horizontal="center"/>
    </xf>
    <xf numFmtId="0" fontId="5" fillId="2" borderId="0" xfId="0" applyFont="1" applyFill="1" applyBorder="1" applyAlignment="1"/>
    <xf numFmtId="43" fontId="7" fillId="0" borderId="1" xfId="5" applyNumberFormat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4" fontId="7" fillId="0" borderId="1" xfId="0" applyNumberFormat="1" applyFont="1" applyBorder="1" applyAlignment="1">
      <alignment horizontal="center"/>
    </xf>
    <xf numFmtId="43" fontId="7" fillId="0" borderId="1" xfId="0" applyNumberFormat="1" applyFont="1" applyBorder="1" applyAlignment="1">
      <alignment horizontal="center"/>
    </xf>
    <xf numFmtId="43" fontId="7" fillId="4" borderId="1" xfId="5" applyNumberFormat="1" applyFont="1" applyFill="1" applyBorder="1" applyAlignment="1">
      <alignment horizontal="center"/>
    </xf>
    <xf numFmtId="43" fontId="7" fillId="5" borderId="1" xfId="5" applyNumberFormat="1" applyFont="1" applyFill="1" applyBorder="1" applyAlignment="1">
      <alignment horizontal="center"/>
    </xf>
    <xf numFmtId="4" fontId="7" fillId="3" borderId="1" xfId="5" applyNumberFormat="1" applyFont="1" applyFill="1" applyBorder="1" applyAlignment="1"/>
    <xf numFmtId="43" fontId="7" fillId="4" borderId="1" xfId="5" applyNumberFormat="1" applyFont="1" applyFill="1" applyBorder="1" applyAlignment="1"/>
    <xf numFmtId="0" fontId="4" fillId="2" borderId="0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right"/>
    </xf>
    <xf numFmtId="0" fontId="5" fillId="2" borderId="0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center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right" wrapText="1"/>
    </xf>
    <xf numFmtId="0" fontId="6" fillId="3" borderId="1" xfId="0" applyFont="1" applyFill="1" applyBorder="1" applyAlignment="1">
      <alignment wrapText="1"/>
    </xf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 applyAlignment="1">
      <alignment wrapText="1"/>
    </xf>
    <xf numFmtId="43" fontId="6" fillId="0" borderId="1" xfId="4" applyNumberFormat="1" applyFont="1" applyBorder="1" applyAlignment="1">
      <alignment wrapText="1"/>
    </xf>
    <xf numFmtId="43" fontId="6" fillId="0" borderId="1" xfId="4" applyNumberFormat="1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43" fontId="7" fillId="0" borderId="1" xfId="0" applyNumberFormat="1" applyFont="1" applyBorder="1" applyAlignment="1">
      <alignment horizontal="right"/>
    </xf>
    <xf numFmtId="43" fontId="7" fillId="0" borderId="1" xfId="4" applyNumberFormat="1" applyFont="1" applyBorder="1" applyAlignment="1">
      <alignment horizontal="right"/>
    </xf>
    <xf numFmtId="0" fontId="7" fillId="0" borderId="1" xfId="0" applyFont="1" applyBorder="1" applyAlignment="1"/>
    <xf numFmtId="43" fontId="7" fillId="3" borderId="1" xfId="4" applyNumberFormat="1" applyFont="1" applyFill="1" applyBorder="1" applyAlignment="1"/>
    <xf numFmtId="43" fontId="7" fillId="0" borderId="1" xfId="4" applyNumberFormat="1" applyFont="1" applyBorder="1" applyAlignment="1"/>
    <xf numFmtId="0" fontId="7" fillId="0" borderId="1" xfId="0" applyFont="1" applyFill="1" applyBorder="1" applyAlignment="1">
      <alignment horizontal="center"/>
    </xf>
    <xf numFmtId="0" fontId="7" fillId="0" borderId="1" xfId="4" quotePrefix="1" applyNumberFormat="1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1" xfId="0" quotePrefix="1" applyFont="1" applyBorder="1" applyAlignment="1">
      <alignment horizontal="center"/>
    </xf>
    <xf numFmtId="0" fontId="5" fillId="2" borderId="0" xfId="0" applyFont="1" applyFill="1" applyBorder="1" applyAlignment="1"/>
    <xf numFmtId="43" fontId="7" fillId="0" borderId="1" xfId="4" applyNumberFormat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4" fontId="7" fillId="0" borderId="1" xfId="0" applyNumberFormat="1" applyFont="1" applyBorder="1" applyAlignment="1">
      <alignment horizontal="center"/>
    </xf>
    <xf numFmtId="43" fontId="7" fillId="0" borderId="1" xfId="0" applyNumberFormat="1" applyFont="1" applyBorder="1" applyAlignment="1">
      <alignment horizontal="center"/>
    </xf>
    <xf numFmtId="43" fontId="7" fillId="4" borderId="1" xfId="4" applyNumberFormat="1" applyFont="1" applyFill="1" applyBorder="1" applyAlignment="1">
      <alignment horizontal="center"/>
    </xf>
    <xf numFmtId="43" fontId="7" fillId="5" borderId="1" xfId="4" applyNumberFormat="1" applyFont="1" applyFill="1" applyBorder="1" applyAlignment="1">
      <alignment horizontal="center"/>
    </xf>
    <xf numFmtId="4" fontId="7" fillId="3" borderId="1" xfId="4" applyNumberFormat="1" applyFont="1" applyFill="1" applyBorder="1" applyAlignment="1"/>
    <xf numFmtId="43" fontId="7" fillId="4" borderId="1" xfId="4" applyNumberFormat="1" applyFont="1" applyFill="1" applyBorder="1" applyAlignment="1"/>
    <xf numFmtId="0" fontId="0" fillId="0" borderId="0" xfId="0"/>
    <xf numFmtId="0" fontId="0" fillId="0" borderId="0" xfId="0"/>
    <xf numFmtId="0" fontId="4" fillId="2" borderId="0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right"/>
    </xf>
    <xf numFmtId="0" fontId="5" fillId="2" borderId="0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center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right" wrapText="1"/>
    </xf>
    <xf numFmtId="0" fontId="6" fillId="3" borderId="1" xfId="0" applyFont="1" applyFill="1" applyBorder="1" applyAlignment="1">
      <alignment wrapText="1"/>
    </xf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 applyAlignment="1">
      <alignment wrapText="1"/>
    </xf>
    <xf numFmtId="43" fontId="6" fillId="0" borderId="1" xfId="14" applyNumberFormat="1" applyFont="1" applyBorder="1" applyAlignment="1">
      <alignment wrapText="1"/>
    </xf>
    <xf numFmtId="43" fontId="6" fillId="0" borderId="1" xfId="14" applyNumberFormat="1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43" fontId="7" fillId="0" borderId="1" xfId="0" applyNumberFormat="1" applyFont="1" applyBorder="1" applyAlignment="1">
      <alignment horizontal="right"/>
    </xf>
    <xf numFmtId="43" fontId="7" fillId="0" borderId="1" xfId="14" applyNumberFormat="1" applyFont="1" applyBorder="1" applyAlignment="1">
      <alignment horizontal="right"/>
    </xf>
    <xf numFmtId="0" fontId="7" fillId="0" borderId="1" xfId="0" applyFont="1" applyBorder="1" applyAlignment="1"/>
    <xf numFmtId="43" fontId="7" fillId="3" borderId="1" xfId="14" applyNumberFormat="1" applyFont="1" applyFill="1" applyBorder="1" applyAlignment="1"/>
    <xf numFmtId="43" fontId="7" fillId="0" borderId="1" xfId="14" applyNumberFormat="1" applyFont="1" applyBorder="1" applyAlignment="1"/>
    <xf numFmtId="0" fontId="7" fillId="0" borderId="1" xfId="0" applyFont="1" applyFill="1" applyBorder="1" applyAlignment="1">
      <alignment horizontal="center"/>
    </xf>
    <xf numFmtId="0" fontId="7" fillId="0" borderId="1" xfId="14" quotePrefix="1" applyNumberFormat="1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1" xfId="0" quotePrefix="1" applyFont="1" applyBorder="1" applyAlignment="1">
      <alignment horizontal="center"/>
    </xf>
    <xf numFmtId="0" fontId="5" fillId="2" borderId="0" xfId="0" applyFont="1" applyFill="1" applyBorder="1" applyAlignment="1"/>
    <xf numFmtId="43" fontId="7" fillId="0" borderId="1" xfId="14" applyNumberFormat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4" fontId="7" fillId="0" borderId="1" xfId="0" applyNumberFormat="1" applyFont="1" applyBorder="1" applyAlignment="1">
      <alignment horizontal="center"/>
    </xf>
    <xf numFmtId="43" fontId="7" fillId="0" borderId="1" xfId="0" applyNumberFormat="1" applyFont="1" applyBorder="1" applyAlignment="1">
      <alignment horizontal="center"/>
    </xf>
    <xf numFmtId="43" fontId="7" fillId="4" borderId="1" xfId="14" applyNumberFormat="1" applyFont="1" applyFill="1" applyBorder="1" applyAlignment="1">
      <alignment horizontal="center"/>
    </xf>
    <xf numFmtId="43" fontId="7" fillId="5" borderId="1" xfId="14" applyNumberFormat="1" applyFont="1" applyFill="1" applyBorder="1" applyAlignment="1">
      <alignment horizontal="center"/>
    </xf>
    <xf numFmtId="4" fontId="7" fillId="3" borderId="1" xfId="14" applyNumberFormat="1" applyFont="1" applyFill="1" applyBorder="1" applyAlignment="1"/>
    <xf numFmtId="43" fontId="7" fillId="4" borderId="1" xfId="14" applyNumberFormat="1" applyFont="1" applyFill="1" applyBorder="1" applyAlignment="1"/>
    <xf numFmtId="0" fontId="8" fillId="0" borderId="0" xfId="0" applyFont="1"/>
    <xf numFmtId="43" fontId="7" fillId="0" borderId="1" xfId="0" applyNumberFormat="1" applyFont="1" applyBorder="1" applyAlignment="1"/>
    <xf numFmtId="0" fontId="10" fillId="0" borderId="0" xfId="0" applyFont="1"/>
    <xf numFmtId="43" fontId="0" fillId="0" borderId="0" xfId="0" applyNumberFormat="1"/>
    <xf numFmtId="4" fontId="7" fillId="3" borderId="1" xfId="14" applyNumberFormat="1" applyFont="1" applyFill="1" applyBorder="1" applyAlignment="1">
      <alignment horizontal="center"/>
    </xf>
    <xf numFmtId="43" fontId="7" fillId="3" borderId="1" xfId="14" applyNumberFormat="1" applyFont="1" applyFill="1" applyBorder="1" applyAlignment="1">
      <alignment horizontal="center"/>
    </xf>
    <xf numFmtId="0" fontId="7" fillId="0" borderId="1" xfId="14" applyNumberFormat="1" applyFont="1" applyBorder="1" applyAlignment="1">
      <alignment horizontal="center"/>
    </xf>
    <xf numFmtId="0" fontId="7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6" fillId="2" borderId="0" xfId="0" applyFont="1" applyFill="1" applyBorder="1" applyAlignment="1">
      <alignment horizontal="left"/>
    </xf>
    <xf numFmtId="0" fontId="6" fillId="2" borderId="0" xfId="0" applyFont="1" applyFill="1" applyBorder="1" applyAlignment="1">
      <alignment horizontal="right"/>
    </xf>
    <xf numFmtId="0" fontId="6" fillId="2" borderId="0" xfId="0" applyFont="1" applyFill="1" applyBorder="1" applyAlignment="1"/>
    <xf numFmtId="0" fontId="6" fillId="2" borderId="0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4" fontId="9" fillId="0" borderId="1" xfId="0" applyNumberFormat="1" applyFont="1" applyBorder="1" applyAlignment="1">
      <alignment horizontal="center"/>
    </xf>
    <xf numFmtId="43" fontId="9" fillId="0" borderId="1" xfId="0" applyNumberFormat="1" applyFont="1" applyBorder="1" applyAlignment="1"/>
    <xf numFmtId="43" fontId="9" fillId="0" borderId="1" xfId="14" applyNumberFormat="1" applyFont="1" applyBorder="1" applyAlignment="1"/>
    <xf numFmtId="0" fontId="9" fillId="0" borderId="1" xfId="0" applyFont="1" applyBorder="1" applyAlignment="1">
      <alignment horizontal="center"/>
    </xf>
    <xf numFmtId="43" fontId="9" fillId="0" borderId="1" xfId="14" applyNumberFormat="1" applyFont="1" applyBorder="1" applyAlignment="1">
      <alignment horizontal="center"/>
    </xf>
    <xf numFmtId="4" fontId="9" fillId="3" borderId="1" xfId="14" applyNumberFormat="1" applyFont="1" applyFill="1" applyBorder="1" applyAlignment="1">
      <alignment horizontal="center"/>
    </xf>
    <xf numFmtId="43" fontId="9" fillId="3" borderId="1" xfId="14" applyNumberFormat="1" applyFont="1" applyFill="1" applyBorder="1" applyAlignment="1"/>
    <xf numFmtId="43" fontId="9" fillId="4" borderId="1" xfId="14" applyNumberFormat="1" applyFont="1" applyFill="1" applyBorder="1" applyAlignment="1"/>
    <xf numFmtId="43" fontId="9" fillId="5" borderId="1" xfId="14" applyNumberFormat="1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9" fillId="0" borderId="1" xfId="14" quotePrefix="1" applyNumberFormat="1" applyFont="1" applyBorder="1" applyAlignment="1">
      <alignment horizontal="center"/>
    </xf>
    <xf numFmtId="43" fontId="9" fillId="0" borderId="1" xfId="0" applyNumberFormat="1" applyFont="1" applyBorder="1" applyAlignment="1">
      <alignment horizontal="center"/>
    </xf>
    <xf numFmtId="43" fontId="9" fillId="0" borderId="1" xfId="0" applyNumberFormat="1" applyFont="1" applyBorder="1" applyAlignment="1">
      <alignment horizontal="right"/>
    </xf>
    <xf numFmtId="4" fontId="9" fillId="0" borderId="1" xfId="0" applyNumberFormat="1" applyFont="1" applyBorder="1" applyAlignment="1">
      <alignment horizontal="right"/>
    </xf>
    <xf numFmtId="0" fontId="9" fillId="0" borderId="1" xfId="0" quotePrefix="1" applyFont="1" applyBorder="1" applyAlignment="1">
      <alignment horizontal="center"/>
    </xf>
    <xf numFmtId="43" fontId="9" fillId="0" borderId="1" xfId="14" applyNumberFormat="1" applyFont="1" applyBorder="1" applyAlignment="1">
      <alignment horizontal="right"/>
    </xf>
    <xf numFmtId="0" fontId="9" fillId="0" borderId="1" xfId="14" applyNumberFormat="1" applyFont="1" applyBorder="1" applyAlignment="1">
      <alignment horizontal="center"/>
    </xf>
    <xf numFmtId="4" fontId="9" fillId="3" borderId="1" xfId="14" applyNumberFormat="1" applyFont="1" applyFill="1" applyBorder="1" applyAlignment="1"/>
    <xf numFmtId="0" fontId="9" fillId="0" borderId="1" xfId="0" applyFont="1" applyBorder="1" applyAlignment="1"/>
    <xf numFmtId="43" fontId="9" fillId="4" borderId="1" xfId="14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left"/>
    </xf>
    <xf numFmtId="4" fontId="12" fillId="0" borderId="1" xfId="0" applyNumberFormat="1" applyFont="1" applyBorder="1" applyAlignment="1">
      <alignment horizontal="center"/>
    </xf>
    <xf numFmtId="43" fontId="12" fillId="0" borderId="1" xfId="0" applyNumberFormat="1" applyFont="1" applyBorder="1" applyAlignment="1"/>
    <xf numFmtId="43" fontId="12" fillId="0" borderId="1" xfId="14" applyNumberFormat="1" applyFont="1" applyBorder="1" applyAlignment="1"/>
    <xf numFmtId="0" fontId="12" fillId="0" borderId="1" xfId="0" applyFont="1" applyBorder="1" applyAlignment="1">
      <alignment horizontal="center"/>
    </xf>
    <xf numFmtId="43" fontId="12" fillId="0" borderId="1" xfId="14" applyNumberFormat="1" applyFont="1" applyBorder="1" applyAlignment="1">
      <alignment horizontal="center"/>
    </xf>
    <xf numFmtId="43" fontId="12" fillId="3" borderId="1" xfId="14" applyNumberFormat="1" applyFont="1" applyFill="1" applyBorder="1" applyAlignment="1"/>
    <xf numFmtId="43" fontId="12" fillId="4" borderId="1" xfId="14" applyNumberFormat="1" applyFont="1" applyFill="1" applyBorder="1" applyAlignment="1"/>
    <xf numFmtId="43" fontId="12" fillId="5" borderId="1" xfId="14" applyNumberFormat="1" applyFont="1" applyFill="1" applyBorder="1" applyAlignment="1">
      <alignment horizontal="center"/>
    </xf>
    <xf numFmtId="0" fontId="12" fillId="0" borderId="1" xfId="0" quotePrefix="1" applyFont="1" applyBorder="1" applyAlignment="1">
      <alignment horizontal="center"/>
    </xf>
    <xf numFmtId="0" fontId="12" fillId="0" borderId="1" xfId="14" quotePrefix="1" applyNumberFormat="1" applyFont="1" applyBorder="1" applyAlignment="1">
      <alignment horizontal="center"/>
    </xf>
    <xf numFmtId="43" fontId="12" fillId="0" borderId="1" xfId="14" applyNumberFormat="1" applyFont="1" applyBorder="1" applyAlignment="1">
      <alignment horizontal="right"/>
    </xf>
    <xf numFmtId="0" fontId="11" fillId="0" borderId="1" xfId="0" applyFont="1" applyBorder="1" applyAlignment="1">
      <alignment wrapText="1"/>
    </xf>
    <xf numFmtId="0" fontId="13" fillId="2" borderId="0" xfId="0" applyFont="1" applyFill="1" applyBorder="1" applyAlignment="1">
      <alignment horizontal="left"/>
    </xf>
    <xf numFmtId="0" fontId="13" fillId="2" borderId="0" xfId="0" applyFont="1" applyFill="1" applyBorder="1" applyAlignment="1">
      <alignment horizontal="right"/>
    </xf>
    <xf numFmtId="0" fontId="13" fillId="2" borderId="0" xfId="0" applyFont="1" applyFill="1" applyBorder="1" applyAlignment="1"/>
    <xf numFmtId="0" fontId="13" fillId="2" borderId="0" xfId="0" applyFont="1" applyFill="1" applyBorder="1" applyAlignment="1">
      <alignment horizontal="center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horizontal="center" wrapText="1"/>
    </xf>
    <xf numFmtId="0" fontId="13" fillId="3" borderId="1" xfId="0" applyFont="1" applyFill="1" applyBorder="1" applyAlignment="1">
      <alignment wrapText="1"/>
    </xf>
    <xf numFmtId="0" fontId="13" fillId="4" borderId="1" xfId="0" applyFont="1" applyFill="1" applyBorder="1" applyAlignment="1">
      <alignment wrapText="1"/>
    </xf>
    <xf numFmtId="0" fontId="13" fillId="5" borderId="1" xfId="0" applyFont="1" applyFill="1" applyBorder="1" applyAlignment="1">
      <alignment wrapText="1"/>
    </xf>
    <xf numFmtId="43" fontId="13" fillId="0" borderId="1" xfId="14" applyNumberFormat="1" applyFont="1" applyBorder="1" applyAlignment="1">
      <alignment wrapText="1"/>
    </xf>
    <xf numFmtId="43" fontId="13" fillId="0" borderId="1" xfId="14" applyNumberFormat="1" applyFont="1" applyBorder="1" applyAlignment="1">
      <alignment horizontal="center" wrapText="1"/>
    </xf>
    <xf numFmtId="0" fontId="13" fillId="0" borderId="1" xfId="0" applyFont="1" applyBorder="1" applyAlignment="1">
      <alignment horizontal="right" wrapText="1"/>
    </xf>
    <xf numFmtId="0" fontId="13" fillId="0" borderId="1" xfId="0" applyFont="1" applyBorder="1" applyAlignment="1">
      <alignment horizontal="left" wrapText="1"/>
    </xf>
    <xf numFmtId="0" fontId="13" fillId="0" borderId="1" xfId="0" applyFont="1" applyBorder="1" applyAlignment="1">
      <alignment horizontal="left"/>
    </xf>
    <xf numFmtId="0" fontId="12" fillId="0" borderId="1" xfId="0" applyFont="1" applyFill="1" applyBorder="1" applyAlignment="1">
      <alignment horizontal="left"/>
    </xf>
    <xf numFmtId="4" fontId="12" fillId="3" borderId="1" xfId="14" applyNumberFormat="1" applyFont="1" applyFill="1" applyBorder="1" applyAlignment="1">
      <alignment horizontal="center"/>
    </xf>
    <xf numFmtId="0" fontId="12" fillId="0" borderId="1" xfId="0" applyFont="1" applyFill="1" applyBorder="1" applyAlignment="1">
      <alignment horizontal="center"/>
    </xf>
    <xf numFmtId="43" fontId="12" fillId="0" borderId="1" xfId="0" applyNumberFormat="1" applyFont="1" applyBorder="1" applyAlignment="1">
      <alignment horizontal="center"/>
    </xf>
    <xf numFmtId="43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0" fontId="12" fillId="0" borderId="1" xfId="14" applyNumberFormat="1" applyFont="1" applyBorder="1" applyAlignment="1">
      <alignment horizontal="center"/>
    </xf>
    <xf numFmtId="4" fontId="12" fillId="3" borderId="1" xfId="14" applyNumberFormat="1" applyFont="1" applyFill="1" applyBorder="1" applyAlignment="1"/>
    <xf numFmtId="0" fontId="12" fillId="0" borderId="1" xfId="0" applyFont="1" applyBorder="1" applyAlignment="1"/>
    <xf numFmtId="43" fontId="12" fillId="4" borderId="1" xfId="14" applyNumberFormat="1" applyFont="1" applyFill="1" applyBorder="1" applyAlignment="1">
      <alignment horizontal="center"/>
    </xf>
    <xf numFmtId="0" fontId="12" fillId="2" borderId="0" xfId="0" applyFont="1" applyFill="1" applyBorder="1" applyAlignment="1">
      <alignment horizontal="left"/>
    </xf>
    <xf numFmtId="0" fontId="15" fillId="0" borderId="0" xfId="0" applyFont="1"/>
    <xf numFmtId="0" fontId="16" fillId="2" borderId="0" xfId="0" applyFont="1" applyFill="1" applyBorder="1" applyAlignment="1">
      <alignment horizontal="left"/>
    </xf>
    <xf numFmtId="0" fontId="16" fillId="5" borderId="1" xfId="0" applyFont="1" applyFill="1" applyBorder="1" applyAlignment="1">
      <alignment wrapText="1"/>
    </xf>
    <xf numFmtId="43" fontId="16" fillId="5" borderId="1" xfId="14" applyNumberFormat="1" applyFont="1" applyFill="1" applyBorder="1" applyAlignment="1">
      <alignment horizontal="center"/>
    </xf>
    <xf numFmtId="0" fontId="14" fillId="0" borderId="0" xfId="0" applyFont="1"/>
    <xf numFmtId="0" fontId="12" fillId="4" borderId="1" xfId="0" applyFont="1" applyFill="1" applyBorder="1" applyAlignment="1">
      <alignment wrapText="1"/>
    </xf>
    <xf numFmtId="0" fontId="13" fillId="2" borderId="0" xfId="0" applyFont="1" applyFill="1" applyBorder="1" applyAlignment="1">
      <alignment horizontal="center"/>
    </xf>
    <xf numFmtId="0" fontId="12" fillId="0" borderId="1" xfId="0" applyFont="1" applyBorder="1" applyAlignment="1">
      <alignment horizontal="left" wrapText="1"/>
    </xf>
    <xf numFmtId="43" fontId="17" fillId="0" borderId="1" xfId="14" applyNumberFormat="1" applyFont="1" applyBorder="1" applyAlignment="1">
      <alignment horizontal="center"/>
    </xf>
    <xf numFmtId="43" fontId="17" fillId="3" borderId="1" xfId="14" applyNumberFormat="1" applyFont="1" applyFill="1" applyBorder="1" applyAlignment="1"/>
    <xf numFmtId="43" fontId="17" fillId="0" borderId="1" xfId="14" applyNumberFormat="1" applyFont="1" applyBorder="1" applyAlignment="1"/>
    <xf numFmtId="43" fontId="17" fillId="4" borderId="1" xfId="14" applyNumberFormat="1" applyFont="1" applyFill="1" applyBorder="1" applyAlignment="1">
      <alignment horizontal="center"/>
    </xf>
    <xf numFmtId="43" fontId="17" fillId="5" borderId="1" xfId="14" applyNumberFormat="1" applyFont="1" applyFill="1" applyBorder="1" applyAlignment="1">
      <alignment horizontal="center"/>
    </xf>
    <xf numFmtId="0" fontId="17" fillId="0" borderId="1" xfId="0" quotePrefix="1" applyFont="1" applyBorder="1" applyAlignment="1">
      <alignment horizontal="center"/>
    </xf>
    <xf numFmtId="0" fontId="17" fillId="0" borderId="1" xfId="14" quotePrefix="1" applyNumberFormat="1" applyFont="1" applyBorder="1" applyAlignment="1">
      <alignment horizontal="center"/>
    </xf>
    <xf numFmtId="43" fontId="17" fillId="0" borderId="1" xfId="14" applyNumberFormat="1" applyFont="1" applyBorder="1" applyAlignment="1">
      <alignment horizontal="right"/>
    </xf>
    <xf numFmtId="0" fontId="0" fillId="0" borderId="0" xfId="0" applyFont="1"/>
    <xf numFmtId="0" fontId="17" fillId="0" borderId="1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center"/>
    </xf>
    <xf numFmtId="0" fontId="4" fillId="2" borderId="0" xfId="0" applyFont="1" applyFill="1" applyBorder="1" applyAlignment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center" wrapText="1"/>
    </xf>
    <xf numFmtId="0" fontId="4" fillId="3" borderId="1" xfId="0" applyFont="1" applyFill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43" fontId="4" fillId="0" borderId="1" xfId="14" applyNumberFormat="1" applyFont="1" applyBorder="1" applyAlignment="1">
      <alignment wrapText="1"/>
    </xf>
    <xf numFmtId="43" fontId="4" fillId="0" borderId="1" xfId="14" applyNumberFormat="1" applyFont="1" applyBorder="1" applyAlignment="1">
      <alignment horizontal="center" wrapText="1"/>
    </xf>
    <xf numFmtId="0" fontId="3" fillId="2" borderId="0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13" fillId="2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</cellXfs>
  <cellStyles count="17">
    <cellStyle name="Comma 12" xfId="14"/>
    <cellStyle name="Comma 2" xfId="1"/>
    <cellStyle name="Comma 2 10" xfId="13"/>
    <cellStyle name="Comma 2 11" xfId="15"/>
    <cellStyle name="Comma 2 12" xfId="16"/>
    <cellStyle name="Comma 2 2" xfId="2"/>
    <cellStyle name="Comma 2 3" xfId="6"/>
    <cellStyle name="Comma 2 4" xfId="7"/>
    <cellStyle name="Comma 2 5" xfId="8"/>
    <cellStyle name="Comma 2 6" xfId="9"/>
    <cellStyle name="Comma 2 7" xfId="10"/>
    <cellStyle name="Comma 2 8" xfId="11"/>
    <cellStyle name="Comma 2 9" xfId="12"/>
    <cellStyle name="Comma 3" xfId="5"/>
    <cellStyle name="Comma 4" xfId="4"/>
    <cellStyle name="Normal" xfId="0" builtinId="0"/>
    <cellStyle name="Normal 2" xfId="3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21"/>
  <sheetViews>
    <sheetView topLeftCell="I1" workbookViewId="0">
      <selection activeCell="A17" sqref="A17"/>
    </sheetView>
  </sheetViews>
  <sheetFormatPr defaultRowHeight="15"/>
  <cols>
    <col min="1" max="1" width="5" customWidth="1"/>
    <col min="2" max="2" width="8.140625" customWidth="1"/>
    <col min="3" max="3" width="28.85546875" bestFit="1" customWidth="1"/>
    <col min="4" max="4" width="14.5703125" customWidth="1"/>
    <col min="5" max="5" width="12.5703125" customWidth="1"/>
    <col min="6" max="6" width="14.5703125" customWidth="1"/>
    <col min="8" max="8" width="12.42578125" customWidth="1"/>
    <col min="9" max="9" width="14" customWidth="1"/>
    <col min="10" max="10" width="11.7109375" customWidth="1"/>
    <col min="11" max="11" width="13" customWidth="1"/>
    <col min="12" max="12" width="12.7109375" bestFit="1" customWidth="1"/>
    <col min="13" max="13" width="12.42578125" customWidth="1"/>
    <col min="16" max="16" width="14.5703125" bestFit="1" customWidth="1"/>
    <col min="17" max="17" width="14.7109375" customWidth="1"/>
  </cols>
  <sheetData>
    <row r="1" spans="1:18" ht="23.25">
      <c r="A1" s="240" t="s">
        <v>0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</row>
    <row r="2" spans="1:18" ht="21">
      <c r="A2" s="1"/>
      <c r="B2" s="1"/>
      <c r="C2" s="1"/>
      <c r="D2" s="2"/>
      <c r="E2" s="2"/>
      <c r="F2" s="2"/>
      <c r="G2" s="25" t="s">
        <v>1</v>
      </c>
      <c r="H2" s="2"/>
      <c r="I2" s="3"/>
      <c r="J2" s="1"/>
      <c r="K2" s="1"/>
      <c r="L2" s="1"/>
      <c r="M2" s="1"/>
      <c r="N2" s="4"/>
      <c r="O2" s="4"/>
      <c r="P2" s="2"/>
      <c r="Q2" s="2"/>
      <c r="R2" s="1"/>
    </row>
    <row r="3" spans="1:18" ht="93.75">
      <c r="A3" s="5" t="s">
        <v>2</v>
      </c>
      <c r="B3" s="5" t="s">
        <v>3</v>
      </c>
      <c r="C3" s="27" t="s">
        <v>4</v>
      </c>
      <c r="D3" s="27" t="s">
        <v>5</v>
      </c>
      <c r="E3" s="5" t="s">
        <v>6</v>
      </c>
      <c r="F3" s="27" t="s">
        <v>7</v>
      </c>
      <c r="G3" s="5" t="s">
        <v>8</v>
      </c>
      <c r="H3" s="27" t="s">
        <v>9</v>
      </c>
      <c r="I3" s="7" t="s">
        <v>10</v>
      </c>
      <c r="J3" s="7" t="s">
        <v>11</v>
      </c>
      <c r="K3" s="5" t="s">
        <v>6</v>
      </c>
      <c r="L3" s="8" t="s">
        <v>12</v>
      </c>
      <c r="M3" s="9" t="s">
        <v>13</v>
      </c>
      <c r="N3" s="10" t="s">
        <v>14</v>
      </c>
      <c r="O3" s="11" t="s">
        <v>15</v>
      </c>
      <c r="P3" s="6" t="s">
        <v>16</v>
      </c>
      <c r="Q3" s="35" t="s">
        <v>17</v>
      </c>
      <c r="R3" s="34" t="s">
        <v>18</v>
      </c>
    </row>
    <row r="4" spans="1:18" ht="30.75" customHeight="1">
      <c r="A4" s="12">
        <v>1</v>
      </c>
      <c r="B4" s="12" t="s">
        <v>19</v>
      </c>
      <c r="C4" s="13" t="s">
        <v>20</v>
      </c>
      <c r="D4" s="28">
        <v>500000</v>
      </c>
      <c r="E4" s="15">
        <v>66650</v>
      </c>
      <c r="F4" s="19">
        <v>566650</v>
      </c>
      <c r="G4" s="23">
        <v>50</v>
      </c>
      <c r="H4" s="26">
        <v>11333</v>
      </c>
      <c r="I4" s="30">
        <v>1333</v>
      </c>
      <c r="J4" s="18">
        <v>10000</v>
      </c>
      <c r="K4" s="19">
        <v>66650</v>
      </c>
      <c r="L4" s="32">
        <v>3999</v>
      </c>
      <c r="M4" s="33">
        <v>62651</v>
      </c>
      <c r="N4" s="20">
        <v>3</v>
      </c>
      <c r="O4" s="21">
        <v>47</v>
      </c>
      <c r="P4" s="15">
        <v>33999</v>
      </c>
      <c r="Q4" s="15">
        <v>532651</v>
      </c>
      <c r="R4" s="22"/>
    </row>
    <row r="5" spans="1:18" ht="24.75" customHeight="1">
      <c r="A5" s="12">
        <v>2</v>
      </c>
      <c r="B5" s="12" t="s">
        <v>19</v>
      </c>
      <c r="C5" s="22" t="s">
        <v>21</v>
      </c>
      <c r="D5" s="28">
        <v>500000</v>
      </c>
      <c r="E5" s="15">
        <v>66650</v>
      </c>
      <c r="F5" s="19">
        <v>566650</v>
      </c>
      <c r="G5" s="23">
        <v>50</v>
      </c>
      <c r="H5" s="26">
        <v>11333</v>
      </c>
      <c r="I5" s="31">
        <v>1333</v>
      </c>
      <c r="J5" s="18">
        <v>10000</v>
      </c>
      <c r="K5" s="19">
        <v>66650</v>
      </c>
      <c r="L5" s="32">
        <v>7998</v>
      </c>
      <c r="M5" s="33">
        <v>58652</v>
      </c>
      <c r="N5" s="20">
        <v>6</v>
      </c>
      <c r="O5" s="21">
        <v>44</v>
      </c>
      <c r="P5" s="15">
        <v>67998</v>
      </c>
      <c r="Q5" s="15">
        <v>498652</v>
      </c>
      <c r="R5" s="22"/>
    </row>
    <row r="6" spans="1:18" ht="27" customHeight="1">
      <c r="A6" s="12">
        <v>3</v>
      </c>
      <c r="B6" s="12" t="s">
        <v>19</v>
      </c>
      <c r="C6" s="13" t="s">
        <v>22</v>
      </c>
      <c r="D6" s="28">
        <v>330000</v>
      </c>
      <c r="E6" s="15">
        <v>43989</v>
      </c>
      <c r="F6" s="19">
        <v>373989</v>
      </c>
      <c r="G6" s="23">
        <v>50</v>
      </c>
      <c r="H6" s="26">
        <v>7479.78</v>
      </c>
      <c r="I6" s="31">
        <v>879.78</v>
      </c>
      <c r="J6" s="18">
        <v>6600</v>
      </c>
      <c r="K6" s="19">
        <v>43989</v>
      </c>
      <c r="L6" s="32">
        <v>43109.22</v>
      </c>
      <c r="M6" s="33">
        <v>879.78</v>
      </c>
      <c r="N6" s="20">
        <v>49</v>
      </c>
      <c r="O6" s="21">
        <v>1</v>
      </c>
      <c r="P6" s="15">
        <v>366509.22</v>
      </c>
      <c r="Q6" s="15">
        <v>7479.78</v>
      </c>
      <c r="R6" s="22"/>
    </row>
    <row r="7" spans="1:18" ht="23.25" customHeight="1">
      <c r="A7" s="12">
        <v>4</v>
      </c>
      <c r="B7" s="12" t="s">
        <v>19</v>
      </c>
      <c r="C7" s="22" t="s">
        <v>23</v>
      </c>
      <c r="D7" s="28">
        <v>330000</v>
      </c>
      <c r="E7" s="15">
        <v>43989</v>
      </c>
      <c r="F7" s="19">
        <v>373989</v>
      </c>
      <c r="G7" s="23">
        <v>50</v>
      </c>
      <c r="H7" s="26">
        <v>7479.78</v>
      </c>
      <c r="I7" s="31">
        <v>879.78</v>
      </c>
      <c r="J7" s="18">
        <v>6600</v>
      </c>
      <c r="K7" s="19">
        <v>43989</v>
      </c>
      <c r="L7" s="32">
        <v>2639.34</v>
      </c>
      <c r="M7" s="33">
        <v>41349.660000000003</v>
      </c>
      <c r="N7" s="23">
        <v>3</v>
      </c>
      <c r="O7" s="21">
        <v>47</v>
      </c>
      <c r="P7" s="16">
        <v>22439.34</v>
      </c>
      <c r="Q7" s="14">
        <v>351549.66</v>
      </c>
      <c r="R7" s="22"/>
    </row>
    <row r="8" spans="1:18" ht="29.25" customHeight="1">
      <c r="A8" s="12">
        <v>5</v>
      </c>
      <c r="B8" s="12" t="s">
        <v>19</v>
      </c>
      <c r="C8" s="22" t="s">
        <v>24</v>
      </c>
      <c r="D8" s="28">
        <v>150000</v>
      </c>
      <c r="E8" s="15">
        <v>19989</v>
      </c>
      <c r="F8" s="19">
        <v>169995</v>
      </c>
      <c r="G8" s="23">
        <v>50</v>
      </c>
      <c r="H8" s="26">
        <v>3399.9</v>
      </c>
      <c r="I8" s="31">
        <v>399.78</v>
      </c>
      <c r="J8" s="18">
        <v>3000.12</v>
      </c>
      <c r="K8" s="19">
        <v>19995</v>
      </c>
      <c r="L8" s="32">
        <v>1199.3399999999999</v>
      </c>
      <c r="M8" s="33">
        <v>18795.66</v>
      </c>
      <c r="N8" s="20">
        <v>3</v>
      </c>
      <c r="O8" s="21">
        <v>47</v>
      </c>
      <c r="P8" s="15">
        <v>10199.700000000001</v>
      </c>
      <c r="Q8" s="15">
        <v>159795.29999999999</v>
      </c>
      <c r="R8" s="22"/>
    </row>
    <row r="9" spans="1:18" ht="27" customHeight="1">
      <c r="A9" s="12">
        <v>6</v>
      </c>
      <c r="B9" s="12" t="s">
        <v>19</v>
      </c>
      <c r="C9" s="22" t="s">
        <v>25</v>
      </c>
      <c r="D9" s="28">
        <v>150000</v>
      </c>
      <c r="E9" s="15">
        <v>19995</v>
      </c>
      <c r="F9" s="19">
        <v>169995</v>
      </c>
      <c r="G9" s="23">
        <v>50</v>
      </c>
      <c r="H9" s="26">
        <v>3399.9</v>
      </c>
      <c r="I9" s="31">
        <v>399.78</v>
      </c>
      <c r="J9" s="18">
        <v>3000.12</v>
      </c>
      <c r="K9" s="19">
        <v>19995</v>
      </c>
      <c r="L9" s="32">
        <v>3997.8</v>
      </c>
      <c r="M9" s="33">
        <v>15997.2</v>
      </c>
      <c r="N9" s="24">
        <v>10</v>
      </c>
      <c r="O9" s="21">
        <v>40</v>
      </c>
      <c r="P9" s="16">
        <v>33999</v>
      </c>
      <c r="Q9" s="14">
        <v>135996</v>
      </c>
      <c r="R9" s="22"/>
    </row>
    <row r="10" spans="1:18" ht="30" customHeight="1">
      <c r="A10" s="12">
        <v>7</v>
      </c>
      <c r="B10" s="12" t="s">
        <v>19</v>
      </c>
      <c r="C10" s="13" t="s">
        <v>26</v>
      </c>
      <c r="D10" s="26">
        <v>450000</v>
      </c>
      <c r="E10" s="15">
        <v>59985</v>
      </c>
      <c r="F10" s="19">
        <v>509985</v>
      </c>
      <c r="G10" s="23">
        <v>50</v>
      </c>
      <c r="H10" s="29">
        <v>10199.700000000001</v>
      </c>
      <c r="I10" s="31">
        <v>1199.7</v>
      </c>
      <c r="J10" s="18">
        <v>9000</v>
      </c>
      <c r="K10" s="19">
        <v>59985</v>
      </c>
      <c r="L10" s="32">
        <v>11997</v>
      </c>
      <c r="M10" s="33">
        <v>47988</v>
      </c>
      <c r="N10" s="20">
        <v>10</v>
      </c>
      <c r="O10" s="21">
        <v>40</v>
      </c>
      <c r="P10" s="15">
        <v>101997</v>
      </c>
      <c r="Q10" s="15">
        <v>407988</v>
      </c>
      <c r="R10" s="22"/>
    </row>
    <row r="11" spans="1:18" ht="26.25" customHeight="1">
      <c r="A11" s="12">
        <v>8</v>
      </c>
      <c r="B11" s="12" t="s">
        <v>19</v>
      </c>
      <c r="C11" s="13" t="s">
        <v>27</v>
      </c>
      <c r="D11" s="28">
        <v>450000</v>
      </c>
      <c r="E11" s="15">
        <v>59985</v>
      </c>
      <c r="F11" s="19">
        <v>509985</v>
      </c>
      <c r="G11" s="23">
        <v>50</v>
      </c>
      <c r="H11" s="26">
        <v>10199.700000000001</v>
      </c>
      <c r="I11" s="31">
        <v>1199.7</v>
      </c>
      <c r="J11" s="18">
        <v>9000</v>
      </c>
      <c r="K11" s="19">
        <v>59985</v>
      </c>
      <c r="L11" s="32">
        <v>44388.9</v>
      </c>
      <c r="M11" s="33">
        <v>15596.1</v>
      </c>
      <c r="N11" s="20">
        <v>37</v>
      </c>
      <c r="O11" s="21">
        <v>13</v>
      </c>
      <c r="P11" s="15">
        <v>377388.9</v>
      </c>
      <c r="Q11" s="15">
        <v>132596.1</v>
      </c>
      <c r="R11" s="22"/>
    </row>
    <row r="12" spans="1:18" ht="28.5" customHeight="1">
      <c r="A12" s="12">
        <v>9</v>
      </c>
      <c r="B12" s="12" t="s">
        <v>19</v>
      </c>
      <c r="C12" s="22" t="s">
        <v>28</v>
      </c>
      <c r="D12" s="28">
        <v>500000</v>
      </c>
      <c r="E12" s="15">
        <v>66650</v>
      </c>
      <c r="F12" s="19">
        <v>566650</v>
      </c>
      <c r="G12" s="23">
        <v>50</v>
      </c>
      <c r="H12" s="26">
        <v>11333</v>
      </c>
      <c r="I12" s="31">
        <v>1333</v>
      </c>
      <c r="J12" s="18">
        <v>10000</v>
      </c>
      <c r="K12" s="19">
        <v>66650</v>
      </c>
      <c r="L12" s="32">
        <v>41323</v>
      </c>
      <c r="M12" s="33">
        <v>25327</v>
      </c>
      <c r="N12" s="20">
        <v>31</v>
      </c>
      <c r="O12" s="21">
        <v>19</v>
      </c>
      <c r="P12" s="15">
        <v>351323</v>
      </c>
      <c r="Q12" s="15">
        <v>215327</v>
      </c>
      <c r="R12" s="22"/>
    </row>
    <row r="13" spans="1:18" ht="33.75" customHeight="1">
      <c r="A13" s="12">
        <v>10</v>
      </c>
      <c r="B13" s="12" t="s">
        <v>19</v>
      </c>
      <c r="C13" s="22" t="s">
        <v>29</v>
      </c>
      <c r="D13" s="28">
        <v>330000</v>
      </c>
      <c r="E13" s="15">
        <v>43989</v>
      </c>
      <c r="F13" s="19">
        <v>373989</v>
      </c>
      <c r="G13" s="23">
        <v>50</v>
      </c>
      <c r="H13" s="26">
        <v>7479</v>
      </c>
      <c r="I13" s="31">
        <v>879.78</v>
      </c>
      <c r="J13" s="18">
        <v>6600</v>
      </c>
      <c r="K13" s="19">
        <v>43989</v>
      </c>
      <c r="L13" s="32">
        <v>27273.18</v>
      </c>
      <c r="M13" s="33">
        <v>16715.82</v>
      </c>
      <c r="N13" s="24">
        <v>31</v>
      </c>
      <c r="O13" s="21">
        <v>19</v>
      </c>
      <c r="P13" s="16">
        <v>231873.18</v>
      </c>
      <c r="Q13" s="16">
        <v>142115.82</v>
      </c>
      <c r="R13" s="22"/>
    </row>
    <row r="14" spans="1:18" ht="24.75" customHeight="1">
      <c r="A14" s="12">
        <v>11</v>
      </c>
      <c r="B14" s="12" t="s">
        <v>19</v>
      </c>
      <c r="C14" s="22" t="s">
        <v>30</v>
      </c>
      <c r="D14" s="28">
        <v>150000</v>
      </c>
      <c r="E14" s="15">
        <v>19995</v>
      </c>
      <c r="F14" s="19">
        <v>169995</v>
      </c>
      <c r="G14" s="23">
        <v>50</v>
      </c>
      <c r="H14" s="26">
        <v>3399.9</v>
      </c>
      <c r="I14" s="31">
        <v>399.78</v>
      </c>
      <c r="J14" s="18">
        <v>3000.12</v>
      </c>
      <c r="K14" s="19">
        <v>19995</v>
      </c>
      <c r="L14" s="32">
        <v>799.56</v>
      </c>
      <c r="M14" s="33">
        <v>19195.439999999999</v>
      </c>
      <c r="N14" s="24">
        <v>2</v>
      </c>
      <c r="O14" s="21">
        <v>48</v>
      </c>
      <c r="P14" s="16">
        <v>6799.8</v>
      </c>
      <c r="Q14" s="14">
        <v>163195.20000000001</v>
      </c>
      <c r="R14" s="22"/>
    </row>
    <row r="15" spans="1:18" ht="27" customHeight="1">
      <c r="A15" s="12">
        <v>12</v>
      </c>
      <c r="B15" s="12" t="s">
        <v>19</v>
      </c>
      <c r="C15" s="22" t="s">
        <v>31</v>
      </c>
      <c r="D15" s="28">
        <v>150000</v>
      </c>
      <c r="E15" s="15">
        <v>19995</v>
      </c>
      <c r="F15" s="19">
        <v>169995</v>
      </c>
      <c r="G15" s="23">
        <v>50</v>
      </c>
      <c r="H15" s="26">
        <v>3399.9</v>
      </c>
      <c r="I15" s="31">
        <v>399.78</v>
      </c>
      <c r="J15" s="18">
        <v>3000.12</v>
      </c>
      <c r="K15" s="19">
        <v>19995</v>
      </c>
      <c r="L15" s="32">
        <v>12393.18</v>
      </c>
      <c r="M15" s="33">
        <v>7601.82</v>
      </c>
      <c r="N15" s="24">
        <v>31</v>
      </c>
      <c r="O15" s="21">
        <v>19</v>
      </c>
      <c r="P15" s="16">
        <v>105396.9</v>
      </c>
      <c r="Q15" s="16">
        <v>64598.1</v>
      </c>
      <c r="R15" s="22"/>
    </row>
    <row r="16" spans="1:18" ht="27" customHeight="1">
      <c r="A16" s="12">
        <v>13</v>
      </c>
      <c r="B16" s="12" t="s">
        <v>19</v>
      </c>
      <c r="C16" s="22" t="s">
        <v>32</v>
      </c>
      <c r="D16" s="28">
        <v>150000</v>
      </c>
      <c r="E16" s="15">
        <v>19995</v>
      </c>
      <c r="F16" s="19">
        <v>169995</v>
      </c>
      <c r="G16" s="23">
        <v>50</v>
      </c>
      <c r="H16" s="26">
        <v>3399.9</v>
      </c>
      <c r="I16" s="31">
        <v>399.78</v>
      </c>
      <c r="J16" s="18">
        <v>3000.12</v>
      </c>
      <c r="K16" s="19">
        <v>19995</v>
      </c>
      <c r="L16" s="32">
        <v>12393.18</v>
      </c>
      <c r="M16" s="33">
        <v>7601.82</v>
      </c>
      <c r="N16" s="24">
        <v>31</v>
      </c>
      <c r="O16" s="21">
        <v>19</v>
      </c>
      <c r="P16" s="16">
        <v>105396.9</v>
      </c>
      <c r="Q16" s="16">
        <v>64598.1</v>
      </c>
      <c r="R16" s="22"/>
    </row>
    <row r="17" spans="1:18" ht="24.75" customHeight="1">
      <c r="A17" s="12">
        <v>14</v>
      </c>
      <c r="B17" s="12" t="s">
        <v>19</v>
      </c>
      <c r="C17" s="22" t="s">
        <v>33</v>
      </c>
      <c r="D17" s="26">
        <v>150000</v>
      </c>
      <c r="E17" s="15">
        <v>19995</v>
      </c>
      <c r="F17" s="19">
        <v>169995</v>
      </c>
      <c r="G17" s="23">
        <v>50</v>
      </c>
      <c r="H17" s="26">
        <v>3399.9</v>
      </c>
      <c r="I17" s="31">
        <v>399.78</v>
      </c>
      <c r="J17" s="18">
        <v>3000.12</v>
      </c>
      <c r="K17" s="19">
        <v>19995</v>
      </c>
      <c r="L17" s="32">
        <v>12393.18</v>
      </c>
      <c r="M17" s="33">
        <v>7601.82</v>
      </c>
      <c r="N17" s="24">
        <v>31</v>
      </c>
      <c r="O17" s="21">
        <v>19</v>
      </c>
      <c r="P17" s="16">
        <v>105396.9</v>
      </c>
      <c r="Q17" s="16">
        <v>64598.1</v>
      </c>
      <c r="R17" s="22"/>
    </row>
    <row r="18" spans="1:18" ht="23.25" customHeight="1">
      <c r="A18" s="12">
        <v>15</v>
      </c>
      <c r="B18" s="12" t="s">
        <v>19</v>
      </c>
      <c r="C18" s="13" t="s">
        <v>34</v>
      </c>
      <c r="D18" s="28">
        <v>150000</v>
      </c>
      <c r="E18" s="15">
        <v>19995</v>
      </c>
      <c r="F18" s="19">
        <v>169995</v>
      </c>
      <c r="G18" s="23">
        <v>50</v>
      </c>
      <c r="H18" s="26">
        <v>3399.9</v>
      </c>
      <c r="I18" s="31">
        <v>399.78</v>
      </c>
      <c r="J18" s="18">
        <v>3000.12</v>
      </c>
      <c r="K18" s="19">
        <v>19995</v>
      </c>
      <c r="L18" s="32">
        <v>12393.18</v>
      </c>
      <c r="M18" s="33">
        <v>7601.82</v>
      </c>
      <c r="N18" s="24">
        <v>31</v>
      </c>
      <c r="O18" s="21">
        <v>19</v>
      </c>
      <c r="P18" s="16">
        <v>105396.9</v>
      </c>
      <c r="Q18" s="16">
        <v>64598.1</v>
      </c>
      <c r="R18" s="22"/>
    </row>
    <row r="19" spans="1:18" ht="27" customHeight="1">
      <c r="A19" s="12">
        <v>16</v>
      </c>
      <c r="B19" s="12" t="s">
        <v>19</v>
      </c>
      <c r="C19" s="22" t="s">
        <v>35</v>
      </c>
      <c r="D19" s="28">
        <v>150000</v>
      </c>
      <c r="E19" s="15">
        <v>19995</v>
      </c>
      <c r="F19" s="19">
        <v>169995</v>
      </c>
      <c r="G19" s="23">
        <v>50</v>
      </c>
      <c r="H19" s="26">
        <v>3399.9</v>
      </c>
      <c r="I19" s="31">
        <v>399.78</v>
      </c>
      <c r="J19" s="18">
        <v>3000.12</v>
      </c>
      <c r="K19" s="19">
        <v>19995</v>
      </c>
      <c r="L19" s="32">
        <v>12393.18</v>
      </c>
      <c r="M19" s="33">
        <v>7601.82</v>
      </c>
      <c r="N19" s="24">
        <v>31</v>
      </c>
      <c r="O19" s="21">
        <v>19</v>
      </c>
      <c r="P19" s="16">
        <v>105396.9</v>
      </c>
      <c r="Q19" s="16">
        <v>64598.1</v>
      </c>
      <c r="R19" s="22"/>
    </row>
    <row r="20" spans="1:18" ht="23.25" customHeight="1">
      <c r="A20" s="12">
        <v>17</v>
      </c>
      <c r="B20" s="12" t="s">
        <v>19</v>
      </c>
      <c r="C20" s="22" t="s">
        <v>36</v>
      </c>
      <c r="D20" s="28">
        <v>150000</v>
      </c>
      <c r="E20" s="15">
        <v>19995</v>
      </c>
      <c r="F20" s="19">
        <v>169995</v>
      </c>
      <c r="G20" s="23">
        <v>50</v>
      </c>
      <c r="H20" s="26">
        <v>3399.9</v>
      </c>
      <c r="I20" s="31">
        <v>399.78</v>
      </c>
      <c r="J20" s="18">
        <v>3000.12</v>
      </c>
      <c r="K20" s="19">
        <v>19995</v>
      </c>
      <c r="L20" s="32">
        <v>12393.18</v>
      </c>
      <c r="M20" s="33">
        <v>7601.82</v>
      </c>
      <c r="N20" s="24">
        <v>31</v>
      </c>
      <c r="O20" s="21">
        <v>19</v>
      </c>
      <c r="P20" s="16">
        <v>105396.9</v>
      </c>
      <c r="Q20" s="16">
        <v>64598.1</v>
      </c>
      <c r="R20" s="22"/>
    </row>
    <row r="21" spans="1:18" ht="27" customHeight="1">
      <c r="A21" s="12"/>
      <c r="B21" s="12"/>
      <c r="C21" s="36" t="s">
        <v>37</v>
      </c>
      <c r="D21" s="26">
        <v>4740000</v>
      </c>
      <c r="E21" s="15">
        <v>631836</v>
      </c>
      <c r="F21" s="26">
        <v>5371842</v>
      </c>
      <c r="G21" s="17"/>
      <c r="H21" s="26">
        <v>107436.05999999995</v>
      </c>
      <c r="I21" s="31">
        <v>12635.760000000004</v>
      </c>
      <c r="J21" s="18">
        <v>94801.079999999973</v>
      </c>
      <c r="K21" s="19">
        <f>SUM(K4:K20)</f>
        <v>631842</v>
      </c>
      <c r="L21" s="32">
        <v>263083.42</v>
      </c>
      <c r="M21" s="33">
        <v>368758.58000000007</v>
      </c>
      <c r="N21" s="20"/>
      <c r="O21" s="21"/>
      <c r="P21" s="15">
        <v>2236907.5399999996</v>
      </c>
      <c r="Q21" s="15">
        <v>3134934.4600000004</v>
      </c>
      <c r="R21" s="22"/>
    </row>
  </sheetData>
  <mergeCells count="1">
    <mergeCell ref="A1:R1"/>
  </mergeCells>
  <pageMargins left="0.7" right="0.7" top="0.75" bottom="0.75" header="0.3" footer="0.3"/>
  <pageSetup scale="54" fitToHeight="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0"/>
  <sheetViews>
    <sheetView topLeftCell="K15" workbookViewId="0">
      <selection activeCell="G6" sqref="G6"/>
    </sheetView>
  </sheetViews>
  <sheetFormatPr defaultRowHeight="15"/>
  <cols>
    <col min="1" max="1" width="5.5703125" customWidth="1"/>
    <col min="2" max="2" width="8.5703125" customWidth="1"/>
    <col min="3" max="3" width="25.5703125" customWidth="1"/>
    <col min="4" max="5" width="14.42578125" customWidth="1"/>
    <col min="6" max="6" width="14.7109375" customWidth="1"/>
    <col min="8" max="8" width="11.5703125" customWidth="1"/>
    <col min="9" max="9" width="12.5703125" customWidth="1"/>
    <col min="10" max="10" width="12.140625" customWidth="1"/>
    <col min="11" max="11" width="13.140625" customWidth="1"/>
    <col min="12" max="12" width="13.28515625" customWidth="1"/>
    <col min="13" max="13" width="12.5703125" customWidth="1"/>
    <col min="15" max="15" width="7.42578125" customWidth="1"/>
    <col min="16" max="17" width="14.42578125" customWidth="1"/>
  </cols>
  <sheetData>
    <row r="1" spans="1:18" ht="23.25">
      <c r="A1" s="240" t="s">
        <v>38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</row>
    <row r="2" spans="1:18" ht="21">
      <c r="A2" s="37"/>
      <c r="B2" s="37"/>
      <c r="C2" s="37"/>
      <c r="D2" s="38"/>
      <c r="E2" s="38"/>
      <c r="F2" s="38"/>
      <c r="G2" s="62" t="s">
        <v>1</v>
      </c>
      <c r="H2" s="38"/>
      <c r="I2" s="39"/>
      <c r="J2" s="37"/>
      <c r="K2" s="37"/>
      <c r="L2" s="37"/>
      <c r="M2" s="37"/>
      <c r="N2" s="40"/>
      <c r="O2" s="40"/>
      <c r="P2" s="38"/>
      <c r="Q2" s="38"/>
      <c r="R2" s="37"/>
    </row>
    <row r="3" spans="1:18" ht="131.25">
      <c r="A3" s="41" t="s">
        <v>2</v>
      </c>
      <c r="B3" s="41" t="s">
        <v>3</v>
      </c>
      <c r="C3" s="64" t="s">
        <v>4</v>
      </c>
      <c r="D3" s="64" t="s">
        <v>5</v>
      </c>
      <c r="E3" s="41" t="s">
        <v>6</v>
      </c>
      <c r="F3" s="64" t="s">
        <v>7</v>
      </c>
      <c r="G3" s="41" t="s">
        <v>8</v>
      </c>
      <c r="H3" s="64" t="s">
        <v>9</v>
      </c>
      <c r="I3" s="43" t="s">
        <v>10</v>
      </c>
      <c r="J3" s="43" t="s">
        <v>11</v>
      </c>
      <c r="K3" s="41" t="s">
        <v>6</v>
      </c>
      <c r="L3" s="44" t="s">
        <v>12</v>
      </c>
      <c r="M3" s="45" t="s">
        <v>13</v>
      </c>
      <c r="N3" s="46" t="s">
        <v>14</v>
      </c>
      <c r="O3" s="47" t="s">
        <v>15</v>
      </c>
      <c r="P3" s="42" t="s">
        <v>16</v>
      </c>
      <c r="Q3" s="42" t="s">
        <v>17</v>
      </c>
      <c r="R3" s="48" t="s">
        <v>18</v>
      </c>
    </row>
    <row r="4" spans="1:18" ht="34.5" customHeight="1">
      <c r="A4" s="49">
        <v>1</v>
      </c>
      <c r="B4" s="49" t="s">
        <v>19</v>
      </c>
      <c r="C4" s="50" t="s">
        <v>20</v>
      </c>
      <c r="D4" s="65">
        <v>500000</v>
      </c>
      <c r="E4" s="52">
        <v>66650</v>
      </c>
      <c r="F4" s="56">
        <v>566650</v>
      </c>
      <c r="G4" s="60">
        <v>50</v>
      </c>
      <c r="H4" s="63">
        <v>11333</v>
      </c>
      <c r="I4" s="69">
        <v>1333</v>
      </c>
      <c r="J4" s="55">
        <v>10000</v>
      </c>
      <c r="K4" s="56">
        <v>66650</v>
      </c>
      <c r="L4" s="70">
        <v>5332</v>
      </c>
      <c r="M4" s="68">
        <v>61318</v>
      </c>
      <c r="N4" s="57">
        <v>4</v>
      </c>
      <c r="O4" s="58">
        <v>46</v>
      </c>
      <c r="P4" s="66">
        <v>45332</v>
      </c>
      <c r="Q4" s="52">
        <v>521318</v>
      </c>
      <c r="R4" s="59"/>
    </row>
    <row r="5" spans="1:18" ht="36" customHeight="1">
      <c r="A5" s="49">
        <v>2</v>
      </c>
      <c r="B5" s="49" t="s">
        <v>19</v>
      </c>
      <c r="C5" s="59" t="s">
        <v>21</v>
      </c>
      <c r="D5" s="65">
        <v>500000</v>
      </c>
      <c r="E5" s="52">
        <v>66650</v>
      </c>
      <c r="F5" s="56">
        <v>566650</v>
      </c>
      <c r="G5" s="60">
        <v>50</v>
      </c>
      <c r="H5" s="63">
        <v>11333</v>
      </c>
      <c r="I5" s="55">
        <v>1333</v>
      </c>
      <c r="J5" s="55">
        <v>10000</v>
      </c>
      <c r="K5" s="56">
        <v>66650</v>
      </c>
      <c r="L5" s="70">
        <v>9331</v>
      </c>
      <c r="M5" s="68">
        <v>57319</v>
      </c>
      <c r="N5" s="57">
        <v>7</v>
      </c>
      <c r="O5" s="58">
        <v>43</v>
      </c>
      <c r="P5" s="66">
        <v>79331</v>
      </c>
      <c r="Q5" s="52">
        <v>487319</v>
      </c>
      <c r="R5" s="59"/>
    </row>
    <row r="6" spans="1:18" ht="30" customHeight="1">
      <c r="A6" s="49">
        <v>3</v>
      </c>
      <c r="B6" s="49" t="s">
        <v>19</v>
      </c>
      <c r="C6" s="59" t="s">
        <v>23</v>
      </c>
      <c r="D6" s="65">
        <v>330000</v>
      </c>
      <c r="E6" s="52">
        <v>43989</v>
      </c>
      <c r="F6" s="56">
        <v>373989</v>
      </c>
      <c r="G6" s="60">
        <v>50</v>
      </c>
      <c r="H6" s="63">
        <v>7479.78</v>
      </c>
      <c r="I6" s="55">
        <v>879.78</v>
      </c>
      <c r="J6" s="55">
        <v>6600</v>
      </c>
      <c r="K6" s="56">
        <v>43989</v>
      </c>
      <c r="L6" s="70">
        <v>3519.12</v>
      </c>
      <c r="M6" s="68">
        <v>40469.879999999997</v>
      </c>
      <c r="N6" s="60">
        <v>4</v>
      </c>
      <c r="O6" s="58">
        <v>46</v>
      </c>
      <c r="P6" s="63">
        <v>29919.119999999999</v>
      </c>
      <c r="Q6" s="51">
        <v>344069.88</v>
      </c>
      <c r="R6" s="59"/>
    </row>
    <row r="7" spans="1:18" ht="31.5" customHeight="1">
      <c r="A7" s="49">
        <v>4</v>
      </c>
      <c r="B7" s="49" t="s">
        <v>19</v>
      </c>
      <c r="C7" s="59" t="s">
        <v>24</v>
      </c>
      <c r="D7" s="65">
        <v>150000</v>
      </c>
      <c r="E7" s="52">
        <v>19989</v>
      </c>
      <c r="F7" s="56">
        <v>169995</v>
      </c>
      <c r="G7" s="60">
        <v>50</v>
      </c>
      <c r="H7" s="63">
        <v>3399.9</v>
      </c>
      <c r="I7" s="55">
        <v>399.78</v>
      </c>
      <c r="J7" s="55">
        <v>3000.12</v>
      </c>
      <c r="K7" s="56">
        <v>19995</v>
      </c>
      <c r="L7" s="70">
        <v>1599.12</v>
      </c>
      <c r="M7" s="68">
        <v>18395.88</v>
      </c>
      <c r="N7" s="57">
        <v>4</v>
      </c>
      <c r="O7" s="58">
        <v>46</v>
      </c>
      <c r="P7" s="66">
        <v>13599.6</v>
      </c>
      <c r="Q7" s="52">
        <v>156395.4</v>
      </c>
      <c r="R7" s="59"/>
    </row>
    <row r="8" spans="1:18" ht="31.5" customHeight="1">
      <c r="A8" s="49">
        <v>5</v>
      </c>
      <c r="B8" s="49" t="s">
        <v>19</v>
      </c>
      <c r="C8" s="59" t="s">
        <v>25</v>
      </c>
      <c r="D8" s="65">
        <v>150000</v>
      </c>
      <c r="E8" s="52">
        <v>19995</v>
      </c>
      <c r="F8" s="56">
        <v>169995</v>
      </c>
      <c r="G8" s="60">
        <v>50</v>
      </c>
      <c r="H8" s="63">
        <v>3399.9</v>
      </c>
      <c r="I8" s="55">
        <v>399.78</v>
      </c>
      <c r="J8" s="55">
        <v>3000.12</v>
      </c>
      <c r="K8" s="56">
        <v>19995</v>
      </c>
      <c r="L8" s="70">
        <v>4397.58</v>
      </c>
      <c r="M8" s="68">
        <v>15597.42</v>
      </c>
      <c r="N8" s="61">
        <v>11</v>
      </c>
      <c r="O8" s="58">
        <v>39</v>
      </c>
      <c r="P8" s="63">
        <v>37398.9</v>
      </c>
      <c r="Q8" s="51">
        <v>132596.1</v>
      </c>
      <c r="R8" s="59"/>
    </row>
    <row r="9" spans="1:18" ht="33.75" customHeight="1">
      <c r="A9" s="49">
        <v>6</v>
      </c>
      <c r="B9" s="49" t="s">
        <v>19</v>
      </c>
      <c r="C9" s="50" t="s">
        <v>26</v>
      </c>
      <c r="D9" s="63">
        <v>450000</v>
      </c>
      <c r="E9" s="52">
        <v>59985</v>
      </c>
      <c r="F9" s="56">
        <v>509985</v>
      </c>
      <c r="G9" s="60">
        <v>50</v>
      </c>
      <c r="H9" s="66">
        <v>10199.700000000001</v>
      </c>
      <c r="I9" s="55">
        <v>1199.7</v>
      </c>
      <c r="J9" s="55">
        <v>9000</v>
      </c>
      <c r="K9" s="56">
        <v>59985</v>
      </c>
      <c r="L9" s="70">
        <v>13196.704</v>
      </c>
      <c r="M9" s="68">
        <v>46788.3</v>
      </c>
      <c r="N9" s="57">
        <v>11</v>
      </c>
      <c r="O9" s="58">
        <v>39</v>
      </c>
      <c r="P9" s="66">
        <v>112196.7</v>
      </c>
      <c r="Q9" s="52">
        <v>397788.3</v>
      </c>
      <c r="R9" s="59"/>
    </row>
    <row r="10" spans="1:18" ht="35.25" customHeight="1">
      <c r="A10" s="49">
        <v>7</v>
      </c>
      <c r="B10" s="49" t="s">
        <v>19</v>
      </c>
      <c r="C10" s="50" t="s">
        <v>27</v>
      </c>
      <c r="D10" s="65">
        <v>450000</v>
      </c>
      <c r="E10" s="52">
        <v>59985</v>
      </c>
      <c r="F10" s="56">
        <v>509985</v>
      </c>
      <c r="G10" s="60">
        <v>50</v>
      </c>
      <c r="H10" s="63">
        <v>10199.700000000001</v>
      </c>
      <c r="I10" s="55">
        <v>1199.7</v>
      </c>
      <c r="J10" s="55">
        <v>9000</v>
      </c>
      <c r="K10" s="56">
        <v>59985</v>
      </c>
      <c r="L10" s="70">
        <v>45588.6</v>
      </c>
      <c r="M10" s="68">
        <v>14396.4</v>
      </c>
      <c r="N10" s="57">
        <v>38</v>
      </c>
      <c r="O10" s="58">
        <v>12</v>
      </c>
      <c r="P10" s="66">
        <v>387588.6</v>
      </c>
      <c r="Q10" s="52">
        <v>122396.4</v>
      </c>
      <c r="R10" s="59"/>
    </row>
    <row r="11" spans="1:18" ht="28.5" customHeight="1">
      <c r="A11" s="49">
        <v>8</v>
      </c>
      <c r="B11" s="49" t="s">
        <v>19</v>
      </c>
      <c r="C11" s="59" t="s">
        <v>28</v>
      </c>
      <c r="D11" s="65">
        <v>500000</v>
      </c>
      <c r="E11" s="52">
        <v>66650</v>
      </c>
      <c r="F11" s="56">
        <v>566650</v>
      </c>
      <c r="G11" s="60">
        <v>50</v>
      </c>
      <c r="H11" s="63">
        <v>11333</v>
      </c>
      <c r="I11" s="55">
        <v>1333</v>
      </c>
      <c r="J11" s="55">
        <v>10000</v>
      </c>
      <c r="K11" s="56">
        <v>66650</v>
      </c>
      <c r="L11" s="70">
        <v>42656</v>
      </c>
      <c r="M11" s="68">
        <v>23994</v>
      </c>
      <c r="N11" s="57">
        <v>32</v>
      </c>
      <c r="O11" s="58">
        <v>18</v>
      </c>
      <c r="P11" s="66">
        <v>362656</v>
      </c>
      <c r="Q11" s="52">
        <v>203994</v>
      </c>
      <c r="R11" s="59"/>
    </row>
    <row r="12" spans="1:18" ht="36" customHeight="1">
      <c r="A12" s="49">
        <v>9</v>
      </c>
      <c r="B12" s="49" t="s">
        <v>19</v>
      </c>
      <c r="C12" s="59" t="s">
        <v>29</v>
      </c>
      <c r="D12" s="65">
        <v>330000</v>
      </c>
      <c r="E12" s="52">
        <v>43989</v>
      </c>
      <c r="F12" s="56">
        <v>373989</v>
      </c>
      <c r="G12" s="60">
        <v>50</v>
      </c>
      <c r="H12" s="63">
        <v>7479</v>
      </c>
      <c r="I12" s="55">
        <v>879.78</v>
      </c>
      <c r="J12" s="55">
        <v>6600</v>
      </c>
      <c r="K12" s="56">
        <v>43989</v>
      </c>
      <c r="L12" s="70">
        <v>28152.959999999999</v>
      </c>
      <c r="M12" s="68">
        <v>15836.04</v>
      </c>
      <c r="N12" s="61">
        <v>32</v>
      </c>
      <c r="O12" s="58">
        <v>18</v>
      </c>
      <c r="P12" s="63">
        <v>239352.95999999999</v>
      </c>
      <c r="Q12" s="53">
        <v>134636.04</v>
      </c>
      <c r="R12" s="59"/>
    </row>
    <row r="13" spans="1:18" ht="42" customHeight="1">
      <c r="A13" s="49">
        <v>10</v>
      </c>
      <c r="B13" s="49" t="s">
        <v>19</v>
      </c>
      <c r="C13" s="59" t="s">
        <v>30</v>
      </c>
      <c r="D13" s="65">
        <v>150000</v>
      </c>
      <c r="E13" s="52">
        <v>19995</v>
      </c>
      <c r="F13" s="56">
        <v>169995</v>
      </c>
      <c r="G13" s="60">
        <v>50</v>
      </c>
      <c r="H13" s="63">
        <v>3399.9</v>
      </c>
      <c r="I13" s="55">
        <v>399.78</v>
      </c>
      <c r="J13" s="55">
        <v>3000.12</v>
      </c>
      <c r="K13" s="56">
        <v>19995</v>
      </c>
      <c r="L13" s="70">
        <v>1199.3399999999999</v>
      </c>
      <c r="M13" s="68">
        <v>18795.66</v>
      </c>
      <c r="N13" s="61">
        <v>3</v>
      </c>
      <c r="O13" s="58">
        <v>47</v>
      </c>
      <c r="P13" s="63">
        <v>10199.700000000001</v>
      </c>
      <c r="Q13" s="51">
        <v>159795.29999999999</v>
      </c>
      <c r="R13" s="59"/>
    </row>
    <row r="14" spans="1:18" ht="35.25" customHeight="1">
      <c r="A14" s="49">
        <v>11</v>
      </c>
      <c r="B14" s="49" t="s">
        <v>19</v>
      </c>
      <c r="C14" s="59" t="s">
        <v>31</v>
      </c>
      <c r="D14" s="65">
        <v>150000</v>
      </c>
      <c r="E14" s="52">
        <v>19995</v>
      </c>
      <c r="F14" s="56">
        <v>169995</v>
      </c>
      <c r="G14" s="60">
        <v>50</v>
      </c>
      <c r="H14" s="63">
        <v>3399.9</v>
      </c>
      <c r="I14" s="55">
        <v>399.78</v>
      </c>
      <c r="J14" s="55">
        <v>3000.12</v>
      </c>
      <c r="K14" s="56">
        <v>19995</v>
      </c>
      <c r="L14" s="70">
        <v>12792.96</v>
      </c>
      <c r="M14" s="68">
        <v>7202.04</v>
      </c>
      <c r="N14" s="61">
        <v>32</v>
      </c>
      <c r="O14" s="58">
        <v>18</v>
      </c>
      <c r="P14" s="63">
        <v>108796.8</v>
      </c>
      <c r="Q14" s="53">
        <v>61198.2</v>
      </c>
      <c r="R14" s="59"/>
    </row>
    <row r="15" spans="1:18" ht="35.25" customHeight="1">
      <c r="A15" s="49">
        <v>12</v>
      </c>
      <c r="B15" s="49" t="s">
        <v>19</v>
      </c>
      <c r="C15" s="59" t="s">
        <v>32</v>
      </c>
      <c r="D15" s="65">
        <v>150000</v>
      </c>
      <c r="E15" s="52">
        <v>19995</v>
      </c>
      <c r="F15" s="56">
        <v>169995</v>
      </c>
      <c r="G15" s="60">
        <v>50</v>
      </c>
      <c r="H15" s="63">
        <v>3399.9</v>
      </c>
      <c r="I15" s="55">
        <v>399.78</v>
      </c>
      <c r="J15" s="55">
        <v>3000.12</v>
      </c>
      <c r="K15" s="56">
        <v>19995</v>
      </c>
      <c r="L15" s="70">
        <v>12792.96</v>
      </c>
      <c r="M15" s="68">
        <v>7202.04</v>
      </c>
      <c r="N15" s="61">
        <v>32</v>
      </c>
      <c r="O15" s="58">
        <v>18</v>
      </c>
      <c r="P15" s="63">
        <v>108796.8</v>
      </c>
      <c r="Q15" s="53">
        <v>61198.2</v>
      </c>
      <c r="R15" s="59"/>
    </row>
    <row r="16" spans="1:18" ht="36.75" customHeight="1">
      <c r="A16" s="49">
        <v>13</v>
      </c>
      <c r="B16" s="49" t="s">
        <v>19</v>
      </c>
      <c r="C16" s="59" t="s">
        <v>33</v>
      </c>
      <c r="D16" s="63">
        <v>150000</v>
      </c>
      <c r="E16" s="52">
        <v>19995</v>
      </c>
      <c r="F16" s="56">
        <v>169995</v>
      </c>
      <c r="G16" s="60">
        <v>50</v>
      </c>
      <c r="H16" s="63">
        <v>3399.9</v>
      </c>
      <c r="I16" s="55">
        <v>399.78</v>
      </c>
      <c r="J16" s="55">
        <v>3000.12</v>
      </c>
      <c r="K16" s="56">
        <v>19995</v>
      </c>
      <c r="L16" s="70">
        <v>12792.96</v>
      </c>
      <c r="M16" s="68">
        <v>7202.04</v>
      </c>
      <c r="N16" s="61">
        <v>32</v>
      </c>
      <c r="O16" s="58">
        <v>18</v>
      </c>
      <c r="P16" s="63">
        <v>108796.8</v>
      </c>
      <c r="Q16" s="53">
        <v>61198.2</v>
      </c>
      <c r="R16" s="59"/>
    </row>
    <row r="17" spans="1:18" ht="35.25" customHeight="1">
      <c r="A17" s="49">
        <v>14</v>
      </c>
      <c r="B17" s="49" t="s">
        <v>19</v>
      </c>
      <c r="C17" s="50" t="s">
        <v>34</v>
      </c>
      <c r="D17" s="65">
        <v>150000</v>
      </c>
      <c r="E17" s="52">
        <v>19995</v>
      </c>
      <c r="F17" s="56">
        <v>169995</v>
      </c>
      <c r="G17" s="60">
        <v>50</v>
      </c>
      <c r="H17" s="63">
        <v>3399.9</v>
      </c>
      <c r="I17" s="55">
        <v>399.78</v>
      </c>
      <c r="J17" s="55">
        <v>3000.12</v>
      </c>
      <c r="K17" s="56">
        <v>19995</v>
      </c>
      <c r="L17" s="70">
        <v>12792.96</v>
      </c>
      <c r="M17" s="68">
        <v>7202.04</v>
      </c>
      <c r="N17" s="61">
        <v>32</v>
      </c>
      <c r="O17" s="58">
        <v>18</v>
      </c>
      <c r="P17" s="63">
        <v>108796.8</v>
      </c>
      <c r="Q17" s="53">
        <v>61198.2</v>
      </c>
      <c r="R17" s="59"/>
    </row>
    <row r="18" spans="1:18" ht="35.25" customHeight="1">
      <c r="A18" s="49">
        <v>15</v>
      </c>
      <c r="B18" s="49" t="s">
        <v>19</v>
      </c>
      <c r="C18" s="59" t="s">
        <v>35</v>
      </c>
      <c r="D18" s="65">
        <v>150000</v>
      </c>
      <c r="E18" s="52">
        <v>19995</v>
      </c>
      <c r="F18" s="56">
        <v>169995</v>
      </c>
      <c r="G18" s="60">
        <v>50</v>
      </c>
      <c r="H18" s="63">
        <v>3399.9</v>
      </c>
      <c r="I18" s="55">
        <v>399.78</v>
      </c>
      <c r="J18" s="55">
        <v>3000.12</v>
      </c>
      <c r="K18" s="56">
        <v>19995</v>
      </c>
      <c r="L18" s="70">
        <v>12792.96</v>
      </c>
      <c r="M18" s="68">
        <v>7202.04</v>
      </c>
      <c r="N18" s="61">
        <v>32</v>
      </c>
      <c r="O18" s="58">
        <v>18</v>
      </c>
      <c r="P18" s="63">
        <v>108796.8</v>
      </c>
      <c r="Q18" s="53">
        <v>61198.2</v>
      </c>
      <c r="R18" s="59"/>
    </row>
    <row r="19" spans="1:18" ht="33" customHeight="1">
      <c r="A19" s="49">
        <v>16</v>
      </c>
      <c r="B19" s="49" t="s">
        <v>19</v>
      </c>
      <c r="C19" s="59" t="s">
        <v>36</v>
      </c>
      <c r="D19" s="65">
        <v>150000</v>
      </c>
      <c r="E19" s="52">
        <v>19995</v>
      </c>
      <c r="F19" s="56">
        <v>169995</v>
      </c>
      <c r="G19" s="60">
        <v>50</v>
      </c>
      <c r="H19" s="63">
        <v>3399.9</v>
      </c>
      <c r="I19" s="55">
        <v>399.78</v>
      </c>
      <c r="J19" s="55">
        <v>3000.12</v>
      </c>
      <c r="K19" s="56">
        <v>19995</v>
      </c>
      <c r="L19" s="67">
        <v>12792.96</v>
      </c>
      <c r="M19" s="68">
        <v>7202.04</v>
      </c>
      <c r="N19" s="61">
        <v>32</v>
      </c>
      <c r="O19" s="58">
        <v>18</v>
      </c>
      <c r="P19" s="63">
        <v>108796.8</v>
      </c>
      <c r="Q19" s="53">
        <v>61198.2</v>
      </c>
      <c r="R19" s="59"/>
    </row>
    <row r="20" spans="1:18" ht="33.75" customHeight="1">
      <c r="A20" s="49"/>
      <c r="B20" s="49"/>
      <c r="C20" s="50" t="s">
        <v>37</v>
      </c>
      <c r="D20" s="63">
        <v>4410000</v>
      </c>
      <c r="E20" s="52">
        <v>587847</v>
      </c>
      <c r="F20" s="63">
        <v>4997853</v>
      </c>
      <c r="G20" s="54"/>
      <c r="H20" s="63">
        <v>99956.279999999955</v>
      </c>
      <c r="I20" s="55">
        <v>11755.980000000003</v>
      </c>
      <c r="J20" s="55">
        <v>88201.079999999958</v>
      </c>
      <c r="K20" s="56">
        <v>587853</v>
      </c>
      <c r="L20" s="67">
        <v>231730.18399999995</v>
      </c>
      <c r="M20" s="68">
        <v>356122.81999999983</v>
      </c>
      <c r="N20" s="61"/>
      <c r="O20" s="58"/>
      <c r="P20" s="53">
        <v>1970355.3800000001</v>
      </c>
      <c r="Q20" s="53">
        <v>3027497.620000001</v>
      </c>
      <c r="R20" s="59"/>
    </row>
  </sheetData>
  <mergeCells count="1">
    <mergeCell ref="A1:R1"/>
  </mergeCells>
  <pageMargins left="0.7" right="0.7" top="0.75" bottom="0.75" header="0.3" footer="0.3"/>
  <pageSetup scale="55" fitToHeight="7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0"/>
  <sheetViews>
    <sheetView topLeftCell="K2" workbookViewId="0">
      <selection activeCell="J22" sqref="J22"/>
    </sheetView>
  </sheetViews>
  <sheetFormatPr defaultRowHeight="15"/>
  <cols>
    <col min="1" max="1" width="3.85546875" customWidth="1"/>
    <col min="2" max="2" width="7.7109375" customWidth="1"/>
    <col min="3" max="3" width="27.28515625" customWidth="1"/>
    <col min="4" max="4" width="14.140625" customWidth="1"/>
    <col min="5" max="5" width="12.7109375" bestFit="1" customWidth="1"/>
    <col min="6" max="6" width="14.140625" customWidth="1"/>
    <col min="7" max="7" width="8.140625" customWidth="1"/>
    <col min="8" max="8" width="11.42578125" customWidth="1"/>
    <col min="9" max="9" width="12.140625" customWidth="1"/>
    <col min="10" max="10" width="12.28515625" customWidth="1"/>
    <col min="11" max="11" width="12.42578125" customWidth="1"/>
    <col min="12" max="12" width="13.5703125" customWidth="1"/>
    <col min="13" max="13" width="12.5703125" customWidth="1"/>
    <col min="14" max="14" width="8" bestFit="1" customWidth="1"/>
    <col min="15" max="15" width="7.5703125" customWidth="1"/>
    <col min="16" max="16" width="14.85546875" customWidth="1"/>
    <col min="17" max="17" width="14.7109375" customWidth="1"/>
  </cols>
  <sheetData>
    <row r="1" spans="1:18" ht="23.25">
      <c r="A1" s="240" t="s">
        <v>39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</row>
    <row r="2" spans="1:18" ht="21">
      <c r="A2" s="71"/>
      <c r="B2" s="71"/>
      <c r="C2" s="71"/>
      <c r="D2" s="72"/>
      <c r="E2" s="72"/>
      <c r="F2" s="72"/>
      <c r="G2" s="96" t="s">
        <v>1</v>
      </c>
      <c r="H2" s="72"/>
      <c r="I2" s="73"/>
      <c r="J2" s="71"/>
      <c r="K2" s="71"/>
      <c r="L2" s="71"/>
      <c r="M2" s="71"/>
      <c r="N2" s="74"/>
      <c r="O2" s="74"/>
      <c r="P2" s="72"/>
      <c r="Q2" s="72"/>
      <c r="R2" s="71"/>
    </row>
    <row r="3" spans="1:18" ht="131.25">
      <c r="A3" s="75" t="s">
        <v>2</v>
      </c>
      <c r="B3" s="75" t="s">
        <v>3</v>
      </c>
      <c r="C3" s="98" t="s">
        <v>4</v>
      </c>
      <c r="D3" s="98" t="s">
        <v>5</v>
      </c>
      <c r="E3" s="75" t="s">
        <v>6</v>
      </c>
      <c r="F3" s="98" t="s">
        <v>7</v>
      </c>
      <c r="G3" s="75" t="s">
        <v>8</v>
      </c>
      <c r="H3" s="98" t="s">
        <v>9</v>
      </c>
      <c r="I3" s="77" t="s">
        <v>10</v>
      </c>
      <c r="J3" s="77" t="s">
        <v>11</v>
      </c>
      <c r="K3" s="75" t="s">
        <v>6</v>
      </c>
      <c r="L3" s="78" t="s">
        <v>12</v>
      </c>
      <c r="M3" s="79" t="s">
        <v>13</v>
      </c>
      <c r="N3" s="80" t="s">
        <v>14</v>
      </c>
      <c r="O3" s="81" t="s">
        <v>15</v>
      </c>
      <c r="P3" s="76" t="s">
        <v>16</v>
      </c>
      <c r="Q3" s="76" t="s">
        <v>17</v>
      </c>
      <c r="R3" s="82" t="s">
        <v>18</v>
      </c>
    </row>
    <row r="4" spans="1:18" ht="25.5" customHeight="1">
      <c r="A4" s="83">
        <v>1</v>
      </c>
      <c r="B4" s="83" t="s">
        <v>19</v>
      </c>
      <c r="C4" s="84" t="s">
        <v>20</v>
      </c>
      <c r="D4" s="99">
        <v>500000</v>
      </c>
      <c r="E4" s="86">
        <v>66650</v>
      </c>
      <c r="F4" s="90">
        <v>566650</v>
      </c>
      <c r="G4" s="94">
        <v>50</v>
      </c>
      <c r="H4" s="97">
        <v>11333</v>
      </c>
      <c r="I4" s="103">
        <v>1333</v>
      </c>
      <c r="J4" s="89">
        <v>10000</v>
      </c>
      <c r="K4" s="90">
        <v>66650</v>
      </c>
      <c r="L4" s="104">
        <v>6665</v>
      </c>
      <c r="M4" s="102">
        <v>59985</v>
      </c>
      <c r="N4" s="91">
        <v>5</v>
      </c>
      <c r="O4" s="92">
        <v>45</v>
      </c>
      <c r="P4" s="100">
        <v>56665</v>
      </c>
      <c r="Q4" s="86">
        <v>509985</v>
      </c>
      <c r="R4" s="93"/>
    </row>
    <row r="5" spans="1:18" ht="24" customHeight="1">
      <c r="A5" s="83">
        <v>2</v>
      </c>
      <c r="B5" s="83" t="s">
        <v>19</v>
      </c>
      <c r="C5" s="93" t="s">
        <v>21</v>
      </c>
      <c r="D5" s="99">
        <v>500000</v>
      </c>
      <c r="E5" s="86">
        <v>66650</v>
      </c>
      <c r="F5" s="90">
        <v>566650</v>
      </c>
      <c r="G5" s="94">
        <v>50</v>
      </c>
      <c r="H5" s="97">
        <v>11333</v>
      </c>
      <c r="I5" s="89">
        <v>1333</v>
      </c>
      <c r="J5" s="89">
        <v>10000</v>
      </c>
      <c r="K5" s="90">
        <v>66650</v>
      </c>
      <c r="L5" s="104">
        <v>10664</v>
      </c>
      <c r="M5" s="102">
        <v>55986</v>
      </c>
      <c r="N5" s="91">
        <v>8</v>
      </c>
      <c r="O5" s="92">
        <v>42</v>
      </c>
      <c r="P5" s="100">
        <v>90664</v>
      </c>
      <c r="Q5" s="86">
        <v>475986</v>
      </c>
      <c r="R5" s="93"/>
    </row>
    <row r="6" spans="1:18" ht="24" customHeight="1">
      <c r="A6" s="83">
        <v>3</v>
      </c>
      <c r="B6" s="83" t="s">
        <v>19</v>
      </c>
      <c r="C6" s="93" t="s">
        <v>23</v>
      </c>
      <c r="D6" s="99">
        <v>330000</v>
      </c>
      <c r="E6" s="86">
        <v>43989</v>
      </c>
      <c r="F6" s="90">
        <v>373989</v>
      </c>
      <c r="G6" s="94">
        <v>50</v>
      </c>
      <c r="H6" s="97">
        <v>7479.78</v>
      </c>
      <c r="I6" s="89">
        <v>879.78</v>
      </c>
      <c r="J6" s="89">
        <v>6600</v>
      </c>
      <c r="K6" s="90">
        <v>43989</v>
      </c>
      <c r="L6" s="104">
        <v>4398.8999999999996</v>
      </c>
      <c r="M6" s="102">
        <v>39590.1</v>
      </c>
      <c r="N6" s="94">
        <v>5</v>
      </c>
      <c r="O6" s="92">
        <v>45</v>
      </c>
      <c r="P6" s="97">
        <v>37398.9</v>
      </c>
      <c r="Q6" s="85">
        <v>336590.1</v>
      </c>
      <c r="R6" s="93"/>
    </row>
    <row r="7" spans="1:18" ht="26.25" customHeight="1">
      <c r="A7" s="83">
        <v>4</v>
      </c>
      <c r="B7" s="83" t="s">
        <v>19</v>
      </c>
      <c r="C7" s="93" t="s">
        <v>24</v>
      </c>
      <c r="D7" s="99">
        <v>150000</v>
      </c>
      <c r="E7" s="86">
        <v>19989</v>
      </c>
      <c r="F7" s="90">
        <v>169995</v>
      </c>
      <c r="G7" s="94">
        <v>50</v>
      </c>
      <c r="H7" s="97">
        <v>3399.9</v>
      </c>
      <c r="I7" s="89">
        <v>399.78</v>
      </c>
      <c r="J7" s="89">
        <v>3000.12</v>
      </c>
      <c r="K7" s="90">
        <v>19995</v>
      </c>
      <c r="L7" s="104">
        <v>1998.9</v>
      </c>
      <c r="M7" s="102">
        <v>17996.099999999999</v>
      </c>
      <c r="N7" s="91">
        <v>5</v>
      </c>
      <c r="O7" s="92">
        <v>45</v>
      </c>
      <c r="P7" s="100">
        <v>16999.5</v>
      </c>
      <c r="Q7" s="86">
        <v>152995.5</v>
      </c>
      <c r="R7" s="93"/>
    </row>
    <row r="8" spans="1:18" ht="24.75" customHeight="1">
      <c r="A8" s="83">
        <v>5</v>
      </c>
      <c r="B8" s="83" t="s">
        <v>19</v>
      </c>
      <c r="C8" s="93" t="s">
        <v>25</v>
      </c>
      <c r="D8" s="99">
        <v>150000</v>
      </c>
      <c r="E8" s="86">
        <v>19995</v>
      </c>
      <c r="F8" s="90">
        <v>169995</v>
      </c>
      <c r="G8" s="94">
        <v>50</v>
      </c>
      <c r="H8" s="97">
        <v>3399.9</v>
      </c>
      <c r="I8" s="89">
        <v>399.78</v>
      </c>
      <c r="J8" s="89">
        <v>3000.12</v>
      </c>
      <c r="K8" s="90">
        <v>19995</v>
      </c>
      <c r="L8" s="104">
        <v>4797.3599999999997</v>
      </c>
      <c r="M8" s="102">
        <v>15197.64</v>
      </c>
      <c r="N8" s="95">
        <v>12</v>
      </c>
      <c r="O8" s="92">
        <v>38</v>
      </c>
      <c r="P8" s="97">
        <v>40798.800000000003</v>
      </c>
      <c r="Q8" s="85">
        <v>129196.2</v>
      </c>
      <c r="R8" s="93"/>
    </row>
    <row r="9" spans="1:18" ht="24" customHeight="1">
      <c r="A9" s="83">
        <v>6</v>
      </c>
      <c r="B9" s="83" t="s">
        <v>19</v>
      </c>
      <c r="C9" s="84" t="s">
        <v>26</v>
      </c>
      <c r="D9" s="97">
        <v>450000</v>
      </c>
      <c r="E9" s="86">
        <v>59985</v>
      </c>
      <c r="F9" s="90">
        <v>509985</v>
      </c>
      <c r="G9" s="94">
        <v>50</v>
      </c>
      <c r="H9" s="100">
        <v>10199.700000000001</v>
      </c>
      <c r="I9" s="89">
        <v>1199.7</v>
      </c>
      <c r="J9" s="89">
        <v>9000</v>
      </c>
      <c r="K9" s="90">
        <v>59985</v>
      </c>
      <c r="L9" s="104">
        <v>14396.4</v>
      </c>
      <c r="M9" s="102">
        <v>45588.6</v>
      </c>
      <c r="N9" s="91">
        <v>12</v>
      </c>
      <c r="O9" s="92">
        <v>38</v>
      </c>
      <c r="P9" s="100">
        <v>122396.4</v>
      </c>
      <c r="Q9" s="86">
        <v>387588.6</v>
      </c>
      <c r="R9" s="93"/>
    </row>
    <row r="10" spans="1:18" ht="25.5" customHeight="1">
      <c r="A10" s="83">
        <v>7</v>
      </c>
      <c r="B10" s="83" t="s">
        <v>19</v>
      </c>
      <c r="C10" s="84" t="s">
        <v>27</v>
      </c>
      <c r="D10" s="99">
        <v>450000</v>
      </c>
      <c r="E10" s="86">
        <v>59985</v>
      </c>
      <c r="F10" s="90">
        <v>509985</v>
      </c>
      <c r="G10" s="94">
        <v>50</v>
      </c>
      <c r="H10" s="97">
        <v>10199.700000000001</v>
      </c>
      <c r="I10" s="89">
        <v>1199.7</v>
      </c>
      <c r="J10" s="89">
        <v>9000</v>
      </c>
      <c r="K10" s="90">
        <v>59985</v>
      </c>
      <c r="L10" s="104">
        <v>46788.3</v>
      </c>
      <c r="M10" s="102">
        <v>13196.7</v>
      </c>
      <c r="N10" s="91">
        <v>39</v>
      </c>
      <c r="O10" s="92">
        <v>11</v>
      </c>
      <c r="P10" s="100">
        <v>397788.3</v>
      </c>
      <c r="Q10" s="86">
        <v>112196.7</v>
      </c>
      <c r="R10" s="93"/>
    </row>
    <row r="11" spans="1:18" ht="27.75" customHeight="1">
      <c r="A11" s="83">
        <v>8</v>
      </c>
      <c r="B11" s="83" t="s">
        <v>19</v>
      </c>
      <c r="C11" s="93" t="s">
        <v>28</v>
      </c>
      <c r="D11" s="99">
        <v>500000</v>
      </c>
      <c r="E11" s="86">
        <v>66650</v>
      </c>
      <c r="F11" s="90">
        <v>566650</v>
      </c>
      <c r="G11" s="94">
        <v>50</v>
      </c>
      <c r="H11" s="97">
        <v>11333</v>
      </c>
      <c r="I11" s="89">
        <v>1333</v>
      </c>
      <c r="J11" s="89">
        <v>10000</v>
      </c>
      <c r="K11" s="90">
        <v>66650</v>
      </c>
      <c r="L11" s="104">
        <v>43989</v>
      </c>
      <c r="M11" s="102">
        <v>22661</v>
      </c>
      <c r="N11" s="91">
        <v>33</v>
      </c>
      <c r="O11" s="92">
        <v>17</v>
      </c>
      <c r="P11" s="100">
        <v>373989</v>
      </c>
      <c r="Q11" s="86">
        <v>192661</v>
      </c>
      <c r="R11" s="93"/>
    </row>
    <row r="12" spans="1:18" ht="26.25" customHeight="1">
      <c r="A12" s="83">
        <v>9</v>
      </c>
      <c r="B12" s="83" t="s">
        <v>19</v>
      </c>
      <c r="C12" s="93" t="s">
        <v>29</v>
      </c>
      <c r="D12" s="99">
        <v>330000</v>
      </c>
      <c r="E12" s="86">
        <v>43989</v>
      </c>
      <c r="F12" s="90">
        <v>373989</v>
      </c>
      <c r="G12" s="94">
        <v>50</v>
      </c>
      <c r="H12" s="97">
        <v>7479</v>
      </c>
      <c r="I12" s="89">
        <v>879.78</v>
      </c>
      <c r="J12" s="89">
        <v>6600</v>
      </c>
      <c r="K12" s="90">
        <v>43989</v>
      </c>
      <c r="L12" s="104">
        <v>29032.74</v>
      </c>
      <c r="M12" s="102">
        <v>14956.26</v>
      </c>
      <c r="N12" s="95">
        <v>33</v>
      </c>
      <c r="O12" s="92">
        <v>17</v>
      </c>
      <c r="P12" s="97">
        <v>246832.74</v>
      </c>
      <c r="Q12" s="87">
        <v>127156.26</v>
      </c>
      <c r="R12" s="93"/>
    </row>
    <row r="13" spans="1:18" ht="30.75" customHeight="1">
      <c r="A13" s="83">
        <v>10</v>
      </c>
      <c r="B13" s="83" t="s">
        <v>19</v>
      </c>
      <c r="C13" s="93" t="s">
        <v>30</v>
      </c>
      <c r="D13" s="99">
        <v>150000</v>
      </c>
      <c r="E13" s="86">
        <v>19995</v>
      </c>
      <c r="F13" s="90">
        <v>169995</v>
      </c>
      <c r="G13" s="94">
        <v>50</v>
      </c>
      <c r="H13" s="97">
        <v>3399.9</v>
      </c>
      <c r="I13" s="89">
        <v>399.78</v>
      </c>
      <c r="J13" s="89">
        <v>3000.12</v>
      </c>
      <c r="K13" s="90">
        <v>19995</v>
      </c>
      <c r="L13" s="104">
        <v>1599.12</v>
      </c>
      <c r="M13" s="102">
        <v>18395.88</v>
      </c>
      <c r="N13" s="95">
        <v>4</v>
      </c>
      <c r="O13" s="92">
        <v>46</v>
      </c>
      <c r="P13" s="97">
        <v>13599.6</v>
      </c>
      <c r="Q13" s="85">
        <v>156395.4</v>
      </c>
      <c r="R13" s="93"/>
    </row>
    <row r="14" spans="1:18" ht="27.75" customHeight="1">
      <c r="A14" s="83">
        <v>11</v>
      </c>
      <c r="B14" s="83" t="s">
        <v>19</v>
      </c>
      <c r="C14" s="93" t="s">
        <v>31</v>
      </c>
      <c r="D14" s="99">
        <v>150000</v>
      </c>
      <c r="E14" s="86">
        <v>19995</v>
      </c>
      <c r="F14" s="90">
        <v>169995</v>
      </c>
      <c r="G14" s="94">
        <v>50</v>
      </c>
      <c r="H14" s="97">
        <v>3399.9</v>
      </c>
      <c r="I14" s="89">
        <v>399.78</v>
      </c>
      <c r="J14" s="89">
        <v>3000.12</v>
      </c>
      <c r="K14" s="90">
        <v>19995</v>
      </c>
      <c r="L14" s="104">
        <v>13192.74</v>
      </c>
      <c r="M14" s="102">
        <v>6802.26</v>
      </c>
      <c r="N14" s="95">
        <v>33</v>
      </c>
      <c r="O14" s="92">
        <v>17</v>
      </c>
      <c r="P14" s="97">
        <v>112196.7</v>
      </c>
      <c r="Q14" s="87">
        <v>57798.3</v>
      </c>
      <c r="R14" s="93"/>
    </row>
    <row r="15" spans="1:18" ht="29.25" customHeight="1">
      <c r="A15" s="83">
        <v>12</v>
      </c>
      <c r="B15" s="83" t="s">
        <v>19</v>
      </c>
      <c r="C15" s="93" t="s">
        <v>32</v>
      </c>
      <c r="D15" s="99">
        <v>150000</v>
      </c>
      <c r="E15" s="86">
        <v>19995</v>
      </c>
      <c r="F15" s="90">
        <v>169995</v>
      </c>
      <c r="G15" s="94">
        <v>50</v>
      </c>
      <c r="H15" s="97">
        <v>3399.9</v>
      </c>
      <c r="I15" s="89">
        <v>399.78</v>
      </c>
      <c r="J15" s="89">
        <v>3000.12</v>
      </c>
      <c r="K15" s="90">
        <v>19995</v>
      </c>
      <c r="L15" s="104">
        <v>13192.74</v>
      </c>
      <c r="M15" s="102">
        <v>6802.26</v>
      </c>
      <c r="N15" s="95">
        <v>33</v>
      </c>
      <c r="O15" s="92">
        <v>17</v>
      </c>
      <c r="P15" s="97">
        <v>112196.7</v>
      </c>
      <c r="Q15" s="87">
        <v>57798.3</v>
      </c>
      <c r="R15" s="93"/>
    </row>
    <row r="16" spans="1:18" ht="33" customHeight="1">
      <c r="A16" s="83">
        <v>13</v>
      </c>
      <c r="B16" s="83" t="s">
        <v>19</v>
      </c>
      <c r="C16" s="93" t="s">
        <v>33</v>
      </c>
      <c r="D16" s="97">
        <v>150000</v>
      </c>
      <c r="E16" s="86">
        <v>19995</v>
      </c>
      <c r="F16" s="90">
        <v>169995</v>
      </c>
      <c r="G16" s="94">
        <v>50</v>
      </c>
      <c r="H16" s="97">
        <v>3399.9</v>
      </c>
      <c r="I16" s="89">
        <v>399.78</v>
      </c>
      <c r="J16" s="89">
        <v>3000.12</v>
      </c>
      <c r="K16" s="90">
        <v>19995</v>
      </c>
      <c r="L16" s="104">
        <v>13192.74</v>
      </c>
      <c r="M16" s="102">
        <v>6802.26</v>
      </c>
      <c r="N16" s="95">
        <v>33</v>
      </c>
      <c r="O16" s="92">
        <v>17</v>
      </c>
      <c r="P16" s="97">
        <v>112196.7</v>
      </c>
      <c r="Q16" s="87">
        <v>57798.3</v>
      </c>
      <c r="R16" s="93"/>
    </row>
    <row r="17" spans="1:18" ht="31.5" customHeight="1">
      <c r="A17" s="83">
        <v>14</v>
      </c>
      <c r="B17" s="83" t="s">
        <v>19</v>
      </c>
      <c r="C17" s="84" t="s">
        <v>34</v>
      </c>
      <c r="D17" s="99">
        <v>150000</v>
      </c>
      <c r="E17" s="86">
        <v>19995</v>
      </c>
      <c r="F17" s="90">
        <v>169995</v>
      </c>
      <c r="G17" s="94">
        <v>50</v>
      </c>
      <c r="H17" s="97">
        <v>3399.9</v>
      </c>
      <c r="I17" s="89">
        <v>399.78</v>
      </c>
      <c r="J17" s="89">
        <v>3000.12</v>
      </c>
      <c r="K17" s="90">
        <v>19995</v>
      </c>
      <c r="L17" s="104">
        <v>13192.74</v>
      </c>
      <c r="M17" s="102">
        <v>6802.26</v>
      </c>
      <c r="N17" s="95">
        <v>33</v>
      </c>
      <c r="O17" s="92">
        <v>17</v>
      </c>
      <c r="P17" s="97">
        <v>112196.7</v>
      </c>
      <c r="Q17" s="87">
        <v>57798.3</v>
      </c>
      <c r="R17" s="93"/>
    </row>
    <row r="18" spans="1:18" ht="24.75" customHeight="1">
      <c r="A18" s="83">
        <v>15</v>
      </c>
      <c r="B18" s="83" t="s">
        <v>19</v>
      </c>
      <c r="C18" s="93" t="s">
        <v>35</v>
      </c>
      <c r="D18" s="99">
        <v>150000</v>
      </c>
      <c r="E18" s="86">
        <v>19995</v>
      </c>
      <c r="F18" s="90">
        <v>169995</v>
      </c>
      <c r="G18" s="94">
        <v>50</v>
      </c>
      <c r="H18" s="97">
        <v>3399.9</v>
      </c>
      <c r="I18" s="89">
        <v>399.78</v>
      </c>
      <c r="J18" s="89">
        <v>3000.12</v>
      </c>
      <c r="K18" s="90">
        <v>19995</v>
      </c>
      <c r="L18" s="104">
        <v>13192.74</v>
      </c>
      <c r="M18" s="102">
        <v>6802.26</v>
      </c>
      <c r="N18" s="95">
        <v>33</v>
      </c>
      <c r="O18" s="92">
        <v>17</v>
      </c>
      <c r="P18" s="97">
        <v>112196.7</v>
      </c>
      <c r="Q18" s="87">
        <v>57798.3</v>
      </c>
      <c r="R18" s="93"/>
    </row>
    <row r="19" spans="1:18" ht="30.75" customHeight="1">
      <c r="A19" s="83">
        <v>16</v>
      </c>
      <c r="B19" s="83" t="s">
        <v>19</v>
      </c>
      <c r="C19" s="93" t="s">
        <v>36</v>
      </c>
      <c r="D19" s="99">
        <v>150000</v>
      </c>
      <c r="E19" s="86">
        <v>19995</v>
      </c>
      <c r="F19" s="90">
        <v>169995</v>
      </c>
      <c r="G19" s="94">
        <v>50</v>
      </c>
      <c r="H19" s="97">
        <v>3399.9</v>
      </c>
      <c r="I19" s="89">
        <v>399.78</v>
      </c>
      <c r="J19" s="89">
        <v>3000.12</v>
      </c>
      <c r="K19" s="90">
        <v>19995</v>
      </c>
      <c r="L19" s="104">
        <v>13192.74</v>
      </c>
      <c r="M19" s="102">
        <v>6802.26</v>
      </c>
      <c r="N19" s="95">
        <v>33</v>
      </c>
      <c r="O19" s="92">
        <v>17</v>
      </c>
      <c r="P19" s="97">
        <v>112196.7</v>
      </c>
      <c r="Q19" s="87">
        <v>57798.3</v>
      </c>
      <c r="R19" s="93"/>
    </row>
    <row r="20" spans="1:18" ht="27" customHeight="1">
      <c r="A20" s="83"/>
      <c r="B20" s="83"/>
      <c r="C20" s="84" t="s">
        <v>37</v>
      </c>
      <c r="D20" s="97">
        <v>4410000</v>
      </c>
      <c r="E20" s="86">
        <v>587847</v>
      </c>
      <c r="F20" s="97">
        <v>4997853</v>
      </c>
      <c r="G20" s="88"/>
      <c r="H20" s="97">
        <v>99956.279999999955</v>
      </c>
      <c r="I20" s="89">
        <v>11755.980000000003</v>
      </c>
      <c r="J20" s="89">
        <v>88201.079999999958</v>
      </c>
      <c r="K20" s="90">
        <v>587853</v>
      </c>
      <c r="L20" s="101">
        <v>243486.15999999995</v>
      </c>
      <c r="M20" s="102">
        <v>344366.84000000008</v>
      </c>
      <c r="N20" s="95"/>
      <c r="O20" s="92"/>
      <c r="P20" s="87">
        <v>2070312.4399999997</v>
      </c>
      <c r="Q20" s="87">
        <v>2927540.5599999987</v>
      </c>
      <c r="R20" s="93"/>
    </row>
  </sheetData>
  <mergeCells count="1">
    <mergeCell ref="A1:R1"/>
  </mergeCells>
  <pageMargins left="0.7" right="0.7" top="0.75" bottom="0.75" header="0.3" footer="0.3"/>
  <pageSetup scale="55" fitToHeight="7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T22"/>
  <sheetViews>
    <sheetView topLeftCell="E1" workbookViewId="0">
      <selection activeCell="L2" sqref="L2"/>
    </sheetView>
  </sheetViews>
  <sheetFormatPr defaultRowHeight="15"/>
  <cols>
    <col min="1" max="1" width="5.5703125" customWidth="1"/>
    <col min="2" max="2" width="7.140625" customWidth="1"/>
    <col min="3" max="3" width="27.5703125" customWidth="1"/>
    <col min="4" max="4" width="14.5703125" customWidth="1"/>
    <col min="5" max="5" width="14.140625" customWidth="1"/>
    <col min="6" max="6" width="14.5703125" bestFit="1" customWidth="1"/>
    <col min="8" max="8" width="13.28515625" customWidth="1"/>
    <col min="9" max="9" width="11.7109375" customWidth="1"/>
    <col min="10" max="10" width="12.140625" customWidth="1"/>
    <col min="11" max="11" width="14" customWidth="1"/>
    <col min="12" max="13" width="13" customWidth="1"/>
    <col min="16" max="16" width="14.140625" customWidth="1"/>
    <col min="17" max="17" width="14.28515625" customWidth="1"/>
    <col min="18" max="18" width="9.42578125" customWidth="1"/>
  </cols>
  <sheetData>
    <row r="1" spans="1:20" ht="23.25">
      <c r="A1" s="240" t="s">
        <v>40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</row>
    <row r="2" spans="1:20" ht="21">
      <c r="A2" s="107"/>
      <c r="B2" s="107"/>
      <c r="C2" s="107"/>
      <c r="D2" s="108"/>
      <c r="E2" s="108"/>
      <c r="F2" s="108"/>
      <c r="G2" s="132" t="s">
        <v>1</v>
      </c>
      <c r="H2" s="108"/>
      <c r="I2" s="109"/>
      <c r="J2" s="107"/>
      <c r="K2" s="107"/>
      <c r="L2" s="107"/>
      <c r="M2" s="107"/>
      <c r="N2" s="110"/>
      <c r="O2" s="110"/>
      <c r="P2" s="108"/>
      <c r="Q2" s="108"/>
      <c r="R2" s="107"/>
    </row>
    <row r="3" spans="1:20" ht="75">
      <c r="A3" s="111" t="s">
        <v>2</v>
      </c>
      <c r="B3" s="111" t="s">
        <v>3</v>
      </c>
      <c r="C3" s="134" t="s">
        <v>4</v>
      </c>
      <c r="D3" s="134" t="s">
        <v>5</v>
      </c>
      <c r="E3" s="111" t="s">
        <v>6</v>
      </c>
      <c r="F3" s="134" t="s">
        <v>7</v>
      </c>
      <c r="G3" s="111" t="s">
        <v>8</v>
      </c>
      <c r="H3" s="134" t="s">
        <v>9</v>
      </c>
      <c r="I3" s="113" t="s">
        <v>10</v>
      </c>
      <c r="J3" s="113" t="s">
        <v>11</v>
      </c>
      <c r="K3" s="111" t="s">
        <v>6</v>
      </c>
      <c r="L3" s="114" t="s">
        <v>12</v>
      </c>
      <c r="M3" s="115" t="s">
        <v>13</v>
      </c>
      <c r="N3" s="116" t="s">
        <v>14</v>
      </c>
      <c r="O3" s="117" t="s">
        <v>15</v>
      </c>
      <c r="P3" s="112" t="s">
        <v>16</v>
      </c>
      <c r="Q3" s="112" t="s">
        <v>17</v>
      </c>
      <c r="R3" s="118" t="s">
        <v>18</v>
      </c>
    </row>
    <row r="4" spans="1:20" ht="27.75" customHeight="1">
      <c r="A4" s="119">
        <v>1</v>
      </c>
      <c r="B4" s="119" t="s">
        <v>19</v>
      </c>
      <c r="C4" s="120" t="s">
        <v>20</v>
      </c>
      <c r="D4" s="135">
        <v>500000</v>
      </c>
      <c r="E4" s="142">
        <v>66650</v>
      </c>
      <c r="F4" s="126">
        <v>566650</v>
      </c>
      <c r="G4" s="130">
        <v>50</v>
      </c>
      <c r="H4" s="133">
        <v>11333</v>
      </c>
      <c r="I4" s="139">
        <v>1333</v>
      </c>
      <c r="J4" s="125">
        <v>10000</v>
      </c>
      <c r="K4" s="126">
        <v>66650</v>
      </c>
      <c r="L4" s="140">
        <v>7998</v>
      </c>
      <c r="M4" s="138">
        <v>58652</v>
      </c>
      <c r="N4" s="127">
        <v>6</v>
      </c>
      <c r="O4" s="128">
        <v>44</v>
      </c>
      <c r="P4" s="136">
        <v>67998</v>
      </c>
      <c r="Q4" s="122">
        <v>498652</v>
      </c>
      <c r="R4" s="129"/>
    </row>
    <row r="5" spans="1:20" ht="29.25" customHeight="1">
      <c r="A5" s="119">
        <v>2</v>
      </c>
      <c r="B5" s="119" t="s">
        <v>19</v>
      </c>
      <c r="C5" s="129" t="s">
        <v>21</v>
      </c>
      <c r="D5" s="135">
        <v>500000</v>
      </c>
      <c r="E5" s="142">
        <v>66650</v>
      </c>
      <c r="F5" s="126">
        <v>566650</v>
      </c>
      <c r="G5" s="130">
        <v>50</v>
      </c>
      <c r="H5" s="133">
        <v>11333</v>
      </c>
      <c r="I5" s="125">
        <v>1333</v>
      </c>
      <c r="J5" s="125">
        <v>10000</v>
      </c>
      <c r="K5" s="126">
        <v>66650</v>
      </c>
      <c r="L5" s="140">
        <v>11997</v>
      </c>
      <c r="M5" s="138">
        <v>54653</v>
      </c>
      <c r="N5" s="127">
        <v>9</v>
      </c>
      <c r="O5" s="128">
        <v>41</v>
      </c>
      <c r="P5" s="136">
        <v>101997</v>
      </c>
      <c r="Q5" s="122">
        <v>464653</v>
      </c>
      <c r="R5" s="129"/>
    </row>
    <row r="6" spans="1:20" ht="29.25" customHeight="1">
      <c r="A6" s="119">
        <v>3</v>
      </c>
      <c r="B6" s="119" t="s">
        <v>19</v>
      </c>
      <c r="C6" s="129" t="s">
        <v>23</v>
      </c>
      <c r="D6" s="135">
        <v>330000</v>
      </c>
      <c r="E6" s="142">
        <v>43989</v>
      </c>
      <c r="F6" s="126">
        <v>373989</v>
      </c>
      <c r="G6" s="130">
        <v>50</v>
      </c>
      <c r="H6" s="133">
        <v>7479.78</v>
      </c>
      <c r="I6" s="125">
        <v>879.78</v>
      </c>
      <c r="J6" s="125">
        <v>6600</v>
      </c>
      <c r="K6" s="126">
        <v>43989</v>
      </c>
      <c r="L6" s="140">
        <v>5278.68</v>
      </c>
      <c r="M6" s="138">
        <v>38710.32</v>
      </c>
      <c r="N6" s="130">
        <v>6</v>
      </c>
      <c r="O6" s="128">
        <v>44</v>
      </c>
      <c r="P6" s="133">
        <v>44878.68</v>
      </c>
      <c r="Q6" s="121">
        <v>329110.32</v>
      </c>
      <c r="R6" s="129"/>
    </row>
    <row r="7" spans="1:20" ht="30.75" customHeight="1">
      <c r="A7" s="119">
        <v>4</v>
      </c>
      <c r="B7" s="119" t="s">
        <v>19</v>
      </c>
      <c r="C7" s="129" t="s">
        <v>24</v>
      </c>
      <c r="D7" s="135">
        <v>150000</v>
      </c>
      <c r="E7" s="142">
        <v>19989</v>
      </c>
      <c r="F7" s="126">
        <v>169995</v>
      </c>
      <c r="G7" s="130">
        <v>50</v>
      </c>
      <c r="H7" s="133">
        <v>3399.9</v>
      </c>
      <c r="I7" s="125">
        <v>399.78</v>
      </c>
      <c r="J7" s="125">
        <v>3000.12</v>
      </c>
      <c r="K7" s="126">
        <v>19995</v>
      </c>
      <c r="L7" s="140">
        <v>2398.6799999999998</v>
      </c>
      <c r="M7" s="138">
        <v>17596.32</v>
      </c>
      <c r="N7" s="127">
        <v>6</v>
      </c>
      <c r="O7" s="128">
        <v>44</v>
      </c>
      <c r="P7" s="136">
        <v>20399.400000000001</v>
      </c>
      <c r="Q7" s="122">
        <v>149595.6</v>
      </c>
      <c r="R7" s="129"/>
    </row>
    <row r="8" spans="1:20" ht="21.75" customHeight="1">
      <c r="A8" s="119">
        <v>5</v>
      </c>
      <c r="B8" s="119" t="s">
        <v>19</v>
      </c>
      <c r="C8" s="129" t="s">
        <v>25</v>
      </c>
      <c r="D8" s="135">
        <v>150000</v>
      </c>
      <c r="E8" s="142">
        <v>19995</v>
      </c>
      <c r="F8" s="126">
        <v>169995</v>
      </c>
      <c r="G8" s="130">
        <v>50</v>
      </c>
      <c r="H8" s="133">
        <v>3399.9</v>
      </c>
      <c r="I8" s="125">
        <v>399.78</v>
      </c>
      <c r="J8" s="125">
        <v>3000.12</v>
      </c>
      <c r="K8" s="126">
        <v>19995</v>
      </c>
      <c r="L8" s="140">
        <v>5197.1400000000003</v>
      </c>
      <c r="M8" s="138">
        <v>14797.86</v>
      </c>
      <c r="N8" s="131">
        <v>13</v>
      </c>
      <c r="O8" s="128">
        <v>37</v>
      </c>
      <c r="P8" s="133">
        <v>44198.7</v>
      </c>
      <c r="Q8" s="121">
        <v>125796.3</v>
      </c>
      <c r="R8" s="129"/>
    </row>
    <row r="9" spans="1:20" ht="26.25" customHeight="1">
      <c r="A9" s="119">
        <v>6</v>
      </c>
      <c r="B9" s="119" t="s">
        <v>19</v>
      </c>
      <c r="C9" s="120" t="s">
        <v>26</v>
      </c>
      <c r="D9" s="133">
        <v>450000</v>
      </c>
      <c r="E9" s="142">
        <v>59985</v>
      </c>
      <c r="F9" s="126">
        <v>509985</v>
      </c>
      <c r="G9" s="130">
        <v>50</v>
      </c>
      <c r="H9" s="136">
        <v>10199.700000000001</v>
      </c>
      <c r="I9" s="125">
        <v>1199.7</v>
      </c>
      <c r="J9" s="125">
        <v>9000</v>
      </c>
      <c r="K9" s="126">
        <v>59985</v>
      </c>
      <c r="L9" s="140">
        <v>15596.1</v>
      </c>
      <c r="M9" s="138">
        <v>44388.9</v>
      </c>
      <c r="N9" s="127">
        <v>13</v>
      </c>
      <c r="O9" s="128">
        <v>37</v>
      </c>
      <c r="P9" s="136">
        <v>132596.1</v>
      </c>
      <c r="Q9" s="122">
        <v>377388.9</v>
      </c>
      <c r="R9" s="129"/>
      <c r="S9" s="105"/>
      <c r="T9" s="105"/>
    </row>
    <row r="10" spans="1:20" ht="27" customHeight="1">
      <c r="A10" s="119">
        <v>7</v>
      </c>
      <c r="B10" s="119" t="s">
        <v>19</v>
      </c>
      <c r="C10" s="120" t="s">
        <v>27</v>
      </c>
      <c r="D10" s="135">
        <v>450000</v>
      </c>
      <c r="E10" s="142">
        <v>59985</v>
      </c>
      <c r="F10" s="126">
        <v>509985</v>
      </c>
      <c r="G10" s="130">
        <v>50</v>
      </c>
      <c r="H10" s="133">
        <v>10199.700000000001</v>
      </c>
      <c r="I10" s="125">
        <v>1199.7</v>
      </c>
      <c r="J10" s="125">
        <v>9000</v>
      </c>
      <c r="K10" s="126">
        <v>59985</v>
      </c>
      <c r="L10" s="140">
        <v>47988</v>
      </c>
      <c r="M10" s="138">
        <v>11997</v>
      </c>
      <c r="N10" s="127">
        <v>40</v>
      </c>
      <c r="O10" s="128">
        <v>10</v>
      </c>
      <c r="P10" s="136">
        <v>407988</v>
      </c>
      <c r="Q10" s="122">
        <v>101997</v>
      </c>
      <c r="R10" s="129"/>
    </row>
    <row r="11" spans="1:20" ht="23.25" customHeight="1">
      <c r="A11" s="119">
        <v>8</v>
      </c>
      <c r="B11" s="119" t="s">
        <v>19</v>
      </c>
      <c r="C11" s="129" t="s">
        <v>28</v>
      </c>
      <c r="D11" s="135">
        <v>500000</v>
      </c>
      <c r="E11" s="142">
        <v>66650</v>
      </c>
      <c r="F11" s="126">
        <v>566650</v>
      </c>
      <c r="G11" s="130">
        <v>50</v>
      </c>
      <c r="H11" s="133">
        <v>11333</v>
      </c>
      <c r="I11" s="125">
        <v>1333</v>
      </c>
      <c r="J11" s="125">
        <v>10000</v>
      </c>
      <c r="K11" s="126">
        <v>66650</v>
      </c>
      <c r="L11" s="140">
        <v>45322</v>
      </c>
      <c r="M11" s="138">
        <v>21328</v>
      </c>
      <c r="N11" s="127">
        <v>34</v>
      </c>
      <c r="O11" s="128">
        <v>16</v>
      </c>
      <c r="P11" s="136">
        <v>385322</v>
      </c>
      <c r="Q11" s="122">
        <v>181328</v>
      </c>
      <c r="R11" s="129"/>
    </row>
    <row r="12" spans="1:20" ht="30" customHeight="1">
      <c r="A12" s="119">
        <v>9</v>
      </c>
      <c r="B12" s="119" t="s">
        <v>19</v>
      </c>
      <c r="C12" s="129" t="s">
        <v>29</v>
      </c>
      <c r="D12" s="135">
        <v>330000</v>
      </c>
      <c r="E12" s="142">
        <v>43989</v>
      </c>
      <c r="F12" s="126">
        <v>373989</v>
      </c>
      <c r="G12" s="130">
        <v>50</v>
      </c>
      <c r="H12" s="133">
        <v>7479</v>
      </c>
      <c r="I12" s="125">
        <v>879.78</v>
      </c>
      <c r="J12" s="125">
        <v>6600</v>
      </c>
      <c r="K12" s="126">
        <v>43989</v>
      </c>
      <c r="L12" s="140">
        <v>29912.52</v>
      </c>
      <c r="M12" s="138">
        <v>14076.48</v>
      </c>
      <c r="N12" s="131">
        <v>34</v>
      </c>
      <c r="O12" s="128">
        <v>16</v>
      </c>
      <c r="P12" s="133">
        <v>254312.52</v>
      </c>
      <c r="Q12" s="123">
        <v>119676.48</v>
      </c>
      <c r="R12" s="129"/>
    </row>
    <row r="13" spans="1:20" ht="30" customHeight="1">
      <c r="A13" s="119">
        <v>10</v>
      </c>
      <c r="B13" s="119" t="s">
        <v>19</v>
      </c>
      <c r="C13" s="129" t="s">
        <v>30</v>
      </c>
      <c r="D13" s="135">
        <v>150000</v>
      </c>
      <c r="E13" s="142">
        <v>19995</v>
      </c>
      <c r="F13" s="126">
        <v>169995</v>
      </c>
      <c r="G13" s="130">
        <v>50</v>
      </c>
      <c r="H13" s="133">
        <v>3399.9</v>
      </c>
      <c r="I13" s="125">
        <v>399.78</v>
      </c>
      <c r="J13" s="125">
        <v>3000.12</v>
      </c>
      <c r="K13" s="126">
        <v>19995</v>
      </c>
      <c r="L13" s="140">
        <v>1998.9</v>
      </c>
      <c r="M13" s="138">
        <v>17996.099999999999</v>
      </c>
      <c r="N13" s="131">
        <v>5</v>
      </c>
      <c r="O13" s="128">
        <v>45</v>
      </c>
      <c r="P13" s="133">
        <v>16999.5</v>
      </c>
      <c r="Q13" s="121">
        <v>152995.5</v>
      </c>
      <c r="R13" s="129"/>
    </row>
    <row r="14" spans="1:20" ht="25.5" customHeight="1">
      <c r="A14" s="119">
        <v>11</v>
      </c>
      <c r="B14" s="119" t="s">
        <v>19</v>
      </c>
      <c r="C14" s="129" t="s">
        <v>31</v>
      </c>
      <c r="D14" s="135">
        <v>150000</v>
      </c>
      <c r="E14" s="142">
        <v>19995</v>
      </c>
      <c r="F14" s="126">
        <v>169995</v>
      </c>
      <c r="G14" s="130">
        <v>50</v>
      </c>
      <c r="H14" s="133">
        <v>3399.9</v>
      </c>
      <c r="I14" s="125">
        <v>399.78</v>
      </c>
      <c r="J14" s="125">
        <v>3000.12</v>
      </c>
      <c r="K14" s="126">
        <v>19995</v>
      </c>
      <c r="L14" s="140">
        <v>13592.52</v>
      </c>
      <c r="M14" s="138">
        <v>6402.48</v>
      </c>
      <c r="N14" s="131">
        <v>34</v>
      </c>
      <c r="O14" s="128">
        <v>16</v>
      </c>
      <c r="P14" s="133">
        <v>115596.6</v>
      </c>
      <c r="Q14" s="123">
        <v>54398.400000000001</v>
      </c>
      <c r="R14" s="129"/>
    </row>
    <row r="15" spans="1:20" ht="27.75" customHeight="1">
      <c r="A15" s="119">
        <v>12</v>
      </c>
      <c r="B15" s="119" t="s">
        <v>19</v>
      </c>
      <c r="C15" s="129" t="s">
        <v>32</v>
      </c>
      <c r="D15" s="135">
        <v>150000</v>
      </c>
      <c r="E15" s="142">
        <v>19995</v>
      </c>
      <c r="F15" s="126">
        <v>169995</v>
      </c>
      <c r="G15" s="130">
        <v>50</v>
      </c>
      <c r="H15" s="133">
        <v>3399.9</v>
      </c>
      <c r="I15" s="125">
        <v>399.78</v>
      </c>
      <c r="J15" s="125">
        <v>3000.12</v>
      </c>
      <c r="K15" s="126">
        <v>19995</v>
      </c>
      <c r="L15" s="140">
        <v>13592.52</v>
      </c>
      <c r="M15" s="138">
        <v>6402.48</v>
      </c>
      <c r="N15" s="131">
        <v>34</v>
      </c>
      <c r="O15" s="128">
        <v>16</v>
      </c>
      <c r="P15" s="133">
        <v>115596.6</v>
      </c>
      <c r="Q15" s="123">
        <v>54398.400000000001</v>
      </c>
      <c r="R15" s="129"/>
    </row>
    <row r="16" spans="1:20" ht="27.75" customHeight="1">
      <c r="A16" s="119">
        <v>13</v>
      </c>
      <c r="B16" s="119" t="s">
        <v>19</v>
      </c>
      <c r="C16" s="129" t="s">
        <v>33</v>
      </c>
      <c r="D16" s="133">
        <v>150000</v>
      </c>
      <c r="E16" s="142">
        <v>19995</v>
      </c>
      <c r="F16" s="126">
        <v>169995</v>
      </c>
      <c r="G16" s="130">
        <v>50</v>
      </c>
      <c r="H16" s="133">
        <v>3399.9</v>
      </c>
      <c r="I16" s="125">
        <v>399.78</v>
      </c>
      <c r="J16" s="125">
        <v>3000.12</v>
      </c>
      <c r="K16" s="126">
        <v>19995</v>
      </c>
      <c r="L16" s="140">
        <v>13592.52</v>
      </c>
      <c r="M16" s="138">
        <v>6402.48</v>
      </c>
      <c r="N16" s="131">
        <v>34</v>
      </c>
      <c r="O16" s="128">
        <v>16</v>
      </c>
      <c r="P16" s="133">
        <v>115596.6</v>
      </c>
      <c r="Q16" s="123">
        <v>54398.400000000001</v>
      </c>
      <c r="R16" s="129"/>
    </row>
    <row r="17" spans="1:19" ht="26.25" customHeight="1">
      <c r="A17" s="119">
        <v>14</v>
      </c>
      <c r="B17" s="119" t="s">
        <v>19</v>
      </c>
      <c r="C17" s="120" t="s">
        <v>34</v>
      </c>
      <c r="D17" s="135">
        <v>150000</v>
      </c>
      <c r="E17" s="142">
        <v>19995</v>
      </c>
      <c r="F17" s="126">
        <v>169995</v>
      </c>
      <c r="G17" s="130">
        <v>50</v>
      </c>
      <c r="H17" s="133">
        <v>3399.9</v>
      </c>
      <c r="I17" s="125">
        <v>399.78</v>
      </c>
      <c r="J17" s="125">
        <v>3000.12</v>
      </c>
      <c r="K17" s="126">
        <v>19995</v>
      </c>
      <c r="L17" s="140">
        <v>13592.52</v>
      </c>
      <c r="M17" s="138">
        <v>6402.48</v>
      </c>
      <c r="N17" s="131">
        <v>34</v>
      </c>
      <c r="O17" s="128">
        <v>16</v>
      </c>
      <c r="P17" s="133">
        <v>115596.6</v>
      </c>
      <c r="Q17" s="123">
        <v>54398.400000000001</v>
      </c>
      <c r="R17" s="129"/>
    </row>
    <row r="18" spans="1:19" ht="27" customHeight="1">
      <c r="A18" s="119">
        <v>15</v>
      </c>
      <c r="B18" s="119" t="s">
        <v>19</v>
      </c>
      <c r="C18" s="129" t="s">
        <v>35</v>
      </c>
      <c r="D18" s="135">
        <v>150000</v>
      </c>
      <c r="E18" s="142">
        <v>19995</v>
      </c>
      <c r="F18" s="126">
        <v>169995</v>
      </c>
      <c r="G18" s="130">
        <v>50</v>
      </c>
      <c r="H18" s="133">
        <v>3399.9</v>
      </c>
      <c r="I18" s="125">
        <v>399.78</v>
      </c>
      <c r="J18" s="125">
        <v>3000.12</v>
      </c>
      <c r="K18" s="126">
        <v>19995</v>
      </c>
      <c r="L18" s="140">
        <v>13592.52</v>
      </c>
      <c r="M18" s="138">
        <v>6402.48</v>
      </c>
      <c r="N18" s="131">
        <v>34</v>
      </c>
      <c r="O18" s="128">
        <v>16</v>
      </c>
      <c r="P18" s="133">
        <v>115596.6</v>
      </c>
      <c r="Q18" s="123">
        <v>54398.400000000001</v>
      </c>
      <c r="R18" s="129"/>
    </row>
    <row r="19" spans="1:19" ht="36.75" customHeight="1">
      <c r="A19" s="119">
        <v>16</v>
      </c>
      <c r="B19" s="119" t="s">
        <v>19</v>
      </c>
      <c r="C19" s="129" t="s">
        <v>36</v>
      </c>
      <c r="D19" s="135">
        <v>150000</v>
      </c>
      <c r="E19" s="142">
        <v>19995</v>
      </c>
      <c r="F19" s="126">
        <v>169995</v>
      </c>
      <c r="G19" s="130">
        <v>50</v>
      </c>
      <c r="H19" s="133">
        <v>3399.9</v>
      </c>
      <c r="I19" s="125">
        <v>399.78</v>
      </c>
      <c r="J19" s="125">
        <v>3000.12</v>
      </c>
      <c r="K19" s="126">
        <v>19995</v>
      </c>
      <c r="L19" s="140">
        <v>13592.52</v>
      </c>
      <c r="M19" s="138">
        <v>6402.48</v>
      </c>
      <c r="N19" s="131">
        <v>34</v>
      </c>
      <c r="O19" s="128">
        <v>16</v>
      </c>
      <c r="P19" s="133">
        <v>115596.6</v>
      </c>
      <c r="Q19" s="123">
        <v>54398.400000000001</v>
      </c>
      <c r="R19" s="129"/>
      <c r="S19" s="143"/>
    </row>
    <row r="20" spans="1:19" ht="27.75" customHeight="1">
      <c r="A20" s="119"/>
      <c r="B20" s="119"/>
      <c r="C20" s="120" t="s">
        <v>37</v>
      </c>
      <c r="D20" s="133">
        <v>4410000</v>
      </c>
      <c r="E20" s="142">
        <v>587847</v>
      </c>
      <c r="F20" s="133">
        <v>4997853</v>
      </c>
      <c r="G20" s="124"/>
      <c r="H20" s="133">
        <v>99956.279999999955</v>
      </c>
      <c r="I20" s="125">
        <v>11755.980000000003</v>
      </c>
      <c r="J20" s="125">
        <v>88201.079999999958</v>
      </c>
      <c r="K20" s="126">
        <v>587853</v>
      </c>
      <c r="L20" s="137">
        <v>243486.15999999995</v>
      </c>
      <c r="M20" s="138">
        <v>344366.84000000008</v>
      </c>
      <c r="N20" s="131"/>
      <c r="O20" s="128"/>
      <c r="P20" s="123">
        <v>2070312.4399999997</v>
      </c>
      <c r="Q20" s="123">
        <v>2927540.5599999987</v>
      </c>
      <c r="R20" s="129"/>
    </row>
    <row r="21" spans="1:19" ht="15.75">
      <c r="A21" s="106"/>
      <c r="B21" s="106"/>
      <c r="C21" s="106"/>
      <c r="D21" s="141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</row>
    <row r="22" spans="1:19" ht="18.75">
      <c r="O22" s="143"/>
      <c r="R22" s="143"/>
    </row>
  </sheetData>
  <mergeCells count="1">
    <mergeCell ref="A1:R1"/>
  </mergeCells>
  <pageMargins left="0.7" right="0.7" top="0.75" bottom="0.75" header="0.3" footer="0.3"/>
  <pageSetup scale="54" fitToHeight="7"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21"/>
  <sheetViews>
    <sheetView topLeftCell="N13" workbookViewId="0">
      <selection activeCell="S19" sqref="S19"/>
    </sheetView>
  </sheetViews>
  <sheetFormatPr defaultRowHeight="15"/>
  <cols>
    <col min="1" max="1" width="5" customWidth="1"/>
    <col min="2" max="2" width="8.42578125" customWidth="1"/>
    <col min="3" max="3" width="28.85546875" bestFit="1" customWidth="1"/>
    <col min="4" max="4" width="14.140625" customWidth="1"/>
    <col min="5" max="5" width="13.140625" customWidth="1"/>
    <col min="6" max="6" width="14.7109375" customWidth="1"/>
    <col min="8" max="8" width="12.85546875" customWidth="1"/>
    <col min="9" max="9" width="11.28515625" customWidth="1"/>
    <col min="10" max="10" width="11.42578125" customWidth="1"/>
    <col min="11" max="11" width="12.7109375" bestFit="1" customWidth="1"/>
    <col min="12" max="12" width="14.28515625" customWidth="1"/>
    <col min="13" max="13" width="13.42578125" customWidth="1"/>
    <col min="16" max="16" width="15.140625" customWidth="1"/>
    <col min="17" max="17" width="14.85546875" customWidth="1"/>
  </cols>
  <sheetData>
    <row r="1" spans="1:18" ht="23.25">
      <c r="A1" s="240" t="s">
        <v>41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</row>
    <row r="2" spans="1:18" ht="21">
      <c r="A2" s="107"/>
      <c r="B2" s="107"/>
      <c r="C2" s="107"/>
      <c r="D2" s="108"/>
      <c r="E2" s="108"/>
      <c r="F2" s="108"/>
      <c r="G2" s="132" t="s">
        <v>1</v>
      </c>
      <c r="H2" s="108"/>
      <c r="I2" s="109"/>
      <c r="J2" s="107"/>
      <c r="K2" s="107"/>
      <c r="L2" s="107"/>
      <c r="M2" s="107"/>
      <c r="N2" s="110"/>
      <c r="O2" s="110"/>
      <c r="P2" s="108"/>
      <c r="Q2" s="108"/>
      <c r="R2" s="107"/>
    </row>
    <row r="3" spans="1:18" ht="93.75">
      <c r="A3" s="111" t="s">
        <v>2</v>
      </c>
      <c r="B3" s="111" t="s">
        <v>3</v>
      </c>
      <c r="C3" s="134" t="s">
        <v>4</v>
      </c>
      <c r="D3" s="134" t="s">
        <v>5</v>
      </c>
      <c r="E3" s="111" t="s">
        <v>6</v>
      </c>
      <c r="F3" s="134" t="s">
        <v>7</v>
      </c>
      <c r="G3" s="111" t="s">
        <v>8</v>
      </c>
      <c r="H3" s="134" t="s">
        <v>9</v>
      </c>
      <c r="I3" s="113" t="s">
        <v>10</v>
      </c>
      <c r="J3" s="113" t="s">
        <v>11</v>
      </c>
      <c r="K3" s="111" t="s">
        <v>6</v>
      </c>
      <c r="L3" s="114" t="s">
        <v>12</v>
      </c>
      <c r="M3" s="115" t="s">
        <v>13</v>
      </c>
      <c r="N3" s="116" t="s">
        <v>14</v>
      </c>
      <c r="O3" s="117" t="s">
        <v>15</v>
      </c>
      <c r="P3" s="112" t="s">
        <v>16</v>
      </c>
      <c r="Q3" s="112" t="s">
        <v>17</v>
      </c>
      <c r="R3" s="118" t="s">
        <v>18</v>
      </c>
    </row>
    <row r="4" spans="1:18" ht="25.5" customHeight="1">
      <c r="A4" s="119">
        <v>1</v>
      </c>
      <c r="B4" s="119" t="s">
        <v>19</v>
      </c>
      <c r="C4" s="120" t="s">
        <v>20</v>
      </c>
      <c r="D4" s="135">
        <v>500000</v>
      </c>
      <c r="E4" s="142">
        <v>66650</v>
      </c>
      <c r="F4" s="126">
        <v>566650</v>
      </c>
      <c r="G4" s="130">
        <v>50</v>
      </c>
      <c r="H4" s="133">
        <v>11333</v>
      </c>
      <c r="I4" s="139">
        <v>1333</v>
      </c>
      <c r="J4" s="125">
        <v>10000</v>
      </c>
      <c r="K4" s="126">
        <v>66650</v>
      </c>
      <c r="L4" s="140">
        <v>9331</v>
      </c>
      <c r="M4" s="138">
        <v>57319</v>
      </c>
      <c r="N4" s="127">
        <v>7</v>
      </c>
      <c r="O4" s="128">
        <v>43</v>
      </c>
      <c r="P4" s="136">
        <v>79331</v>
      </c>
      <c r="Q4" s="122">
        <v>487319</v>
      </c>
      <c r="R4" s="129"/>
    </row>
    <row r="5" spans="1:18" ht="26.25" customHeight="1">
      <c r="A5" s="119">
        <v>2</v>
      </c>
      <c r="B5" s="119" t="s">
        <v>19</v>
      </c>
      <c r="C5" s="129" t="s">
        <v>21</v>
      </c>
      <c r="D5" s="135">
        <v>500000</v>
      </c>
      <c r="E5" s="142">
        <v>66650</v>
      </c>
      <c r="F5" s="126">
        <v>566650</v>
      </c>
      <c r="G5" s="130">
        <v>50</v>
      </c>
      <c r="H5" s="133">
        <v>11333</v>
      </c>
      <c r="I5" s="125">
        <v>1333</v>
      </c>
      <c r="J5" s="125">
        <v>10000</v>
      </c>
      <c r="K5" s="126">
        <v>66650</v>
      </c>
      <c r="L5" s="140">
        <v>13330</v>
      </c>
      <c r="M5" s="138">
        <v>53320</v>
      </c>
      <c r="N5" s="127">
        <v>10</v>
      </c>
      <c r="O5" s="128">
        <v>40</v>
      </c>
      <c r="P5" s="136">
        <v>113330</v>
      </c>
      <c r="Q5" s="122">
        <v>453320</v>
      </c>
      <c r="R5" s="129"/>
    </row>
    <row r="6" spans="1:18" ht="26.25" customHeight="1">
      <c r="A6" s="119">
        <v>3</v>
      </c>
      <c r="B6" s="119" t="s">
        <v>19</v>
      </c>
      <c r="C6" s="129" t="s">
        <v>23</v>
      </c>
      <c r="D6" s="135">
        <v>330000</v>
      </c>
      <c r="E6" s="142">
        <v>43989</v>
      </c>
      <c r="F6" s="126">
        <v>373989</v>
      </c>
      <c r="G6" s="130">
        <v>50</v>
      </c>
      <c r="H6" s="133">
        <v>7479.78</v>
      </c>
      <c r="I6" s="125">
        <v>879.78</v>
      </c>
      <c r="J6" s="125">
        <v>6600</v>
      </c>
      <c r="K6" s="126">
        <v>43989</v>
      </c>
      <c r="L6" s="140">
        <v>6158.46</v>
      </c>
      <c r="M6" s="138">
        <v>37830.54</v>
      </c>
      <c r="N6" s="130">
        <v>7</v>
      </c>
      <c r="O6" s="128">
        <v>43</v>
      </c>
      <c r="P6" s="133">
        <v>52358.46</v>
      </c>
      <c r="Q6" s="121">
        <v>321630.53999999998</v>
      </c>
      <c r="R6" s="129"/>
    </row>
    <row r="7" spans="1:18" ht="26.25" customHeight="1">
      <c r="A7" s="119">
        <v>4</v>
      </c>
      <c r="B7" s="119" t="s">
        <v>19</v>
      </c>
      <c r="C7" s="129" t="s">
        <v>24</v>
      </c>
      <c r="D7" s="135">
        <v>150000</v>
      </c>
      <c r="E7" s="142">
        <v>19989</v>
      </c>
      <c r="F7" s="126">
        <v>169995</v>
      </c>
      <c r="G7" s="130">
        <v>50</v>
      </c>
      <c r="H7" s="133">
        <v>3399.9</v>
      </c>
      <c r="I7" s="125">
        <v>399.78</v>
      </c>
      <c r="J7" s="125">
        <v>3000.12</v>
      </c>
      <c r="K7" s="126">
        <v>19995</v>
      </c>
      <c r="L7" s="140">
        <v>2798.46</v>
      </c>
      <c r="M7" s="138">
        <v>17196.54</v>
      </c>
      <c r="N7" s="127">
        <v>7</v>
      </c>
      <c r="O7" s="128">
        <v>43</v>
      </c>
      <c r="P7" s="136">
        <v>23799.3</v>
      </c>
      <c r="Q7" s="122">
        <v>146195.70000000001</v>
      </c>
      <c r="R7" s="129"/>
    </row>
    <row r="8" spans="1:18" ht="24.75" customHeight="1">
      <c r="A8" s="119">
        <v>5</v>
      </c>
      <c r="B8" s="119" t="s">
        <v>19</v>
      </c>
      <c r="C8" s="129" t="s">
        <v>25</v>
      </c>
      <c r="D8" s="135">
        <v>150000</v>
      </c>
      <c r="E8" s="142">
        <v>19995</v>
      </c>
      <c r="F8" s="126">
        <v>169995</v>
      </c>
      <c r="G8" s="130">
        <v>50</v>
      </c>
      <c r="H8" s="133">
        <v>3399.9</v>
      </c>
      <c r="I8" s="125">
        <v>399.78</v>
      </c>
      <c r="J8" s="125">
        <v>3000.12</v>
      </c>
      <c r="K8" s="126">
        <v>19995</v>
      </c>
      <c r="L8" s="140">
        <v>5596.92</v>
      </c>
      <c r="M8" s="138">
        <v>14398.08</v>
      </c>
      <c r="N8" s="131">
        <v>14</v>
      </c>
      <c r="O8" s="128">
        <v>36</v>
      </c>
      <c r="P8" s="133">
        <v>47598.6</v>
      </c>
      <c r="Q8" s="121">
        <v>122396.4</v>
      </c>
      <c r="R8" s="129"/>
    </row>
    <row r="9" spans="1:18" ht="30.75" customHeight="1">
      <c r="A9" s="119">
        <v>6</v>
      </c>
      <c r="B9" s="119" t="s">
        <v>19</v>
      </c>
      <c r="C9" s="120" t="s">
        <v>26</v>
      </c>
      <c r="D9" s="133">
        <v>450000</v>
      </c>
      <c r="E9" s="142">
        <v>59985</v>
      </c>
      <c r="F9" s="126">
        <v>509985</v>
      </c>
      <c r="G9" s="130">
        <v>50</v>
      </c>
      <c r="H9" s="136">
        <v>10199.700000000001</v>
      </c>
      <c r="I9" s="125">
        <v>1199.7</v>
      </c>
      <c r="J9" s="125">
        <v>9000</v>
      </c>
      <c r="K9" s="126">
        <v>59985</v>
      </c>
      <c r="L9" s="140">
        <v>16795.8</v>
      </c>
      <c r="M9" s="138">
        <v>43189.2</v>
      </c>
      <c r="N9" s="127">
        <v>14</v>
      </c>
      <c r="O9" s="128">
        <v>36</v>
      </c>
      <c r="P9" s="136">
        <v>142795.79999999999</v>
      </c>
      <c r="Q9" s="122">
        <v>367189.2</v>
      </c>
      <c r="R9" s="129"/>
    </row>
    <row r="10" spans="1:18" ht="24" customHeight="1">
      <c r="A10" s="119">
        <v>7</v>
      </c>
      <c r="B10" s="119" t="s">
        <v>19</v>
      </c>
      <c r="C10" s="120" t="s">
        <v>27</v>
      </c>
      <c r="D10" s="135">
        <v>450000</v>
      </c>
      <c r="E10" s="142">
        <v>59985</v>
      </c>
      <c r="F10" s="126">
        <v>509985</v>
      </c>
      <c r="G10" s="130">
        <v>50</v>
      </c>
      <c r="H10" s="133">
        <v>10199.700000000001</v>
      </c>
      <c r="I10" s="125">
        <v>1199.7</v>
      </c>
      <c r="J10" s="125">
        <v>9000</v>
      </c>
      <c r="K10" s="126">
        <v>59985</v>
      </c>
      <c r="L10" s="140">
        <v>49187.7</v>
      </c>
      <c r="M10" s="138">
        <v>10797.3</v>
      </c>
      <c r="N10" s="127">
        <v>41</v>
      </c>
      <c r="O10" s="128">
        <v>9</v>
      </c>
      <c r="P10" s="136">
        <v>418187.7</v>
      </c>
      <c r="Q10" s="122">
        <v>91797.3</v>
      </c>
      <c r="R10" s="129"/>
    </row>
    <row r="11" spans="1:18" ht="30" customHeight="1">
      <c r="A11" s="119">
        <v>8</v>
      </c>
      <c r="B11" s="119" t="s">
        <v>19</v>
      </c>
      <c r="C11" s="129" t="s">
        <v>28</v>
      </c>
      <c r="D11" s="135">
        <v>500000</v>
      </c>
      <c r="E11" s="142">
        <v>66650</v>
      </c>
      <c r="F11" s="126">
        <v>566650</v>
      </c>
      <c r="G11" s="130">
        <v>50</v>
      </c>
      <c r="H11" s="133">
        <v>11333</v>
      </c>
      <c r="I11" s="125">
        <v>1333</v>
      </c>
      <c r="J11" s="125">
        <v>10000</v>
      </c>
      <c r="K11" s="126">
        <v>66650</v>
      </c>
      <c r="L11" s="140">
        <v>46655</v>
      </c>
      <c r="M11" s="138">
        <v>19995</v>
      </c>
      <c r="N11" s="127">
        <v>35</v>
      </c>
      <c r="O11" s="128">
        <v>15</v>
      </c>
      <c r="P11" s="136">
        <v>396655</v>
      </c>
      <c r="Q11" s="122">
        <v>169995</v>
      </c>
      <c r="R11" s="129"/>
    </row>
    <row r="12" spans="1:18" ht="25.5" customHeight="1">
      <c r="A12" s="119">
        <v>9</v>
      </c>
      <c r="B12" s="119" t="s">
        <v>19</v>
      </c>
      <c r="C12" s="129" t="s">
        <v>29</v>
      </c>
      <c r="D12" s="135">
        <v>330000</v>
      </c>
      <c r="E12" s="142">
        <v>43989</v>
      </c>
      <c r="F12" s="126">
        <v>373989</v>
      </c>
      <c r="G12" s="130">
        <v>50</v>
      </c>
      <c r="H12" s="133">
        <v>7479</v>
      </c>
      <c r="I12" s="125">
        <v>879.78</v>
      </c>
      <c r="J12" s="125">
        <v>6600</v>
      </c>
      <c r="K12" s="126">
        <v>43989</v>
      </c>
      <c r="L12" s="140">
        <v>30792.3</v>
      </c>
      <c r="M12" s="138">
        <v>13196.7</v>
      </c>
      <c r="N12" s="131">
        <v>35</v>
      </c>
      <c r="O12" s="128">
        <v>15</v>
      </c>
      <c r="P12" s="133">
        <v>261792.3</v>
      </c>
      <c r="Q12" s="123">
        <v>112196.7</v>
      </c>
      <c r="R12" s="129"/>
    </row>
    <row r="13" spans="1:18" ht="25.5" customHeight="1">
      <c r="A13" s="119">
        <v>10</v>
      </c>
      <c r="B13" s="119" t="s">
        <v>19</v>
      </c>
      <c r="C13" s="129" t="s">
        <v>30</v>
      </c>
      <c r="D13" s="135">
        <v>150000</v>
      </c>
      <c r="E13" s="142">
        <v>19995</v>
      </c>
      <c r="F13" s="126">
        <v>169995</v>
      </c>
      <c r="G13" s="130">
        <v>50</v>
      </c>
      <c r="H13" s="133">
        <v>3399.9</v>
      </c>
      <c r="I13" s="125">
        <v>399.78</v>
      </c>
      <c r="J13" s="125">
        <v>3000.12</v>
      </c>
      <c r="K13" s="126">
        <v>19995</v>
      </c>
      <c r="L13" s="140">
        <v>2398.6799999999998</v>
      </c>
      <c r="M13" s="138">
        <v>17596.32</v>
      </c>
      <c r="N13" s="131">
        <v>6</v>
      </c>
      <c r="O13" s="128">
        <v>44</v>
      </c>
      <c r="P13" s="133">
        <v>20399.400000000001</v>
      </c>
      <c r="Q13" s="121">
        <v>149595.6</v>
      </c>
      <c r="R13" s="129"/>
    </row>
    <row r="14" spans="1:18" ht="24" customHeight="1">
      <c r="A14" s="119">
        <v>11</v>
      </c>
      <c r="B14" s="119" t="s">
        <v>19</v>
      </c>
      <c r="C14" s="129" t="s">
        <v>31</v>
      </c>
      <c r="D14" s="135">
        <v>150000</v>
      </c>
      <c r="E14" s="142">
        <v>19995</v>
      </c>
      <c r="F14" s="126">
        <v>169995</v>
      </c>
      <c r="G14" s="130">
        <v>50</v>
      </c>
      <c r="H14" s="133">
        <v>3399.9</v>
      </c>
      <c r="I14" s="125">
        <v>399.78</v>
      </c>
      <c r="J14" s="125">
        <v>3000.12</v>
      </c>
      <c r="K14" s="126">
        <v>19995</v>
      </c>
      <c r="L14" s="140">
        <v>13992</v>
      </c>
      <c r="M14" s="138">
        <v>6002.7</v>
      </c>
      <c r="N14" s="131">
        <v>35</v>
      </c>
      <c r="O14" s="128">
        <v>15</v>
      </c>
      <c r="P14" s="133">
        <v>118996.5</v>
      </c>
      <c r="Q14" s="123">
        <v>50998.5</v>
      </c>
      <c r="R14" s="129"/>
    </row>
    <row r="15" spans="1:18" ht="28.5" customHeight="1">
      <c r="A15" s="119">
        <v>12</v>
      </c>
      <c r="B15" s="119" t="s">
        <v>19</v>
      </c>
      <c r="C15" s="129" t="s">
        <v>32</v>
      </c>
      <c r="D15" s="135">
        <v>150000</v>
      </c>
      <c r="E15" s="142">
        <v>19995</v>
      </c>
      <c r="F15" s="126">
        <v>169995</v>
      </c>
      <c r="G15" s="130">
        <v>50</v>
      </c>
      <c r="H15" s="133">
        <v>3399.9</v>
      </c>
      <c r="I15" s="125">
        <v>399.78</v>
      </c>
      <c r="J15" s="125">
        <v>3000.12</v>
      </c>
      <c r="K15" s="126">
        <v>19995</v>
      </c>
      <c r="L15" s="140">
        <v>13992</v>
      </c>
      <c r="M15" s="138">
        <v>6002.7</v>
      </c>
      <c r="N15" s="131">
        <v>35</v>
      </c>
      <c r="O15" s="128">
        <v>15</v>
      </c>
      <c r="P15" s="133">
        <v>118996.5</v>
      </c>
      <c r="Q15" s="123">
        <v>50998.5</v>
      </c>
      <c r="R15" s="129"/>
    </row>
    <row r="16" spans="1:18" ht="27.75" customHeight="1">
      <c r="A16" s="119">
        <v>13</v>
      </c>
      <c r="B16" s="119" t="s">
        <v>19</v>
      </c>
      <c r="C16" s="129" t="s">
        <v>33</v>
      </c>
      <c r="D16" s="133">
        <v>150000</v>
      </c>
      <c r="E16" s="142">
        <v>19995</v>
      </c>
      <c r="F16" s="126">
        <v>169995</v>
      </c>
      <c r="G16" s="130">
        <v>50</v>
      </c>
      <c r="H16" s="133">
        <v>3399.9</v>
      </c>
      <c r="I16" s="125">
        <v>399.78</v>
      </c>
      <c r="J16" s="125">
        <v>3000.12</v>
      </c>
      <c r="K16" s="126">
        <v>19995</v>
      </c>
      <c r="L16" s="140">
        <v>13992</v>
      </c>
      <c r="M16" s="138">
        <v>6002.7</v>
      </c>
      <c r="N16" s="131">
        <v>35</v>
      </c>
      <c r="O16" s="128">
        <v>15</v>
      </c>
      <c r="P16" s="133">
        <v>118996.5</v>
      </c>
      <c r="Q16" s="123">
        <v>50998.5</v>
      </c>
      <c r="R16" s="129"/>
    </row>
    <row r="17" spans="1:18" ht="25.5" customHeight="1">
      <c r="A17" s="119">
        <v>14</v>
      </c>
      <c r="B17" s="119" t="s">
        <v>19</v>
      </c>
      <c r="C17" s="120" t="s">
        <v>34</v>
      </c>
      <c r="D17" s="135">
        <v>150000</v>
      </c>
      <c r="E17" s="142">
        <v>19995</v>
      </c>
      <c r="F17" s="126">
        <v>169995</v>
      </c>
      <c r="G17" s="130">
        <v>50</v>
      </c>
      <c r="H17" s="133">
        <v>3399.9</v>
      </c>
      <c r="I17" s="125">
        <v>399.78</v>
      </c>
      <c r="J17" s="125">
        <v>3000.12</v>
      </c>
      <c r="K17" s="126">
        <v>19995</v>
      </c>
      <c r="L17" s="140">
        <v>13992</v>
      </c>
      <c r="M17" s="138">
        <v>6002.7</v>
      </c>
      <c r="N17" s="131">
        <v>35</v>
      </c>
      <c r="O17" s="128">
        <v>15</v>
      </c>
      <c r="P17" s="133">
        <v>118996.5</v>
      </c>
      <c r="Q17" s="123">
        <v>50998.5</v>
      </c>
      <c r="R17" s="129"/>
    </row>
    <row r="18" spans="1:18" ht="24" customHeight="1">
      <c r="A18" s="119">
        <v>15</v>
      </c>
      <c r="B18" s="119" t="s">
        <v>19</v>
      </c>
      <c r="C18" s="129" t="s">
        <v>35</v>
      </c>
      <c r="D18" s="135">
        <v>150000</v>
      </c>
      <c r="E18" s="142">
        <v>19995</v>
      </c>
      <c r="F18" s="126">
        <v>169995</v>
      </c>
      <c r="G18" s="130">
        <v>50</v>
      </c>
      <c r="H18" s="133">
        <v>3399.9</v>
      </c>
      <c r="I18" s="125">
        <v>399.78</v>
      </c>
      <c r="J18" s="125">
        <v>3000.12</v>
      </c>
      <c r="K18" s="126">
        <v>19995</v>
      </c>
      <c r="L18" s="140">
        <v>13992</v>
      </c>
      <c r="M18" s="138">
        <v>6002.7</v>
      </c>
      <c r="N18" s="131">
        <v>35</v>
      </c>
      <c r="O18" s="128">
        <v>15</v>
      </c>
      <c r="P18" s="133">
        <v>118996.5</v>
      </c>
      <c r="Q18" s="123">
        <v>50998.5</v>
      </c>
      <c r="R18" s="129"/>
    </row>
    <row r="19" spans="1:18" ht="25.5" customHeight="1">
      <c r="A19" s="119">
        <v>16</v>
      </c>
      <c r="B19" s="119" t="s">
        <v>19</v>
      </c>
      <c r="C19" s="129" t="s">
        <v>36</v>
      </c>
      <c r="D19" s="135">
        <v>150000</v>
      </c>
      <c r="E19" s="142">
        <v>19995</v>
      </c>
      <c r="F19" s="126">
        <v>169995</v>
      </c>
      <c r="G19" s="130">
        <v>50</v>
      </c>
      <c r="H19" s="133">
        <v>3399.9</v>
      </c>
      <c r="I19" s="125">
        <v>399.78</v>
      </c>
      <c r="J19" s="125">
        <v>3000.12</v>
      </c>
      <c r="K19" s="126">
        <v>19995</v>
      </c>
      <c r="L19" s="140">
        <v>13992</v>
      </c>
      <c r="M19" s="138">
        <v>6002.7</v>
      </c>
      <c r="N19" s="131">
        <v>35</v>
      </c>
      <c r="O19" s="128">
        <v>15</v>
      </c>
      <c r="P19" s="133">
        <v>118996.5</v>
      </c>
      <c r="Q19" s="123">
        <v>50998.5</v>
      </c>
      <c r="R19" s="129"/>
    </row>
    <row r="20" spans="1:18" ht="33" customHeight="1">
      <c r="A20" s="119"/>
      <c r="B20" s="119"/>
      <c r="C20" s="120" t="s">
        <v>37</v>
      </c>
      <c r="D20" s="133">
        <v>4410000</v>
      </c>
      <c r="E20" s="142">
        <v>587847</v>
      </c>
      <c r="F20" s="133">
        <v>4997853</v>
      </c>
      <c r="G20" s="124"/>
      <c r="H20" s="133">
        <v>99956.279999999955</v>
      </c>
      <c r="I20" s="125">
        <v>11755.980000000003</v>
      </c>
      <c r="J20" s="125">
        <v>88201.079999999958</v>
      </c>
      <c r="K20" s="126">
        <v>587853</v>
      </c>
      <c r="L20" s="137">
        <v>243486.15999999995</v>
      </c>
      <c r="M20" s="138">
        <v>344366.84000000008</v>
      </c>
      <c r="N20" s="131"/>
      <c r="O20" s="128"/>
      <c r="P20" s="123">
        <v>2070312.4399999997</v>
      </c>
      <c r="Q20" s="123">
        <v>2927540.5599999987</v>
      </c>
      <c r="R20" s="129"/>
    </row>
    <row r="21" spans="1:18" ht="18.75">
      <c r="J21" s="143"/>
    </row>
  </sheetData>
  <mergeCells count="1">
    <mergeCell ref="A1:R1"/>
  </mergeCells>
  <pageMargins left="0.7" right="0.7" top="0.75" bottom="0.75" header="0.3" footer="0.3"/>
  <pageSetup scale="53" fitToHeight="7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20"/>
  <sheetViews>
    <sheetView topLeftCell="K1" workbookViewId="0">
      <selection activeCell="R21" sqref="R21"/>
    </sheetView>
  </sheetViews>
  <sheetFormatPr defaultRowHeight="15"/>
  <cols>
    <col min="1" max="1" width="5.5703125" bestFit="1" customWidth="1"/>
    <col min="2" max="2" width="7.85546875" customWidth="1"/>
    <col min="3" max="3" width="28.85546875" bestFit="1" customWidth="1"/>
    <col min="4" max="4" width="14.5703125" bestFit="1" customWidth="1"/>
    <col min="5" max="5" width="13.28515625" customWidth="1"/>
    <col min="6" max="6" width="14.5703125" customWidth="1"/>
    <col min="8" max="8" width="11.5703125" bestFit="1" customWidth="1"/>
    <col min="9" max="9" width="12.140625" customWidth="1"/>
    <col min="10" max="10" width="11.85546875" customWidth="1"/>
    <col min="11" max="11" width="14.42578125" customWidth="1"/>
    <col min="12" max="12" width="13" customWidth="1"/>
    <col min="13" max="13" width="12.5703125" customWidth="1"/>
    <col min="16" max="16" width="14.7109375" customWidth="1"/>
    <col min="17" max="17" width="14.140625" customWidth="1"/>
  </cols>
  <sheetData>
    <row r="1" spans="1:18" ht="23.25">
      <c r="A1" s="240" t="s">
        <v>42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</row>
    <row r="2" spans="1:18" ht="21">
      <c r="A2" s="107"/>
      <c r="B2" s="107"/>
      <c r="C2" s="107"/>
      <c r="D2" s="108"/>
      <c r="E2" s="108"/>
      <c r="F2" s="108"/>
      <c r="G2" s="132" t="s">
        <v>1</v>
      </c>
      <c r="H2" s="108"/>
      <c r="I2" s="109"/>
      <c r="J2" s="107"/>
      <c r="K2" s="107"/>
      <c r="L2" s="107"/>
      <c r="M2" s="107"/>
      <c r="N2" s="110"/>
      <c r="O2" s="110"/>
      <c r="P2" s="108"/>
      <c r="Q2" s="108"/>
      <c r="R2" s="107"/>
    </row>
    <row r="3" spans="1:18" ht="93.75">
      <c r="A3" s="111" t="s">
        <v>2</v>
      </c>
      <c r="B3" s="111" t="s">
        <v>3</v>
      </c>
      <c r="C3" s="134" t="s">
        <v>4</v>
      </c>
      <c r="D3" s="134" t="s">
        <v>5</v>
      </c>
      <c r="E3" s="111" t="s">
        <v>6</v>
      </c>
      <c r="F3" s="134" t="s">
        <v>7</v>
      </c>
      <c r="G3" s="111" t="s">
        <v>8</v>
      </c>
      <c r="H3" s="134" t="s">
        <v>9</v>
      </c>
      <c r="I3" s="113" t="s">
        <v>10</v>
      </c>
      <c r="J3" s="113" t="s">
        <v>11</v>
      </c>
      <c r="K3" s="111" t="s">
        <v>6</v>
      </c>
      <c r="L3" s="114" t="s">
        <v>12</v>
      </c>
      <c r="M3" s="115" t="s">
        <v>13</v>
      </c>
      <c r="N3" s="116" t="s">
        <v>14</v>
      </c>
      <c r="O3" s="117" t="s">
        <v>15</v>
      </c>
      <c r="P3" s="112" t="s">
        <v>16</v>
      </c>
      <c r="Q3" s="112" t="s">
        <v>17</v>
      </c>
      <c r="R3" s="118" t="s">
        <v>18</v>
      </c>
    </row>
    <row r="4" spans="1:18" ht="29.25" customHeight="1">
      <c r="A4" s="119">
        <v>1</v>
      </c>
      <c r="B4" s="119" t="s">
        <v>19</v>
      </c>
      <c r="C4" s="120" t="s">
        <v>20</v>
      </c>
      <c r="D4" s="135">
        <v>500000</v>
      </c>
      <c r="E4" s="142">
        <v>66650</v>
      </c>
      <c r="F4" s="126">
        <v>566650</v>
      </c>
      <c r="G4" s="130">
        <v>50</v>
      </c>
      <c r="H4" s="133">
        <v>11333</v>
      </c>
      <c r="I4" s="139">
        <v>1333</v>
      </c>
      <c r="J4" s="125">
        <v>10000</v>
      </c>
      <c r="K4" s="126">
        <v>66650</v>
      </c>
      <c r="L4" s="140">
        <v>10664</v>
      </c>
      <c r="M4" s="138">
        <v>55986</v>
      </c>
      <c r="N4" s="127">
        <v>8</v>
      </c>
      <c r="O4" s="128">
        <v>42</v>
      </c>
      <c r="P4" s="136">
        <v>90664</v>
      </c>
      <c r="Q4" s="122">
        <v>475996</v>
      </c>
      <c r="R4" s="129"/>
    </row>
    <row r="5" spans="1:18" ht="25.5" customHeight="1">
      <c r="A5" s="119">
        <v>2</v>
      </c>
      <c r="B5" s="119" t="s">
        <v>19</v>
      </c>
      <c r="C5" s="129" t="s">
        <v>21</v>
      </c>
      <c r="D5" s="135">
        <v>500000</v>
      </c>
      <c r="E5" s="142">
        <v>66650</v>
      </c>
      <c r="F5" s="126">
        <v>566650</v>
      </c>
      <c r="G5" s="130">
        <v>50</v>
      </c>
      <c r="H5" s="133">
        <v>11333</v>
      </c>
      <c r="I5" s="125">
        <v>1333</v>
      </c>
      <c r="J5" s="125">
        <v>10000</v>
      </c>
      <c r="K5" s="126">
        <v>66650</v>
      </c>
      <c r="L5" s="140">
        <v>14663</v>
      </c>
      <c r="M5" s="138">
        <v>51987</v>
      </c>
      <c r="N5" s="127">
        <v>11</v>
      </c>
      <c r="O5" s="128">
        <v>39</v>
      </c>
      <c r="P5" s="136">
        <v>124663</v>
      </c>
      <c r="Q5" s="122">
        <v>441987</v>
      </c>
      <c r="R5" s="129"/>
    </row>
    <row r="6" spans="1:18" ht="28.5" customHeight="1">
      <c r="A6" s="119">
        <v>3</v>
      </c>
      <c r="B6" s="119" t="s">
        <v>19</v>
      </c>
      <c r="C6" s="129" t="s">
        <v>23</v>
      </c>
      <c r="D6" s="135">
        <v>330000</v>
      </c>
      <c r="E6" s="142">
        <v>43989</v>
      </c>
      <c r="F6" s="126">
        <v>373989</v>
      </c>
      <c r="G6" s="130">
        <v>50</v>
      </c>
      <c r="H6" s="133">
        <v>7479.78</v>
      </c>
      <c r="I6" s="125">
        <v>879.78</v>
      </c>
      <c r="J6" s="125">
        <v>6600</v>
      </c>
      <c r="K6" s="126">
        <v>43989</v>
      </c>
      <c r="L6" s="140">
        <v>7038.24</v>
      </c>
      <c r="M6" s="138">
        <v>36950.76</v>
      </c>
      <c r="N6" s="130">
        <v>8</v>
      </c>
      <c r="O6" s="128">
        <v>42</v>
      </c>
      <c r="P6" s="133">
        <v>59838.239999999998</v>
      </c>
      <c r="Q6" s="121">
        <v>314150.76</v>
      </c>
      <c r="R6" s="129"/>
    </row>
    <row r="7" spans="1:18" ht="24" customHeight="1">
      <c r="A7" s="119">
        <v>4</v>
      </c>
      <c r="B7" s="119" t="s">
        <v>19</v>
      </c>
      <c r="C7" s="129" t="s">
        <v>24</v>
      </c>
      <c r="D7" s="135">
        <v>150000</v>
      </c>
      <c r="E7" s="142">
        <v>19989</v>
      </c>
      <c r="F7" s="126">
        <v>169995</v>
      </c>
      <c r="G7" s="130">
        <v>50</v>
      </c>
      <c r="H7" s="133">
        <v>3399.9</v>
      </c>
      <c r="I7" s="125">
        <v>399.78</v>
      </c>
      <c r="J7" s="125">
        <v>3000.12</v>
      </c>
      <c r="K7" s="126">
        <v>19995</v>
      </c>
      <c r="L7" s="140">
        <v>3198.24</v>
      </c>
      <c r="M7" s="138">
        <v>16796.759999999998</v>
      </c>
      <c r="N7" s="127">
        <v>8</v>
      </c>
      <c r="O7" s="128">
        <v>42</v>
      </c>
      <c r="P7" s="136">
        <v>27199.200000000001</v>
      </c>
      <c r="Q7" s="122">
        <v>142795.79999999999</v>
      </c>
      <c r="R7" s="129"/>
    </row>
    <row r="8" spans="1:18" ht="29.25" customHeight="1">
      <c r="A8" s="119">
        <v>5</v>
      </c>
      <c r="B8" s="119" t="s">
        <v>19</v>
      </c>
      <c r="C8" s="129" t="s">
        <v>25</v>
      </c>
      <c r="D8" s="135">
        <v>150000</v>
      </c>
      <c r="E8" s="142">
        <v>19995</v>
      </c>
      <c r="F8" s="126">
        <v>169995</v>
      </c>
      <c r="G8" s="130">
        <v>50</v>
      </c>
      <c r="H8" s="133">
        <v>3399.9</v>
      </c>
      <c r="I8" s="125">
        <v>399.78</v>
      </c>
      <c r="J8" s="125">
        <v>3000.12</v>
      </c>
      <c r="K8" s="126">
        <v>19995</v>
      </c>
      <c r="L8" s="140">
        <v>5996.7</v>
      </c>
      <c r="M8" s="138">
        <v>13998.3</v>
      </c>
      <c r="N8" s="131">
        <v>15</v>
      </c>
      <c r="O8" s="128">
        <v>35</v>
      </c>
      <c r="P8" s="133">
        <v>50998.5</v>
      </c>
      <c r="Q8" s="121">
        <v>118996.5</v>
      </c>
      <c r="R8" s="129"/>
    </row>
    <row r="9" spans="1:18" ht="30" customHeight="1">
      <c r="A9" s="119">
        <v>6</v>
      </c>
      <c r="B9" s="119" t="s">
        <v>19</v>
      </c>
      <c r="C9" s="120" t="s">
        <v>26</v>
      </c>
      <c r="D9" s="133">
        <v>450000</v>
      </c>
      <c r="E9" s="142">
        <v>59985</v>
      </c>
      <c r="F9" s="126">
        <v>509985</v>
      </c>
      <c r="G9" s="130">
        <v>50</v>
      </c>
      <c r="H9" s="136">
        <v>10199.700000000001</v>
      </c>
      <c r="I9" s="125">
        <v>1199.7</v>
      </c>
      <c r="J9" s="125">
        <v>9000</v>
      </c>
      <c r="K9" s="126">
        <v>59985</v>
      </c>
      <c r="L9" s="140">
        <v>17995.5</v>
      </c>
      <c r="M9" s="138">
        <v>41989.5</v>
      </c>
      <c r="N9" s="127">
        <v>15</v>
      </c>
      <c r="O9" s="128">
        <v>35</v>
      </c>
      <c r="P9" s="136">
        <v>152995.5</v>
      </c>
      <c r="Q9" s="122">
        <v>356989.5</v>
      </c>
      <c r="R9" s="129"/>
    </row>
    <row r="10" spans="1:18" ht="29.25" customHeight="1">
      <c r="A10" s="119">
        <v>7</v>
      </c>
      <c r="B10" s="119" t="s">
        <v>19</v>
      </c>
      <c r="C10" s="120" t="s">
        <v>27</v>
      </c>
      <c r="D10" s="135">
        <v>450000</v>
      </c>
      <c r="E10" s="142">
        <v>59985</v>
      </c>
      <c r="F10" s="126">
        <v>509985</v>
      </c>
      <c r="G10" s="130">
        <v>50</v>
      </c>
      <c r="H10" s="133">
        <v>10199.700000000001</v>
      </c>
      <c r="I10" s="125">
        <v>1199.7</v>
      </c>
      <c r="J10" s="125">
        <v>9000</v>
      </c>
      <c r="K10" s="126">
        <v>59985</v>
      </c>
      <c r="L10" s="140">
        <v>50387.4</v>
      </c>
      <c r="M10" s="138">
        <v>9597.6</v>
      </c>
      <c r="N10" s="127">
        <v>42</v>
      </c>
      <c r="O10" s="128">
        <v>8</v>
      </c>
      <c r="P10" s="136">
        <v>428387.4</v>
      </c>
      <c r="Q10" s="122">
        <v>81597.600000000006</v>
      </c>
      <c r="R10" s="129"/>
    </row>
    <row r="11" spans="1:18" ht="24.75" customHeight="1">
      <c r="A11" s="119">
        <v>8</v>
      </c>
      <c r="B11" s="119" t="s">
        <v>19</v>
      </c>
      <c r="C11" s="129" t="s">
        <v>28</v>
      </c>
      <c r="D11" s="135">
        <v>500000</v>
      </c>
      <c r="E11" s="142">
        <v>66650</v>
      </c>
      <c r="F11" s="126">
        <v>566650</v>
      </c>
      <c r="G11" s="130">
        <v>50</v>
      </c>
      <c r="H11" s="133">
        <v>11333</v>
      </c>
      <c r="I11" s="125">
        <v>1333</v>
      </c>
      <c r="J11" s="125">
        <v>10000</v>
      </c>
      <c r="K11" s="126">
        <v>66650</v>
      </c>
      <c r="L11" s="140">
        <v>47988</v>
      </c>
      <c r="M11" s="138">
        <v>18662</v>
      </c>
      <c r="N11" s="127">
        <v>36</v>
      </c>
      <c r="O11" s="128">
        <v>14</v>
      </c>
      <c r="P11" s="136">
        <v>407988</v>
      </c>
      <c r="Q11" s="122">
        <v>158662</v>
      </c>
      <c r="R11" s="129"/>
    </row>
    <row r="12" spans="1:18" ht="29.25" customHeight="1">
      <c r="A12" s="119">
        <v>9</v>
      </c>
      <c r="B12" s="119" t="s">
        <v>19</v>
      </c>
      <c r="C12" s="129" t="s">
        <v>29</v>
      </c>
      <c r="D12" s="135">
        <v>330000</v>
      </c>
      <c r="E12" s="142">
        <v>43989</v>
      </c>
      <c r="F12" s="126">
        <v>373989</v>
      </c>
      <c r="G12" s="130">
        <v>50</v>
      </c>
      <c r="H12" s="133">
        <v>7479</v>
      </c>
      <c r="I12" s="125">
        <v>879.78</v>
      </c>
      <c r="J12" s="125">
        <v>6600</v>
      </c>
      <c r="K12" s="126">
        <v>43989</v>
      </c>
      <c r="L12" s="140">
        <v>31672.080000000002</v>
      </c>
      <c r="M12" s="138">
        <v>12316.92</v>
      </c>
      <c r="N12" s="131">
        <v>36</v>
      </c>
      <c r="O12" s="128">
        <v>14</v>
      </c>
      <c r="P12" s="133">
        <v>269272.08</v>
      </c>
      <c r="Q12" s="123">
        <v>104716.92</v>
      </c>
      <c r="R12" s="129"/>
    </row>
    <row r="13" spans="1:18" ht="29.25" customHeight="1">
      <c r="A13" s="119">
        <v>10</v>
      </c>
      <c r="B13" s="119" t="s">
        <v>19</v>
      </c>
      <c r="C13" s="129" t="s">
        <v>30</v>
      </c>
      <c r="D13" s="135">
        <v>150000</v>
      </c>
      <c r="E13" s="142">
        <v>19995</v>
      </c>
      <c r="F13" s="126">
        <v>169995</v>
      </c>
      <c r="G13" s="130">
        <v>50</v>
      </c>
      <c r="H13" s="133">
        <v>3399.9</v>
      </c>
      <c r="I13" s="125">
        <v>399.78</v>
      </c>
      <c r="J13" s="125">
        <v>3000.12</v>
      </c>
      <c r="K13" s="126">
        <v>19995</v>
      </c>
      <c r="L13" s="140">
        <v>2798.46</v>
      </c>
      <c r="M13" s="138">
        <v>17196.54</v>
      </c>
      <c r="N13" s="131">
        <v>7</v>
      </c>
      <c r="O13" s="128">
        <v>43</v>
      </c>
      <c r="P13" s="133">
        <v>23799.3</v>
      </c>
      <c r="Q13" s="121">
        <v>146195.70000000001</v>
      </c>
      <c r="R13" s="129"/>
    </row>
    <row r="14" spans="1:18" ht="30.75" customHeight="1">
      <c r="A14" s="119">
        <v>11</v>
      </c>
      <c r="B14" s="119" t="s">
        <v>19</v>
      </c>
      <c r="C14" s="129" t="s">
        <v>31</v>
      </c>
      <c r="D14" s="135">
        <v>150000</v>
      </c>
      <c r="E14" s="142">
        <v>19995</v>
      </c>
      <c r="F14" s="126">
        <v>169995</v>
      </c>
      <c r="G14" s="130">
        <v>50</v>
      </c>
      <c r="H14" s="133">
        <v>3399.9</v>
      </c>
      <c r="I14" s="125">
        <v>399.78</v>
      </c>
      <c r="J14" s="125">
        <v>3000.12</v>
      </c>
      <c r="K14" s="126">
        <v>19995</v>
      </c>
      <c r="L14" s="140">
        <v>14392.08</v>
      </c>
      <c r="M14" s="138">
        <v>5602.92</v>
      </c>
      <c r="N14" s="131">
        <v>36</v>
      </c>
      <c r="O14" s="128">
        <v>14</v>
      </c>
      <c r="P14" s="133">
        <v>122396.4</v>
      </c>
      <c r="Q14" s="123">
        <v>47598.6</v>
      </c>
      <c r="R14" s="129"/>
    </row>
    <row r="15" spans="1:18" ht="26.25" customHeight="1">
      <c r="A15" s="119">
        <v>12</v>
      </c>
      <c r="B15" s="119" t="s">
        <v>19</v>
      </c>
      <c r="C15" s="129" t="s">
        <v>32</v>
      </c>
      <c r="D15" s="135">
        <v>150000</v>
      </c>
      <c r="E15" s="142">
        <v>19995</v>
      </c>
      <c r="F15" s="126">
        <v>169995</v>
      </c>
      <c r="G15" s="130">
        <v>50</v>
      </c>
      <c r="H15" s="133">
        <v>3399.9</v>
      </c>
      <c r="I15" s="125">
        <v>399.78</v>
      </c>
      <c r="J15" s="125">
        <v>3000.12</v>
      </c>
      <c r="K15" s="126">
        <v>19995</v>
      </c>
      <c r="L15" s="140">
        <v>14392.08</v>
      </c>
      <c r="M15" s="138">
        <v>5602.92</v>
      </c>
      <c r="N15" s="131">
        <v>36</v>
      </c>
      <c r="O15" s="128">
        <v>14</v>
      </c>
      <c r="P15" s="133">
        <v>122396.4</v>
      </c>
      <c r="Q15" s="123">
        <v>47598.6</v>
      </c>
      <c r="R15" s="129"/>
    </row>
    <row r="16" spans="1:18" ht="27.75" customHeight="1">
      <c r="A16" s="119">
        <v>13</v>
      </c>
      <c r="B16" s="119" t="s">
        <v>19</v>
      </c>
      <c r="C16" s="129" t="s">
        <v>33</v>
      </c>
      <c r="D16" s="133">
        <v>150000</v>
      </c>
      <c r="E16" s="142">
        <v>19995</v>
      </c>
      <c r="F16" s="126">
        <v>169995</v>
      </c>
      <c r="G16" s="130">
        <v>50</v>
      </c>
      <c r="H16" s="133">
        <v>3399.9</v>
      </c>
      <c r="I16" s="125">
        <v>399.78</v>
      </c>
      <c r="J16" s="125">
        <v>3000.12</v>
      </c>
      <c r="K16" s="126">
        <v>19995</v>
      </c>
      <c r="L16" s="140">
        <v>14392.08</v>
      </c>
      <c r="M16" s="138">
        <v>5602.92</v>
      </c>
      <c r="N16" s="131">
        <v>36</v>
      </c>
      <c r="O16" s="128">
        <v>14</v>
      </c>
      <c r="P16" s="133">
        <v>122396.4</v>
      </c>
      <c r="Q16" s="123">
        <v>47598.6</v>
      </c>
      <c r="R16" s="129"/>
    </row>
    <row r="17" spans="1:18" ht="28.5" customHeight="1">
      <c r="A17" s="119">
        <v>14</v>
      </c>
      <c r="B17" s="119" t="s">
        <v>19</v>
      </c>
      <c r="C17" s="120" t="s">
        <v>34</v>
      </c>
      <c r="D17" s="135">
        <v>150000</v>
      </c>
      <c r="E17" s="142">
        <v>19995</v>
      </c>
      <c r="F17" s="126">
        <v>169995</v>
      </c>
      <c r="G17" s="130">
        <v>50</v>
      </c>
      <c r="H17" s="133">
        <v>3399.9</v>
      </c>
      <c r="I17" s="125">
        <v>399.78</v>
      </c>
      <c r="J17" s="125">
        <v>3000.12</v>
      </c>
      <c r="K17" s="126">
        <v>19995</v>
      </c>
      <c r="L17" s="140">
        <v>14392.08</v>
      </c>
      <c r="M17" s="138">
        <v>5602.92</v>
      </c>
      <c r="N17" s="131">
        <v>36</v>
      </c>
      <c r="O17" s="128">
        <v>14</v>
      </c>
      <c r="P17" s="133">
        <v>122396.4</v>
      </c>
      <c r="Q17" s="123">
        <v>47598.6</v>
      </c>
      <c r="R17" s="129"/>
    </row>
    <row r="18" spans="1:18" ht="34.5" customHeight="1">
      <c r="A18" s="119">
        <v>15</v>
      </c>
      <c r="B18" s="119" t="s">
        <v>19</v>
      </c>
      <c r="C18" s="129" t="s">
        <v>35</v>
      </c>
      <c r="D18" s="135">
        <v>150000</v>
      </c>
      <c r="E18" s="142">
        <v>19995</v>
      </c>
      <c r="F18" s="126">
        <v>169995</v>
      </c>
      <c r="G18" s="130">
        <v>50</v>
      </c>
      <c r="H18" s="133">
        <v>3399.9</v>
      </c>
      <c r="I18" s="125">
        <v>399.78</v>
      </c>
      <c r="J18" s="125">
        <v>3000.12</v>
      </c>
      <c r="K18" s="126">
        <v>19995</v>
      </c>
      <c r="L18" s="140">
        <v>14392.08</v>
      </c>
      <c r="M18" s="138">
        <v>5602.92</v>
      </c>
      <c r="N18" s="131">
        <v>36</v>
      </c>
      <c r="O18" s="128">
        <v>14</v>
      </c>
      <c r="P18" s="133">
        <v>122396.4</v>
      </c>
      <c r="Q18" s="123">
        <v>47598.6</v>
      </c>
      <c r="R18" s="129"/>
    </row>
    <row r="19" spans="1:18" ht="32.25" customHeight="1">
      <c r="A19" s="119">
        <v>16</v>
      </c>
      <c r="B19" s="119" t="s">
        <v>19</v>
      </c>
      <c r="C19" s="129" t="s">
        <v>36</v>
      </c>
      <c r="D19" s="135">
        <v>150000</v>
      </c>
      <c r="E19" s="142">
        <v>19995</v>
      </c>
      <c r="F19" s="126">
        <v>169995</v>
      </c>
      <c r="G19" s="130">
        <v>50</v>
      </c>
      <c r="H19" s="133">
        <v>3399.9</v>
      </c>
      <c r="I19" s="125">
        <v>399.78</v>
      </c>
      <c r="J19" s="125">
        <v>3000.12</v>
      </c>
      <c r="K19" s="126">
        <v>19995</v>
      </c>
      <c r="L19" s="140">
        <v>14392.08</v>
      </c>
      <c r="M19" s="138">
        <v>5602.92</v>
      </c>
      <c r="N19" s="131">
        <v>36</v>
      </c>
      <c r="O19" s="128">
        <v>14</v>
      </c>
      <c r="P19" s="133">
        <v>122396.4</v>
      </c>
      <c r="Q19" s="123">
        <v>47598.6</v>
      </c>
      <c r="R19" s="129"/>
    </row>
    <row r="20" spans="1:18" ht="31.5" customHeight="1">
      <c r="A20" s="119"/>
      <c r="B20" s="119"/>
      <c r="C20" s="120" t="s">
        <v>37</v>
      </c>
      <c r="D20" s="133">
        <v>4410000</v>
      </c>
      <c r="E20" s="142">
        <v>587847</v>
      </c>
      <c r="F20" s="133">
        <v>4997853</v>
      </c>
      <c r="G20" s="124"/>
      <c r="H20" s="133">
        <v>99956.279999999955</v>
      </c>
      <c r="I20" s="125">
        <v>11755.980000000003</v>
      </c>
      <c r="J20" s="125">
        <v>88201.079999999958</v>
      </c>
      <c r="K20" s="126">
        <v>587853</v>
      </c>
      <c r="L20" s="137">
        <v>243486.15999999995</v>
      </c>
      <c r="M20" s="138">
        <v>344366.84000000008</v>
      </c>
      <c r="N20" s="131"/>
      <c r="O20" s="128"/>
      <c r="P20" s="123">
        <v>2070312.4399999997</v>
      </c>
      <c r="Q20" s="123">
        <v>2927540.5599999987</v>
      </c>
      <c r="R20" s="129"/>
    </row>
  </sheetData>
  <mergeCells count="1">
    <mergeCell ref="A1:R1"/>
  </mergeCells>
  <pageMargins left="0.7" right="0.7" top="0.75" bottom="0.75" header="0.3" footer="0.3"/>
  <pageSetup scale="54" fitToHeight="7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S23"/>
  <sheetViews>
    <sheetView topLeftCell="I1" workbookViewId="0">
      <selection activeCell="D3" sqref="D3"/>
    </sheetView>
  </sheetViews>
  <sheetFormatPr defaultRowHeight="15"/>
  <cols>
    <col min="1" max="1" width="5.5703125" customWidth="1"/>
    <col min="2" max="2" width="7.7109375" customWidth="1"/>
    <col min="3" max="3" width="25.7109375" customWidth="1"/>
    <col min="4" max="4" width="14.85546875" customWidth="1"/>
    <col min="5" max="5" width="13.42578125" customWidth="1"/>
    <col min="6" max="6" width="14.85546875" customWidth="1"/>
    <col min="8" max="8" width="13.28515625" customWidth="1"/>
    <col min="9" max="9" width="12.85546875" customWidth="1"/>
    <col min="10" max="10" width="11.28515625" customWidth="1"/>
    <col min="11" max="11" width="12.85546875" customWidth="1"/>
    <col min="12" max="12" width="14.140625" customWidth="1"/>
    <col min="13" max="13" width="13.42578125" customWidth="1"/>
    <col min="16" max="16" width="15.140625" customWidth="1"/>
    <col min="17" max="17" width="15.42578125" customWidth="1"/>
  </cols>
  <sheetData>
    <row r="1" spans="1:19" ht="23.25">
      <c r="A1" s="240" t="s">
        <v>45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106"/>
    </row>
    <row r="2" spans="1:19" ht="21">
      <c r="A2" s="107"/>
      <c r="B2" s="107"/>
      <c r="C2" s="107"/>
      <c r="D2" s="108"/>
      <c r="E2" s="108"/>
      <c r="F2" s="108"/>
      <c r="G2" s="132" t="s">
        <v>1</v>
      </c>
      <c r="H2" s="108"/>
      <c r="I2" s="109"/>
      <c r="J2" s="107"/>
      <c r="K2" s="107"/>
      <c r="L2" s="107"/>
      <c r="M2" s="107"/>
      <c r="N2" s="110"/>
      <c r="O2" s="110"/>
      <c r="P2" s="108"/>
      <c r="Q2" s="108"/>
      <c r="R2" s="107"/>
      <c r="S2" s="106"/>
    </row>
    <row r="3" spans="1:19" ht="93.75">
      <c r="A3" s="111" t="s">
        <v>2</v>
      </c>
      <c r="B3" s="111" t="s">
        <v>3</v>
      </c>
      <c r="C3" s="134" t="s">
        <v>4</v>
      </c>
      <c r="D3" s="134" t="s">
        <v>5</v>
      </c>
      <c r="E3" s="111" t="s">
        <v>6</v>
      </c>
      <c r="F3" s="134" t="s">
        <v>7</v>
      </c>
      <c r="G3" s="111" t="s">
        <v>8</v>
      </c>
      <c r="H3" s="134" t="s">
        <v>9</v>
      </c>
      <c r="I3" s="113" t="s">
        <v>10</v>
      </c>
      <c r="J3" s="113" t="s">
        <v>11</v>
      </c>
      <c r="K3" s="111" t="s">
        <v>6</v>
      </c>
      <c r="L3" s="114" t="s">
        <v>12</v>
      </c>
      <c r="M3" s="115" t="s">
        <v>13</v>
      </c>
      <c r="N3" s="116" t="s">
        <v>14</v>
      </c>
      <c r="O3" s="117" t="s">
        <v>15</v>
      </c>
      <c r="P3" s="112" t="s">
        <v>16</v>
      </c>
      <c r="Q3" s="112" t="s">
        <v>17</v>
      </c>
      <c r="R3" s="118" t="s">
        <v>18</v>
      </c>
      <c r="S3" s="106"/>
    </row>
    <row r="4" spans="1:19" ht="35.25" customHeight="1">
      <c r="A4" s="119">
        <v>1</v>
      </c>
      <c r="B4" s="119" t="s">
        <v>19</v>
      </c>
      <c r="C4" s="120" t="s">
        <v>20</v>
      </c>
      <c r="D4" s="135">
        <v>500000</v>
      </c>
      <c r="E4" s="142">
        <v>66650</v>
      </c>
      <c r="F4" s="126">
        <v>566650</v>
      </c>
      <c r="G4" s="130">
        <v>50</v>
      </c>
      <c r="H4" s="133">
        <v>11333</v>
      </c>
      <c r="I4" s="139">
        <v>1333</v>
      </c>
      <c r="J4" s="125">
        <v>10000</v>
      </c>
      <c r="K4" s="126">
        <v>66650</v>
      </c>
      <c r="L4" s="140">
        <v>11997</v>
      </c>
      <c r="M4" s="138">
        <v>54653</v>
      </c>
      <c r="N4" s="127">
        <v>9</v>
      </c>
      <c r="O4" s="128">
        <v>41</v>
      </c>
      <c r="P4" s="136">
        <v>101997</v>
      </c>
      <c r="Q4" s="122">
        <v>464653</v>
      </c>
      <c r="R4" s="129"/>
      <c r="S4" s="106"/>
    </row>
    <row r="5" spans="1:19" ht="25.5" customHeight="1">
      <c r="A5" s="119">
        <v>2</v>
      </c>
      <c r="B5" s="119" t="s">
        <v>19</v>
      </c>
      <c r="C5" s="129" t="s">
        <v>21</v>
      </c>
      <c r="D5" s="135">
        <v>500000</v>
      </c>
      <c r="E5" s="142">
        <v>66650</v>
      </c>
      <c r="F5" s="126">
        <v>566650</v>
      </c>
      <c r="G5" s="130">
        <v>50</v>
      </c>
      <c r="H5" s="133">
        <v>11333</v>
      </c>
      <c r="I5" s="125">
        <v>1333</v>
      </c>
      <c r="J5" s="125">
        <v>10000</v>
      </c>
      <c r="K5" s="126">
        <v>66650</v>
      </c>
      <c r="L5" s="140">
        <v>15996</v>
      </c>
      <c r="M5" s="138">
        <v>50654</v>
      </c>
      <c r="N5" s="127">
        <v>12</v>
      </c>
      <c r="O5" s="128">
        <v>38</v>
      </c>
      <c r="P5" s="136">
        <v>135996</v>
      </c>
      <c r="Q5" s="122">
        <v>430654</v>
      </c>
      <c r="R5" s="129"/>
      <c r="S5" s="106"/>
    </row>
    <row r="6" spans="1:19" ht="24.75" customHeight="1">
      <c r="A6" s="119">
        <v>3</v>
      </c>
      <c r="B6" s="119" t="s">
        <v>19</v>
      </c>
      <c r="C6" s="129" t="s">
        <v>23</v>
      </c>
      <c r="D6" s="135">
        <v>330000</v>
      </c>
      <c r="E6" s="142">
        <v>43989</v>
      </c>
      <c r="F6" s="126">
        <v>373989</v>
      </c>
      <c r="G6" s="130">
        <v>50</v>
      </c>
      <c r="H6" s="133">
        <v>7479.78</v>
      </c>
      <c r="I6" s="125">
        <v>879.78</v>
      </c>
      <c r="J6" s="125">
        <v>6600</v>
      </c>
      <c r="K6" s="126">
        <v>43989</v>
      </c>
      <c r="L6" s="140">
        <v>7918.02</v>
      </c>
      <c r="M6" s="138">
        <v>36070.980000000003</v>
      </c>
      <c r="N6" s="130">
        <v>9</v>
      </c>
      <c r="O6" s="128">
        <v>41</v>
      </c>
      <c r="P6" s="133">
        <v>67318.02</v>
      </c>
      <c r="Q6" s="121">
        <v>306670.98</v>
      </c>
      <c r="R6" s="129"/>
      <c r="S6" s="106"/>
    </row>
    <row r="7" spans="1:19" ht="29.25" customHeight="1">
      <c r="A7" s="119">
        <v>4</v>
      </c>
      <c r="B7" s="119" t="s">
        <v>19</v>
      </c>
      <c r="C7" s="129" t="s">
        <v>44</v>
      </c>
      <c r="D7" s="135">
        <v>330000</v>
      </c>
      <c r="E7" s="142">
        <v>43989</v>
      </c>
      <c r="F7" s="126">
        <v>373989</v>
      </c>
      <c r="G7" s="130">
        <v>50</v>
      </c>
      <c r="H7" s="133">
        <v>7479.78</v>
      </c>
      <c r="I7" s="125">
        <v>879.78</v>
      </c>
      <c r="J7" s="125">
        <v>6600</v>
      </c>
      <c r="K7" s="126">
        <v>43989</v>
      </c>
      <c r="L7" s="140">
        <v>879.78</v>
      </c>
      <c r="M7" s="138">
        <v>43109.22</v>
      </c>
      <c r="N7" s="130">
        <v>1</v>
      </c>
      <c r="O7" s="128">
        <v>49</v>
      </c>
      <c r="P7" s="133">
        <v>7479.78</v>
      </c>
      <c r="Q7" s="121">
        <v>366509.22</v>
      </c>
      <c r="R7" s="129"/>
      <c r="S7" s="106"/>
    </row>
    <row r="8" spans="1:19" ht="27" customHeight="1">
      <c r="A8" s="119">
        <v>5</v>
      </c>
      <c r="B8" s="119" t="s">
        <v>19</v>
      </c>
      <c r="C8" s="129" t="s">
        <v>24</v>
      </c>
      <c r="D8" s="135">
        <v>150000</v>
      </c>
      <c r="E8" s="142">
        <v>19989</v>
      </c>
      <c r="F8" s="126">
        <v>169995</v>
      </c>
      <c r="G8" s="130">
        <v>50</v>
      </c>
      <c r="H8" s="133">
        <v>3399.9</v>
      </c>
      <c r="I8" s="125">
        <v>399.78</v>
      </c>
      <c r="J8" s="125">
        <v>3000.12</v>
      </c>
      <c r="K8" s="126">
        <v>19995</v>
      </c>
      <c r="L8" s="140">
        <v>3598.02</v>
      </c>
      <c r="M8" s="138">
        <v>16396.98</v>
      </c>
      <c r="N8" s="127">
        <v>9</v>
      </c>
      <c r="O8" s="128">
        <v>41</v>
      </c>
      <c r="P8" s="136">
        <v>30599.1</v>
      </c>
      <c r="Q8" s="122">
        <v>139395.9</v>
      </c>
      <c r="R8" s="129"/>
      <c r="S8" s="106"/>
    </row>
    <row r="9" spans="1:19" ht="31.5" customHeight="1">
      <c r="A9" s="119">
        <v>6</v>
      </c>
      <c r="B9" s="119" t="s">
        <v>19</v>
      </c>
      <c r="C9" s="129" t="s">
        <v>25</v>
      </c>
      <c r="D9" s="135">
        <v>150000</v>
      </c>
      <c r="E9" s="142">
        <v>19995</v>
      </c>
      <c r="F9" s="126">
        <v>169995</v>
      </c>
      <c r="G9" s="130">
        <v>50</v>
      </c>
      <c r="H9" s="133">
        <v>3399.9</v>
      </c>
      <c r="I9" s="125">
        <v>399.78</v>
      </c>
      <c r="J9" s="125">
        <v>3000.12</v>
      </c>
      <c r="K9" s="126">
        <v>19995</v>
      </c>
      <c r="L9" s="140">
        <v>6396.48</v>
      </c>
      <c r="M9" s="138">
        <v>13598.52</v>
      </c>
      <c r="N9" s="131">
        <v>16</v>
      </c>
      <c r="O9" s="128">
        <v>34</v>
      </c>
      <c r="P9" s="133">
        <v>54398.400000000001</v>
      </c>
      <c r="Q9" s="121">
        <v>115596.6</v>
      </c>
      <c r="R9" s="129"/>
      <c r="S9" s="106"/>
    </row>
    <row r="10" spans="1:19" ht="31.5" customHeight="1">
      <c r="A10" s="119">
        <v>7</v>
      </c>
      <c r="B10" s="119" t="s">
        <v>19</v>
      </c>
      <c r="C10" s="120" t="s">
        <v>26</v>
      </c>
      <c r="D10" s="133">
        <v>450000</v>
      </c>
      <c r="E10" s="142">
        <v>59985</v>
      </c>
      <c r="F10" s="126">
        <v>509985</v>
      </c>
      <c r="G10" s="130">
        <v>50</v>
      </c>
      <c r="H10" s="136">
        <v>10199.700000000001</v>
      </c>
      <c r="I10" s="125">
        <v>1199.7</v>
      </c>
      <c r="J10" s="125">
        <v>9000</v>
      </c>
      <c r="K10" s="126">
        <v>59985</v>
      </c>
      <c r="L10" s="140">
        <v>19195.2</v>
      </c>
      <c r="M10" s="138">
        <v>40789.800000000003</v>
      </c>
      <c r="N10" s="127">
        <v>16</v>
      </c>
      <c r="O10" s="128">
        <v>34</v>
      </c>
      <c r="P10" s="136">
        <v>163195.20000000001</v>
      </c>
      <c r="Q10" s="122">
        <v>346789.8</v>
      </c>
      <c r="R10" s="129"/>
      <c r="S10" s="106"/>
    </row>
    <row r="11" spans="1:19" ht="31.5" customHeight="1">
      <c r="A11" s="119">
        <v>8</v>
      </c>
      <c r="B11" s="119" t="s">
        <v>19</v>
      </c>
      <c r="C11" s="120" t="s">
        <v>27</v>
      </c>
      <c r="D11" s="135">
        <v>450000</v>
      </c>
      <c r="E11" s="142">
        <v>59985</v>
      </c>
      <c r="F11" s="126">
        <v>509985</v>
      </c>
      <c r="G11" s="130">
        <v>50</v>
      </c>
      <c r="H11" s="133">
        <v>10199.700000000001</v>
      </c>
      <c r="I11" s="125">
        <v>1199.7</v>
      </c>
      <c r="J11" s="125">
        <v>9000</v>
      </c>
      <c r="K11" s="126">
        <v>59985</v>
      </c>
      <c r="L11" s="140">
        <v>51587.1</v>
      </c>
      <c r="M11" s="138">
        <v>8397.9</v>
      </c>
      <c r="N11" s="127">
        <v>43</v>
      </c>
      <c r="O11" s="128">
        <v>7</v>
      </c>
      <c r="P11" s="136">
        <v>438587.1</v>
      </c>
      <c r="Q11" s="122">
        <v>71397.899999999994</v>
      </c>
      <c r="R11" s="129"/>
      <c r="S11" s="106"/>
    </row>
    <row r="12" spans="1:19" ht="24" customHeight="1">
      <c r="A12" s="119">
        <v>9</v>
      </c>
      <c r="B12" s="119" t="s">
        <v>19</v>
      </c>
      <c r="C12" s="129" t="s">
        <v>28</v>
      </c>
      <c r="D12" s="135">
        <v>500000</v>
      </c>
      <c r="E12" s="142">
        <v>66650</v>
      </c>
      <c r="F12" s="126">
        <v>566650</v>
      </c>
      <c r="G12" s="130">
        <v>50</v>
      </c>
      <c r="H12" s="133">
        <v>11333</v>
      </c>
      <c r="I12" s="125">
        <v>1333</v>
      </c>
      <c r="J12" s="125">
        <v>10000</v>
      </c>
      <c r="K12" s="126">
        <v>66650</v>
      </c>
      <c r="L12" s="140">
        <v>49321</v>
      </c>
      <c r="M12" s="138">
        <v>17329</v>
      </c>
      <c r="N12" s="127">
        <v>37</v>
      </c>
      <c r="O12" s="128">
        <v>13</v>
      </c>
      <c r="P12" s="136">
        <v>419321</v>
      </c>
      <c r="Q12" s="122">
        <v>147329</v>
      </c>
      <c r="R12" s="129"/>
      <c r="S12" s="106"/>
    </row>
    <row r="13" spans="1:19" ht="26.25" customHeight="1">
      <c r="A13" s="119">
        <v>10</v>
      </c>
      <c r="B13" s="119" t="s">
        <v>19</v>
      </c>
      <c r="C13" s="129" t="s">
        <v>29</v>
      </c>
      <c r="D13" s="135">
        <v>330000</v>
      </c>
      <c r="E13" s="142">
        <v>43989</v>
      </c>
      <c r="F13" s="126">
        <v>373989</v>
      </c>
      <c r="G13" s="130">
        <v>50</v>
      </c>
      <c r="H13" s="133">
        <v>7479</v>
      </c>
      <c r="I13" s="125">
        <v>879.78</v>
      </c>
      <c r="J13" s="125">
        <v>6600</v>
      </c>
      <c r="K13" s="126">
        <v>43989</v>
      </c>
      <c r="L13" s="140">
        <v>32551.86</v>
      </c>
      <c r="M13" s="138">
        <v>11437.14</v>
      </c>
      <c r="N13" s="131">
        <v>37</v>
      </c>
      <c r="O13" s="128">
        <v>13</v>
      </c>
      <c r="P13" s="133">
        <v>276751.86</v>
      </c>
      <c r="Q13" s="123">
        <v>97237.14</v>
      </c>
      <c r="R13" s="129"/>
      <c r="S13" s="106"/>
    </row>
    <row r="14" spans="1:19" ht="29.25" customHeight="1">
      <c r="A14" s="119">
        <v>11</v>
      </c>
      <c r="B14" s="119" t="s">
        <v>19</v>
      </c>
      <c r="C14" s="129" t="s">
        <v>30</v>
      </c>
      <c r="D14" s="135">
        <v>150000</v>
      </c>
      <c r="E14" s="142">
        <v>19995</v>
      </c>
      <c r="F14" s="126">
        <v>169995</v>
      </c>
      <c r="G14" s="130">
        <v>50</v>
      </c>
      <c r="H14" s="133">
        <v>3399.9</v>
      </c>
      <c r="I14" s="125">
        <v>399.78</v>
      </c>
      <c r="J14" s="125">
        <v>3000.12</v>
      </c>
      <c r="K14" s="126">
        <v>19995</v>
      </c>
      <c r="L14" s="140">
        <v>3198.24</v>
      </c>
      <c r="M14" s="138">
        <v>16796.759999999998</v>
      </c>
      <c r="N14" s="131">
        <v>8</v>
      </c>
      <c r="O14" s="128">
        <v>42</v>
      </c>
      <c r="P14" s="133">
        <v>27199.200000000001</v>
      </c>
      <c r="Q14" s="121">
        <v>142795.79999999999</v>
      </c>
      <c r="R14" s="129"/>
      <c r="S14" s="106"/>
    </row>
    <row r="15" spans="1:19" ht="27" customHeight="1">
      <c r="A15" s="119">
        <v>12</v>
      </c>
      <c r="B15" s="119" t="s">
        <v>19</v>
      </c>
      <c r="C15" s="129" t="s">
        <v>43</v>
      </c>
      <c r="D15" s="135">
        <v>150000</v>
      </c>
      <c r="E15" s="142">
        <v>19995</v>
      </c>
      <c r="F15" s="126">
        <v>169995</v>
      </c>
      <c r="G15" s="130">
        <v>50</v>
      </c>
      <c r="H15" s="133">
        <v>3399.9</v>
      </c>
      <c r="I15" s="125">
        <v>399.78</v>
      </c>
      <c r="J15" s="125">
        <v>3000.12</v>
      </c>
      <c r="K15" s="126">
        <v>19995</v>
      </c>
      <c r="L15" s="140">
        <v>399.78</v>
      </c>
      <c r="M15" s="138">
        <v>19595.22</v>
      </c>
      <c r="N15" s="131">
        <v>1</v>
      </c>
      <c r="O15" s="128">
        <v>49</v>
      </c>
      <c r="P15" s="133">
        <v>3399.9</v>
      </c>
      <c r="Q15" s="121">
        <v>166595.1</v>
      </c>
      <c r="R15" s="129"/>
      <c r="S15" s="106"/>
    </row>
    <row r="16" spans="1:19" ht="24.75" customHeight="1">
      <c r="A16" s="119">
        <v>13</v>
      </c>
      <c r="B16" s="119" t="s">
        <v>19</v>
      </c>
      <c r="C16" s="129" t="s">
        <v>31</v>
      </c>
      <c r="D16" s="135">
        <v>150000</v>
      </c>
      <c r="E16" s="142">
        <v>19995</v>
      </c>
      <c r="F16" s="126">
        <v>169995</v>
      </c>
      <c r="G16" s="130">
        <v>50</v>
      </c>
      <c r="H16" s="133">
        <v>3399.9</v>
      </c>
      <c r="I16" s="125">
        <v>399.78</v>
      </c>
      <c r="J16" s="125">
        <v>3000.12</v>
      </c>
      <c r="K16" s="126">
        <v>19995</v>
      </c>
      <c r="L16" s="140">
        <v>14791.86</v>
      </c>
      <c r="M16" s="138">
        <v>5203.1400000000003</v>
      </c>
      <c r="N16" s="131">
        <v>37</v>
      </c>
      <c r="O16" s="128">
        <v>13</v>
      </c>
      <c r="P16" s="133">
        <v>125796.3</v>
      </c>
      <c r="Q16" s="123">
        <v>44198.7</v>
      </c>
      <c r="R16" s="129"/>
      <c r="S16" s="106"/>
    </row>
    <row r="17" spans="1:19" ht="26.25" customHeight="1">
      <c r="A17" s="119">
        <v>14</v>
      </c>
      <c r="B17" s="119" t="s">
        <v>19</v>
      </c>
      <c r="C17" s="129" t="s">
        <v>32</v>
      </c>
      <c r="D17" s="135">
        <v>150000</v>
      </c>
      <c r="E17" s="142">
        <v>19995</v>
      </c>
      <c r="F17" s="126">
        <v>169995</v>
      </c>
      <c r="G17" s="130">
        <v>50</v>
      </c>
      <c r="H17" s="133">
        <v>3399.9</v>
      </c>
      <c r="I17" s="125">
        <v>399.78</v>
      </c>
      <c r="J17" s="125">
        <v>3000.12</v>
      </c>
      <c r="K17" s="126">
        <v>19995</v>
      </c>
      <c r="L17" s="140">
        <v>14791.86</v>
      </c>
      <c r="M17" s="138">
        <v>5203.1400000000003</v>
      </c>
      <c r="N17" s="131">
        <v>37</v>
      </c>
      <c r="O17" s="128">
        <v>13</v>
      </c>
      <c r="P17" s="133">
        <v>125796.3</v>
      </c>
      <c r="Q17" s="123">
        <v>44198.7</v>
      </c>
      <c r="R17" s="129"/>
      <c r="S17" s="106"/>
    </row>
    <row r="18" spans="1:19" ht="24" customHeight="1">
      <c r="A18" s="119">
        <v>15</v>
      </c>
      <c r="B18" s="119" t="s">
        <v>19</v>
      </c>
      <c r="C18" s="129" t="s">
        <v>33</v>
      </c>
      <c r="D18" s="133">
        <v>150000</v>
      </c>
      <c r="E18" s="142">
        <v>19995</v>
      </c>
      <c r="F18" s="126">
        <v>169995</v>
      </c>
      <c r="G18" s="130">
        <v>50</v>
      </c>
      <c r="H18" s="133">
        <v>3399.9</v>
      </c>
      <c r="I18" s="125">
        <v>399.78</v>
      </c>
      <c r="J18" s="125">
        <v>3000.12</v>
      </c>
      <c r="K18" s="126">
        <v>19995</v>
      </c>
      <c r="L18" s="140">
        <v>14791.86</v>
      </c>
      <c r="M18" s="138">
        <v>5203.1400000000003</v>
      </c>
      <c r="N18" s="131">
        <v>37</v>
      </c>
      <c r="O18" s="128">
        <v>13</v>
      </c>
      <c r="P18" s="133">
        <v>125796.3</v>
      </c>
      <c r="Q18" s="123">
        <v>44198.7</v>
      </c>
      <c r="R18" s="129"/>
      <c r="S18" s="106"/>
    </row>
    <row r="19" spans="1:19" ht="27.75" customHeight="1">
      <c r="A19" s="119">
        <v>16</v>
      </c>
      <c r="B19" s="119" t="s">
        <v>19</v>
      </c>
      <c r="C19" s="120" t="s">
        <v>34</v>
      </c>
      <c r="D19" s="135">
        <v>150000</v>
      </c>
      <c r="E19" s="142">
        <v>19995</v>
      </c>
      <c r="F19" s="126">
        <v>169995</v>
      </c>
      <c r="G19" s="130">
        <v>50</v>
      </c>
      <c r="H19" s="133">
        <v>3399.9</v>
      </c>
      <c r="I19" s="125">
        <v>399.78</v>
      </c>
      <c r="J19" s="125">
        <v>3000.12</v>
      </c>
      <c r="K19" s="126">
        <v>19995</v>
      </c>
      <c r="L19" s="140">
        <v>14791.86</v>
      </c>
      <c r="M19" s="138">
        <v>5203.1400000000003</v>
      </c>
      <c r="N19" s="131">
        <v>37</v>
      </c>
      <c r="O19" s="128">
        <v>13</v>
      </c>
      <c r="P19" s="133">
        <v>125796.3</v>
      </c>
      <c r="Q19" s="123">
        <v>44198.7</v>
      </c>
      <c r="R19" s="129"/>
      <c r="S19" s="106"/>
    </row>
    <row r="20" spans="1:19" ht="29.25" customHeight="1">
      <c r="A20" s="119">
        <v>17</v>
      </c>
      <c r="B20" s="119" t="s">
        <v>19</v>
      </c>
      <c r="C20" s="129" t="s">
        <v>35</v>
      </c>
      <c r="D20" s="135">
        <v>150000</v>
      </c>
      <c r="E20" s="142">
        <v>19995</v>
      </c>
      <c r="F20" s="126">
        <v>169995</v>
      </c>
      <c r="G20" s="130">
        <v>50</v>
      </c>
      <c r="H20" s="133">
        <v>3399.9</v>
      </c>
      <c r="I20" s="125">
        <v>399.78</v>
      </c>
      <c r="J20" s="125">
        <v>3000.12</v>
      </c>
      <c r="K20" s="126">
        <v>19995</v>
      </c>
      <c r="L20" s="140">
        <v>14791.86</v>
      </c>
      <c r="M20" s="138">
        <v>5203.1400000000003</v>
      </c>
      <c r="N20" s="131">
        <v>37</v>
      </c>
      <c r="O20" s="128">
        <v>13</v>
      </c>
      <c r="P20" s="133">
        <v>125796.3</v>
      </c>
      <c r="Q20" s="123">
        <v>44198.7</v>
      </c>
      <c r="R20" s="129"/>
      <c r="S20" s="106"/>
    </row>
    <row r="21" spans="1:19" ht="22.5" customHeight="1">
      <c r="A21" s="119">
        <v>18</v>
      </c>
      <c r="B21" s="119" t="s">
        <v>19</v>
      </c>
      <c r="C21" s="129" t="s">
        <v>36</v>
      </c>
      <c r="D21" s="135">
        <v>150000</v>
      </c>
      <c r="E21" s="142">
        <v>19995</v>
      </c>
      <c r="F21" s="126">
        <v>169995</v>
      </c>
      <c r="G21" s="130">
        <v>50</v>
      </c>
      <c r="H21" s="133">
        <v>3399.9</v>
      </c>
      <c r="I21" s="125">
        <v>399.78</v>
      </c>
      <c r="J21" s="125">
        <v>3000.12</v>
      </c>
      <c r="K21" s="126">
        <v>19995</v>
      </c>
      <c r="L21" s="140">
        <v>14791.86</v>
      </c>
      <c r="M21" s="138">
        <v>5203.1400000000003</v>
      </c>
      <c r="N21" s="131">
        <v>37</v>
      </c>
      <c r="O21" s="128">
        <v>13</v>
      </c>
      <c r="P21" s="133">
        <v>125796.3</v>
      </c>
      <c r="Q21" s="123">
        <v>44198.7</v>
      </c>
      <c r="R21" s="129"/>
      <c r="S21" s="106"/>
    </row>
    <row r="22" spans="1:19" ht="33.75" customHeight="1">
      <c r="A22" s="119"/>
      <c r="B22" s="119"/>
      <c r="C22" s="120" t="s">
        <v>37</v>
      </c>
      <c r="D22" s="133">
        <f>SUM(D4:D21)</f>
        <v>4890000</v>
      </c>
      <c r="E22" s="142">
        <f>SUM(E4:E21)</f>
        <v>651831</v>
      </c>
      <c r="F22" s="133">
        <f>SUM(F4:F21)</f>
        <v>5541837</v>
      </c>
      <c r="G22" s="124"/>
      <c r="H22" s="133">
        <f t="shared" ref="H22:M22" si="0">SUM(H4:H21)</f>
        <v>110835.95999999995</v>
      </c>
      <c r="I22" s="125">
        <f t="shared" si="0"/>
        <v>13035.540000000005</v>
      </c>
      <c r="J22" s="125">
        <f t="shared" si="0"/>
        <v>97801.199999999968</v>
      </c>
      <c r="K22" s="126">
        <f t="shared" si="0"/>
        <v>651837</v>
      </c>
      <c r="L22" s="137">
        <f t="shared" si="0"/>
        <v>291789.63999999996</v>
      </c>
      <c r="M22" s="138">
        <f t="shared" si="0"/>
        <v>360047.3600000001</v>
      </c>
      <c r="N22" s="131"/>
      <c r="O22" s="128"/>
      <c r="P22" s="123">
        <f>SUM(P4:P21)</f>
        <v>2481020.3599999994</v>
      </c>
      <c r="Q22" s="123">
        <f>SUM(Q4:Q21)</f>
        <v>3060816.6400000011</v>
      </c>
      <c r="R22" s="129"/>
      <c r="S22" s="106"/>
    </row>
    <row r="23" spans="1:19">
      <c r="H23" s="144"/>
    </row>
  </sheetData>
  <mergeCells count="1">
    <mergeCell ref="A1:R1"/>
  </mergeCells>
  <pageMargins left="0.7" right="0.7" top="0.75" bottom="0.75" header="0.3" footer="0.3"/>
  <pageSetup scale="53" fitToHeight="7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R27"/>
  <sheetViews>
    <sheetView workbookViewId="0">
      <selection activeCell="D3" sqref="D3"/>
    </sheetView>
  </sheetViews>
  <sheetFormatPr defaultRowHeight="15"/>
  <cols>
    <col min="1" max="1" width="4.7109375" customWidth="1"/>
    <col min="2" max="2" width="8.85546875" customWidth="1"/>
    <col min="3" max="3" width="28.7109375" customWidth="1"/>
    <col min="4" max="4" width="14.7109375" customWidth="1"/>
    <col min="5" max="5" width="13" customWidth="1"/>
    <col min="6" max="6" width="14.42578125" customWidth="1"/>
    <col min="8" max="8" width="12.7109375" customWidth="1"/>
    <col min="9" max="9" width="11.5703125" customWidth="1"/>
    <col min="10" max="10" width="12.5703125" customWidth="1"/>
    <col min="11" max="11" width="12.7109375" customWidth="1"/>
    <col min="12" max="12" width="13.140625" customWidth="1"/>
    <col min="13" max="13" width="13" customWidth="1"/>
    <col min="14" max="14" width="7.7109375" customWidth="1"/>
    <col min="15" max="15" width="7.5703125" customWidth="1"/>
    <col min="16" max="16" width="14.28515625" customWidth="1"/>
    <col min="17" max="17" width="15" customWidth="1"/>
  </cols>
  <sheetData>
    <row r="1" spans="1:18" ht="23.25">
      <c r="A1" s="240" t="s">
        <v>46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</row>
    <row r="2" spans="1:18" ht="21">
      <c r="A2" s="107"/>
      <c r="B2" s="107"/>
      <c r="C2" s="107"/>
      <c r="D2" s="108"/>
      <c r="E2" s="108"/>
      <c r="F2" s="108"/>
      <c r="G2" s="132" t="s">
        <v>1</v>
      </c>
      <c r="H2" s="108"/>
      <c r="I2" s="109"/>
      <c r="J2" s="107"/>
      <c r="K2" s="107"/>
      <c r="L2" s="107"/>
      <c r="M2" s="107"/>
      <c r="N2" s="110"/>
      <c r="O2" s="110"/>
      <c r="P2" s="108"/>
      <c r="Q2" s="108"/>
      <c r="R2" s="107"/>
    </row>
    <row r="3" spans="1:18" ht="131.25">
      <c r="A3" s="111" t="s">
        <v>2</v>
      </c>
      <c r="B3" s="111" t="s">
        <v>3</v>
      </c>
      <c r="C3" s="134" t="s">
        <v>4</v>
      </c>
      <c r="D3" s="134" t="s">
        <v>5</v>
      </c>
      <c r="E3" s="111" t="s">
        <v>6</v>
      </c>
      <c r="F3" s="134" t="s">
        <v>7</v>
      </c>
      <c r="G3" s="111" t="s">
        <v>8</v>
      </c>
      <c r="H3" s="134" t="s">
        <v>9</v>
      </c>
      <c r="I3" s="113" t="s">
        <v>10</v>
      </c>
      <c r="J3" s="113" t="s">
        <v>11</v>
      </c>
      <c r="K3" s="111" t="s">
        <v>6</v>
      </c>
      <c r="L3" s="114" t="s">
        <v>12</v>
      </c>
      <c r="M3" s="115" t="s">
        <v>13</v>
      </c>
      <c r="N3" s="116" t="s">
        <v>14</v>
      </c>
      <c r="O3" s="117" t="s">
        <v>15</v>
      </c>
      <c r="P3" s="112" t="s">
        <v>16</v>
      </c>
      <c r="Q3" s="112" t="s">
        <v>17</v>
      </c>
      <c r="R3" s="118" t="s">
        <v>18</v>
      </c>
    </row>
    <row r="4" spans="1:18" ht="15.75">
      <c r="A4" s="119">
        <v>1</v>
      </c>
      <c r="B4" s="119" t="s">
        <v>19</v>
      </c>
      <c r="C4" s="120" t="s">
        <v>20</v>
      </c>
      <c r="D4" s="135">
        <v>500000</v>
      </c>
      <c r="E4" s="142">
        <v>66650</v>
      </c>
      <c r="F4" s="126">
        <v>566650</v>
      </c>
      <c r="G4" s="130">
        <v>50</v>
      </c>
      <c r="H4" s="133">
        <v>11333</v>
      </c>
      <c r="I4" s="139">
        <v>1333</v>
      </c>
      <c r="J4" s="125">
        <v>10000</v>
      </c>
      <c r="K4" s="126">
        <v>66650</v>
      </c>
      <c r="L4" s="140">
        <v>13330</v>
      </c>
      <c r="M4" s="138">
        <v>53320</v>
      </c>
      <c r="N4" s="127">
        <v>10</v>
      </c>
      <c r="O4" s="128">
        <v>40</v>
      </c>
      <c r="P4" s="136">
        <v>113330</v>
      </c>
      <c r="Q4" s="122">
        <v>453320</v>
      </c>
      <c r="R4" s="129"/>
    </row>
    <row r="5" spans="1:18" ht="15.75">
      <c r="A5" s="119">
        <v>2</v>
      </c>
      <c r="B5" s="119" t="s">
        <v>19</v>
      </c>
      <c r="C5" s="129" t="s">
        <v>21</v>
      </c>
      <c r="D5" s="135">
        <v>500000</v>
      </c>
      <c r="E5" s="142">
        <v>66650</v>
      </c>
      <c r="F5" s="126">
        <v>566650</v>
      </c>
      <c r="G5" s="130">
        <v>50</v>
      </c>
      <c r="H5" s="133">
        <v>11333</v>
      </c>
      <c r="I5" s="125">
        <v>1333</v>
      </c>
      <c r="J5" s="125">
        <v>10000</v>
      </c>
      <c r="K5" s="126">
        <v>66650</v>
      </c>
      <c r="L5" s="140">
        <v>17329</v>
      </c>
      <c r="M5" s="138">
        <v>49321</v>
      </c>
      <c r="N5" s="127">
        <v>13</v>
      </c>
      <c r="O5" s="128">
        <v>37</v>
      </c>
      <c r="P5" s="136">
        <v>147329</v>
      </c>
      <c r="Q5" s="122">
        <v>419321</v>
      </c>
      <c r="R5" s="129"/>
    </row>
    <row r="6" spans="1:18" ht="15.75">
      <c r="A6" s="119">
        <v>3</v>
      </c>
      <c r="B6" s="119" t="s">
        <v>19</v>
      </c>
      <c r="C6" s="129" t="s">
        <v>23</v>
      </c>
      <c r="D6" s="135">
        <v>330000</v>
      </c>
      <c r="E6" s="142">
        <v>43989</v>
      </c>
      <c r="F6" s="126">
        <v>373989</v>
      </c>
      <c r="G6" s="130">
        <v>50</v>
      </c>
      <c r="H6" s="133">
        <v>7479.78</v>
      </c>
      <c r="I6" s="125">
        <v>879.78</v>
      </c>
      <c r="J6" s="125">
        <v>6600</v>
      </c>
      <c r="K6" s="126">
        <v>43989</v>
      </c>
      <c r="L6" s="140">
        <v>8797.7999999999993</v>
      </c>
      <c r="M6" s="138">
        <v>35191.199999999997</v>
      </c>
      <c r="N6" s="130">
        <v>10</v>
      </c>
      <c r="O6" s="128">
        <v>40</v>
      </c>
      <c r="P6" s="133">
        <v>74797.8</v>
      </c>
      <c r="Q6" s="121">
        <v>299191.2</v>
      </c>
      <c r="R6" s="129"/>
    </row>
    <row r="7" spans="1:18" ht="15.75">
      <c r="A7" s="119">
        <v>4</v>
      </c>
      <c r="B7" s="119" t="s">
        <v>19</v>
      </c>
      <c r="C7" s="129" t="s">
        <v>44</v>
      </c>
      <c r="D7" s="135">
        <v>330000</v>
      </c>
      <c r="E7" s="142">
        <v>43989</v>
      </c>
      <c r="F7" s="126">
        <v>373989</v>
      </c>
      <c r="G7" s="130">
        <v>50</v>
      </c>
      <c r="H7" s="133">
        <v>7479.78</v>
      </c>
      <c r="I7" s="125">
        <v>879.78</v>
      </c>
      <c r="J7" s="125">
        <v>6600</v>
      </c>
      <c r="K7" s="126">
        <v>43989</v>
      </c>
      <c r="L7" s="140">
        <v>1759.56</v>
      </c>
      <c r="M7" s="138">
        <v>42229.440000000002</v>
      </c>
      <c r="N7" s="130">
        <v>2</v>
      </c>
      <c r="O7" s="128">
        <v>48</v>
      </c>
      <c r="P7" s="133">
        <v>14959.56</v>
      </c>
      <c r="Q7" s="121">
        <v>359029.44</v>
      </c>
      <c r="R7" s="129"/>
    </row>
    <row r="8" spans="1:18" s="106" customFormat="1" ht="15.75">
      <c r="A8" s="119">
        <v>5</v>
      </c>
      <c r="B8" s="119" t="s">
        <v>19</v>
      </c>
      <c r="C8" s="129" t="s">
        <v>52</v>
      </c>
      <c r="D8" s="135">
        <v>330000</v>
      </c>
      <c r="E8" s="142">
        <v>43989</v>
      </c>
      <c r="F8" s="126">
        <v>373989</v>
      </c>
      <c r="G8" s="130">
        <v>50</v>
      </c>
      <c r="H8" s="133">
        <v>7479.78</v>
      </c>
      <c r="I8" s="125">
        <v>879.78</v>
      </c>
      <c r="J8" s="125">
        <v>6600</v>
      </c>
      <c r="K8" s="126">
        <v>43989</v>
      </c>
      <c r="L8" s="140">
        <v>879.78</v>
      </c>
      <c r="M8" s="138">
        <v>43109.22</v>
      </c>
      <c r="N8" s="130">
        <v>1</v>
      </c>
      <c r="O8" s="128">
        <v>49</v>
      </c>
      <c r="P8" s="133">
        <v>7479.78</v>
      </c>
      <c r="Q8" s="121">
        <v>366509.22</v>
      </c>
      <c r="R8" s="129"/>
    </row>
    <row r="9" spans="1:18" s="106" customFormat="1" ht="15.75">
      <c r="A9" s="119">
        <v>6</v>
      </c>
      <c r="B9" s="119" t="s">
        <v>19</v>
      </c>
      <c r="C9" s="129" t="s">
        <v>53</v>
      </c>
      <c r="D9" s="135">
        <v>330000</v>
      </c>
      <c r="E9" s="142">
        <v>43989</v>
      </c>
      <c r="F9" s="126">
        <v>373989</v>
      </c>
      <c r="G9" s="130">
        <v>50</v>
      </c>
      <c r="H9" s="133">
        <v>7479.78</v>
      </c>
      <c r="I9" s="125">
        <v>879.78</v>
      </c>
      <c r="J9" s="125">
        <v>6600</v>
      </c>
      <c r="K9" s="126">
        <v>43989</v>
      </c>
      <c r="L9" s="140">
        <v>879.78</v>
      </c>
      <c r="M9" s="138">
        <v>43109.22</v>
      </c>
      <c r="N9" s="130">
        <v>1</v>
      </c>
      <c r="O9" s="128">
        <v>49</v>
      </c>
      <c r="P9" s="133">
        <v>7479.78</v>
      </c>
      <c r="Q9" s="121">
        <v>366509.22</v>
      </c>
      <c r="R9" s="129"/>
    </row>
    <row r="10" spans="1:18" ht="15.75">
      <c r="A10" s="119">
        <v>7</v>
      </c>
      <c r="B10" s="119" t="s">
        <v>19</v>
      </c>
      <c r="C10" s="129" t="s">
        <v>24</v>
      </c>
      <c r="D10" s="135">
        <v>150000</v>
      </c>
      <c r="E10" s="142">
        <v>19989</v>
      </c>
      <c r="F10" s="126">
        <v>169995</v>
      </c>
      <c r="G10" s="130">
        <v>50</v>
      </c>
      <c r="H10" s="133">
        <v>3399.9</v>
      </c>
      <c r="I10" s="125">
        <v>399.78</v>
      </c>
      <c r="J10" s="125">
        <v>3000.12</v>
      </c>
      <c r="K10" s="126">
        <v>19995</v>
      </c>
      <c r="L10" s="140">
        <v>3598.02</v>
      </c>
      <c r="M10" s="138">
        <v>16396.98</v>
      </c>
      <c r="N10" s="127">
        <v>10</v>
      </c>
      <c r="O10" s="128">
        <v>40</v>
      </c>
      <c r="P10" s="136">
        <v>33999</v>
      </c>
      <c r="Q10" s="122">
        <v>135996</v>
      </c>
      <c r="R10" s="129"/>
    </row>
    <row r="11" spans="1:18" ht="15.75">
      <c r="A11" s="119">
        <v>8</v>
      </c>
      <c r="B11" s="119" t="s">
        <v>19</v>
      </c>
      <c r="C11" s="129" t="s">
        <v>25</v>
      </c>
      <c r="D11" s="135">
        <v>150000</v>
      </c>
      <c r="E11" s="142">
        <v>19995</v>
      </c>
      <c r="F11" s="126">
        <v>169995</v>
      </c>
      <c r="G11" s="130">
        <v>50</v>
      </c>
      <c r="H11" s="133">
        <v>3399.9</v>
      </c>
      <c r="I11" s="125">
        <v>399.78</v>
      </c>
      <c r="J11" s="125">
        <v>3000.12</v>
      </c>
      <c r="K11" s="126">
        <v>19995</v>
      </c>
      <c r="L11" s="140">
        <v>6796.26</v>
      </c>
      <c r="M11" s="138">
        <v>13192.74</v>
      </c>
      <c r="N11" s="131">
        <v>17</v>
      </c>
      <c r="O11" s="128">
        <v>33</v>
      </c>
      <c r="P11" s="133">
        <v>57798.3</v>
      </c>
      <c r="Q11" s="121">
        <v>112196.7</v>
      </c>
      <c r="R11" s="129"/>
    </row>
    <row r="12" spans="1:18" ht="15.75">
      <c r="A12" s="119">
        <v>9</v>
      </c>
      <c r="B12" s="119" t="s">
        <v>19</v>
      </c>
      <c r="C12" s="120" t="s">
        <v>26</v>
      </c>
      <c r="D12" s="133">
        <v>450000</v>
      </c>
      <c r="E12" s="142">
        <v>59985</v>
      </c>
      <c r="F12" s="126">
        <v>509985</v>
      </c>
      <c r="G12" s="130">
        <v>50</v>
      </c>
      <c r="H12" s="136">
        <v>10199.700000000001</v>
      </c>
      <c r="I12" s="125">
        <v>1199.7</v>
      </c>
      <c r="J12" s="125">
        <v>9000</v>
      </c>
      <c r="K12" s="126">
        <v>59985</v>
      </c>
      <c r="L12" s="140">
        <v>20394.900000000001</v>
      </c>
      <c r="M12" s="138">
        <v>39590.1</v>
      </c>
      <c r="N12" s="127">
        <v>17</v>
      </c>
      <c r="O12" s="128">
        <v>33</v>
      </c>
      <c r="P12" s="136">
        <v>173394.9</v>
      </c>
      <c r="Q12" s="122">
        <v>336590.1</v>
      </c>
      <c r="R12" s="129"/>
    </row>
    <row r="13" spans="1:18" ht="15.75">
      <c r="A13" s="119">
        <v>10</v>
      </c>
      <c r="B13" s="119" t="s">
        <v>19</v>
      </c>
      <c r="C13" s="120" t="s">
        <v>27</v>
      </c>
      <c r="D13" s="135">
        <v>450000</v>
      </c>
      <c r="E13" s="142">
        <v>59985</v>
      </c>
      <c r="F13" s="126">
        <v>509985</v>
      </c>
      <c r="G13" s="130">
        <v>50</v>
      </c>
      <c r="H13" s="133">
        <v>10199.700000000001</v>
      </c>
      <c r="I13" s="125">
        <v>1199.7</v>
      </c>
      <c r="J13" s="125">
        <v>9000</v>
      </c>
      <c r="K13" s="126">
        <v>59985</v>
      </c>
      <c r="L13" s="140">
        <v>52786.9</v>
      </c>
      <c r="M13" s="138">
        <v>7198.2</v>
      </c>
      <c r="N13" s="127">
        <v>44</v>
      </c>
      <c r="O13" s="128">
        <v>6</v>
      </c>
      <c r="P13" s="136">
        <v>448786.8</v>
      </c>
      <c r="Q13" s="122">
        <v>61198.2</v>
      </c>
      <c r="R13" s="129"/>
    </row>
    <row r="14" spans="1:18" ht="15.75">
      <c r="A14" s="119">
        <v>11</v>
      </c>
      <c r="B14" s="119" t="s">
        <v>19</v>
      </c>
      <c r="C14" s="129" t="s">
        <v>28</v>
      </c>
      <c r="D14" s="135">
        <v>500000</v>
      </c>
      <c r="E14" s="142">
        <v>66650</v>
      </c>
      <c r="F14" s="126">
        <v>566650</v>
      </c>
      <c r="G14" s="130">
        <v>50</v>
      </c>
      <c r="H14" s="133">
        <v>11333</v>
      </c>
      <c r="I14" s="125">
        <v>1333</v>
      </c>
      <c r="J14" s="125">
        <v>10000</v>
      </c>
      <c r="K14" s="126">
        <v>66650</v>
      </c>
      <c r="L14" s="140">
        <v>50654</v>
      </c>
      <c r="M14" s="138">
        <v>15996</v>
      </c>
      <c r="N14" s="127">
        <v>38</v>
      </c>
      <c r="O14" s="128">
        <v>12</v>
      </c>
      <c r="P14" s="136">
        <v>430654</v>
      </c>
      <c r="Q14" s="122">
        <v>135996</v>
      </c>
      <c r="R14" s="129"/>
    </row>
    <row r="15" spans="1:18" ht="15.75">
      <c r="A15" s="119">
        <v>12</v>
      </c>
      <c r="B15" s="119" t="s">
        <v>19</v>
      </c>
      <c r="C15" s="129" t="s">
        <v>29</v>
      </c>
      <c r="D15" s="135">
        <v>330000</v>
      </c>
      <c r="E15" s="142">
        <v>43989</v>
      </c>
      <c r="F15" s="126">
        <v>373989</v>
      </c>
      <c r="G15" s="130">
        <v>50</v>
      </c>
      <c r="H15" s="133">
        <v>7479</v>
      </c>
      <c r="I15" s="125">
        <v>879.78</v>
      </c>
      <c r="J15" s="125">
        <v>6600</v>
      </c>
      <c r="K15" s="126">
        <v>43989</v>
      </c>
      <c r="L15" s="140">
        <v>33431.64</v>
      </c>
      <c r="M15" s="138">
        <v>10557.36</v>
      </c>
      <c r="N15" s="131">
        <v>38</v>
      </c>
      <c r="O15" s="128">
        <v>12</v>
      </c>
      <c r="P15" s="133">
        <v>284231.64</v>
      </c>
      <c r="Q15" s="123">
        <v>89757.36</v>
      </c>
      <c r="R15" s="129"/>
    </row>
    <row r="16" spans="1:18" ht="15.75">
      <c r="A16" s="119">
        <v>13</v>
      </c>
      <c r="B16" s="119" t="s">
        <v>19</v>
      </c>
      <c r="C16" s="129" t="s">
        <v>30</v>
      </c>
      <c r="D16" s="135">
        <v>150000</v>
      </c>
      <c r="E16" s="142">
        <v>19995</v>
      </c>
      <c r="F16" s="126">
        <v>169995</v>
      </c>
      <c r="G16" s="130">
        <v>50</v>
      </c>
      <c r="H16" s="133">
        <v>3399.9</v>
      </c>
      <c r="I16" s="125">
        <v>399.78</v>
      </c>
      <c r="J16" s="125">
        <v>3000.12</v>
      </c>
      <c r="K16" s="126">
        <v>19995</v>
      </c>
      <c r="L16" s="140">
        <v>3598.02</v>
      </c>
      <c r="M16" s="138">
        <v>16390.98</v>
      </c>
      <c r="N16" s="131">
        <v>9</v>
      </c>
      <c r="O16" s="128">
        <v>41</v>
      </c>
      <c r="P16" s="133">
        <v>30599.1</v>
      </c>
      <c r="Q16" s="121">
        <v>139395.9</v>
      </c>
      <c r="R16" s="129"/>
    </row>
    <row r="17" spans="1:18" ht="15.75">
      <c r="A17" s="119">
        <v>14</v>
      </c>
      <c r="B17" s="119" t="s">
        <v>19</v>
      </c>
      <c r="C17" s="129" t="s">
        <v>43</v>
      </c>
      <c r="D17" s="135">
        <v>150000</v>
      </c>
      <c r="E17" s="142">
        <v>19995</v>
      </c>
      <c r="F17" s="126">
        <v>169995</v>
      </c>
      <c r="G17" s="130">
        <v>50</v>
      </c>
      <c r="H17" s="133">
        <v>3399.9</v>
      </c>
      <c r="I17" s="125">
        <v>399.78</v>
      </c>
      <c r="J17" s="125">
        <v>3000.12</v>
      </c>
      <c r="K17" s="126">
        <v>19995</v>
      </c>
      <c r="L17" s="140">
        <v>799.56</v>
      </c>
      <c r="M17" s="138">
        <v>19189.439999999999</v>
      </c>
      <c r="N17" s="131">
        <v>2</v>
      </c>
      <c r="O17" s="128">
        <v>48</v>
      </c>
      <c r="P17" s="133">
        <v>6799.8</v>
      </c>
      <c r="Q17" s="121">
        <v>163195.20000000001</v>
      </c>
      <c r="R17" s="129"/>
    </row>
    <row r="18" spans="1:18" ht="63">
      <c r="A18" s="119">
        <v>15</v>
      </c>
      <c r="B18" s="119" t="s">
        <v>19</v>
      </c>
      <c r="C18" s="129" t="s">
        <v>58</v>
      </c>
      <c r="D18" s="135">
        <v>150000</v>
      </c>
      <c r="E18" s="142">
        <v>19995</v>
      </c>
      <c r="F18" s="126">
        <v>169995</v>
      </c>
      <c r="G18" s="130">
        <v>50</v>
      </c>
      <c r="H18" s="133">
        <v>3399.9</v>
      </c>
      <c r="I18" s="125">
        <v>399.78</v>
      </c>
      <c r="J18" s="125">
        <v>3000.12</v>
      </c>
      <c r="K18" s="126">
        <v>19995</v>
      </c>
      <c r="L18" s="140">
        <v>7595.82</v>
      </c>
      <c r="M18" s="138">
        <v>12393.18</v>
      </c>
      <c r="N18" s="131">
        <v>19</v>
      </c>
      <c r="O18" s="128">
        <v>31</v>
      </c>
      <c r="P18" s="133">
        <v>64598.1</v>
      </c>
      <c r="Q18" s="123">
        <v>105396.9</v>
      </c>
      <c r="R18" s="148" t="s">
        <v>61</v>
      </c>
    </row>
    <row r="19" spans="1:18" ht="15.75">
      <c r="A19" s="119">
        <v>16</v>
      </c>
      <c r="B19" s="119" t="s">
        <v>19</v>
      </c>
      <c r="C19" s="129" t="s">
        <v>32</v>
      </c>
      <c r="D19" s="135">
        <v>150000</v>
      </c>
      <c r="E19" s="142">
        <v>19995</v>
      </c>
      <c r="F19" s="126">
        <v>169995</v>
      </c>
      <c r="G19" s="130">
        <v>50</v>
      </c>
      <c r="H19" s="133">
        <v>3399.9</v>
      </c>
      <c r="I19" s="125">
        <v>399.78</v>
      </c>
      <c r="J19" s="125">
        <v>3000.12</v>
      </c>
      <c r="K19" s="126">
        <v>19995</v>
      </c>
      <c r="L19" s="140">
        <v>15191.64</v>
      </c>
      <c r="M19" s="138">
        <v>4797.3599999999997</v>
      </c>
      <c r="N19" s="131">
        <v>38</v>
      </c>
      <c r="O19" s="128">
        <v>12</v>
      </c>
      <c r="P19" s="133">
        <v>129196.2</v>
      </c>
      <c r="Q19" s="123">
        <v>40798.800000000003</v>
      </c>
      <c r="R19" s="129"/>
    </row>
    <row r="20" spans="1:18" ht="15.75">
      <c r="A20" s="119">
        <v>17</v>
      </c>
      <c r="B20" s="119" t="s">
        <v>19</v>
      </c>
      <c r="C20" s="129" t="s">
        <v>33</v>
      </c>
      <c r="D20" s="133">
        <v>150000</v>
      </c>
      <c r="E20" s="142">
        <v>19995</v>
      </c>
      <c r="F20" s="126">
        <v>169995</v>
      </c>
      <c r="G20" s="130">
        <v>50</v>
      </c>
      <c r="H20" s="133">
        <v>3399.9</v>
      </c>
      <c r="I20" s="125">
        <v>399.78</v>
      </c>
      <c r="J20" s="125">
        <v>3000.12</v>
      </c>
      <c r="K20" s="126">
        <v>19995</v>
      </c>
      <c r="L20" s="140">
        <v>15191.64</v>
      </c>
      <c r="M20" s="138">
        <v>4797.3599999999997</v>
      </c>
      <c r="N20" s="131">
        <v>38</v>
      </c>
      <c r="O20" s="128">
        <v>12</v>
      </c>
      <c r="P20" s="133">
        <v>129196.2</v>
      </c>
      <c r="Q20" s="123">
        <v>40798.800000000003</v>
      </c>
      <c r="R20" s="129"/>
    </row>
    <row r="21" spans="1:18" ht="15.75">
      <c r="A21" s="119">
        <v>18</v>
      </c>
      <c r="B21" s="119" t="s">
        <v>19</v>
      </c>
      <c r="C21" s="120" t="s">
        <v>34</v>
      </c>
      <c r="D21" s="135">
        <v>150000</v>
      </c>
      <c r="E21" s="142">
        <v>19995</v>
      </c>
      <c r="F21" s="126">
        <v>169995</v>
      </c>
      <c r="G21" s="130">
        <v>50</v>
      </c>
      <c r="H21" s="133">
        <v>3399.9</v>
      </c>
      <c r="I21" s="125">
        <v>399.78</v>
      </c>
      <c r="J21" s="125">
        <v>3000.12</v>
      </c>
      <c r="K21" s="126">
        <v>19995</v>
      </c>
      <c r="L21" s="140">
        <v>15191.64</v>
      </c>
      <c r="M21" s="138">
        <v>4797.3599999999997</v>
      </c>
      <c r="N21" s="131">
        <v>38</v>
      </c>
      <c r="O21" s="128">
        <v>12</v>
      </c>
      <c r="P21" s="133">
        <v>129196.2</v>
      </c>
      <c r="Q21" s="123">
        <v>40798.800000000003</v>
      </c>
      <c r="R21" s="129"/>
    </row>
    <row r="22" spans="1:18" ht="15.75">
      <c r="A22" s="119">
        <v>19</v>
      </c>
      <c r="B22" s="119" t="s">
        <v>19</v>
      </c>
      <c r="C22" s="129" t="s">
        <v>35</v>
      </c>
      <c r="D22" s="135">
        <v>150000</v>
      </c>
      <c r="E22" s="142">
        <v>19995</v>
      </c>
      <c r="F22" s="126">
        <v>169995</v>
      </c>
      <c r="G22" s="130">
        <v>50</v>
      </c>
      <c r="H22" s="133">
        <v>3399.9</v>
      </c>
      <c r="I22" s="125">
        <v>399.78</v>
      </c>
      <c r="J22" s="125">
        <v>3000.12</v>
      </c>
      <c r="K22" s="126">
        <v>19995</v>
      </c>
      <c r="L22" s="140">
        <v>15191.64</v>
      </c>
      <c r="M22" s="138">
        <v>4797.3599999999997</v>
      </c>
      <c r="N22" s="131">
        <v>38</v>
      </c>
      <c r="O22" s="128">
        <v>12</v>
      </c>
      <c r="P22" s="133">
        <v>129196.2</v>
      </c>
      <c r="Q22" s="123">
        <v>40798.800000000003</v>
      </c>
      <c r="R22" s="129"/>
    </row>
    <row r="23" spans="1:18" ht="15.75">
      <c r="A23" s="119">
        <v>20</v>
      </c>
      <c r="B23" s="119" t="s">
        <v>19</v>
      </c>
      <c r="C23" s="129" t="s">
        <v>36</v>
      </c>
      <c r="D23" s="135">
        <v>150000</v>
      </c>
      <c r="E23" s="142">
        <v>19995</v>
      </c>
      <c r="F23" s="126">
        <v>169995</v>
      </c>
      <c r="G23" s="130">
        <v>50</v>
      </c>
      <c r="H23" s="133">
        <v>3399.9</v>
      </c>
      <c r="I23" s="125">
        <v>399.78</v>
      </c>
      <c r="J23" s="125">
        <v>3000.12</v>
      </c>
      <c r="K23" s="126">
        <v>19995</v>
      </c>
      <c r="L23" s="140">
        <v>15191.64</v>
      </c>
      <c r="M23" s="138">
        <v>4797.3599999999997</v>
      </c>
      <c r="N23" s="131">
        <v>38</v>
      </c>
      <c r="O23" s="128">
        <v>12</v>
      </c>
      <c r="P23" s="133">
        <v>129196.2</v>
      </c>
      <c r="Q23" s="123">
        <v>40798.800000000003</v>
      </c>
      <c r="R23" s="129"/>
    </row>
    <row r="24" spans="1:18" s="106" customFormat="1" ht="63">
      <c r="A24" s="119">
        <v>21</v>
      </c>
      <c r="B24" s="119" t="s">
        <v>19</v>
      </c>
      <c r="C24" s="129" t="s">
        <v>59</v>
      </c>
      <c r="D24" s="135">
        <v>330000</v>
      </c>
      <c r="E24" s="142">
        <v>43989</v>
      </c>
      <c r="F24" s="126">
        <v>373989</v>
      </c>
      <c r="G24" s="130">
        <v>50</v>
      </c>
      <c r="H24" s="133">
        <v>7479.78</v>
      </c>
      <c r="I24" s="125">
        <v>879.78</v>
      </c>
      <c r="J24" s="125">
        <v>6600</v>
      </c>
      <c r="K24" s="126">
        <v>43989</v>
      </c>
      <c r="L24" s="140">
        <v>29912.52</v>
      </c>
      <c r="M24" s="138">
        <v>14076.48</v>
      </c>
      <c r="N24" s="131">
        <v>34</v>
      </c>
      <c r="O24" s="147" t="s">
        <v>60</v>
      </c>
      <c r="P24" s="133">
        <v>254312.52</v>
      </c>
      <c r="Q24" s="123">
        <v>119676.48</v>
      </c>
      <c r="R24" s="148" t="s">
        <v>61</v>
      </c>
    </row>
    <row r="25" spans="1:18" ht="15.75">
      <c r="A25" s="119"/>
      <c r="B25" s="119"/>
      <c r="C25" s="120" t="s">
        <v>37</v>
      </c>
      <c r="D25" s="133">
        <f>SUM(D4:D24)</f>
        <v>5880000</v>
      </c>
      <c r="E25" s="142">
        <f>SUM(E4:E24)</f>
        <v>783798</v>
      </c>
      <c r="F25" s="133">
        <f>SUM(F4:F24)</f>
        <v>6663804</v>
      </c>
      <c r="G25" s="124"/>
      <c r="H25" s="133">
        <f t="shared" ref="H25:M25" si="0">SUM(H4:H24)</f>
        <v>133275.29999999996</v>
      </c>
      <c r="I25" s="125">
        <f t="shared" si="0"/>
        <v>15674.880000000005</v>
      </c>
      <c r="J25" s="125">
        <f t="shared" si="0"/>
        <v>117601.19999999997</v>
      </c>
      <c r="K25" s="126">
        <f t="shared" si="0"/>
        <v>783804</v>
      </c>
      <c r="L25" s="137">
        <f t="shared" si="0"/>
        <v>328501.76000000007</v>
      </c>
      <c r="M25" s="138">
        <f t="shared" si="0"/>
        <v>455248.33999999985</v>
      </c>
      <c r="N25" s="131"/>
      <c r="O25" s="128"/>
      <c r="P25" s="123">
        <f>SUM(P4:P24)</f>
        <v>2796531.080000001</v>
      </c>
      <c r="Q25" s="123">
        <f>SUM(Q4:Q24)</f>
        <v>3867272.9199999995</v>
      </c>
      <c r="R25" s="129"/>
    </row>
    <row r="26" spans="1:18">
      <c r="A26" s="106"/>
      <c r="B26" s="106"/>
      <c r="C26" s="106"/>
      <c r="D26" s="106"/>
      <c r="E26" s="106"/>
      <c r="F26" s="106"/>
      <c r="G26" s="106"/>
      <c r="H26" s="144"/>
      <c r="I26" s="106"/>
      <c r="J26" s="106"/>
      <c r="K26" s="106"/>
      <c r="L26" s="106"/>
      <c r="M26" s="106"/>
      <c r="N26" s="106"/>
      <c r="O26" s="106"/>
      <c r="P26" s="106"/>
      <c r="Q26" s="106"/>
      <c r="R26" s="106"/>
    </row>
    <row r="27" spans="1:18" s="106" customFormat="1">
      <c r="H27" s="144"/>
    </row>
  </sheetData>
  <mergeCells count="1">
    <mergeCell ref="A1:R1"/>
  </mergeCells>
  <pageMargins left="0.26" right="0.27" top="0.75" bottom="0.75" header="0.3" footer="0.3"/>
  <pageSetup paperSize="9" scale="63" fitToHeight="4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25"/>
  <sheetViews>
    <sheetView topLeftCell="H11" workbookViewId="0">
      <selection activeCell="J27" sqref="J27"/>
    </sheetView>
  </sheetViews>
  <sheetFormatPr defaultRowHeight="15"/>
  <cols>
    <col min="1" max="1" width="5.5703125" bestFit="1" customWidth="1"/>
    <col min="3" max="3" width="27.85546875" customWidth="1"/>
    <col min="4" max="4" width="15" customWidth="1"/>
    <col min="5" max="5" width="12.5703125" customWidth="1"/>
    <col min="6" max="6" width="14.85546875" customWidth="1"/>
    <col min="8" max="8" width="14" customWidth="1"/>
    <col min="9" max="9" width="12.140625" customWidth="1"/>
    <col min="10" max="10" width="13" customWidth="1"/>
    <col min="11" max="11" width="13.7109375" customWidth="1"/>
    <col min="12" max="12" width="12.5703125" customWidth="1"/>
    <col min="13" max="13" width="13.42578125" customWidth="1"/>
    <col min="16" max="16" width="15.28515625" customWidth="1"/>
    <col min="17" max="17" width="14.7109375" customWidth="1"/>
  </cols>
  <sheetData>
    <row r="1" spans="1:18" ht="23.25">
      <c r="A1" s="240" t="s">
        <v>47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</row>
    <row r="2" spans="1:18" ht="21">
      <c r="A2" s="107"/>
      <c r="B2" s="107"/>
      <c r="C2" s="107"/>
      <c r="D2" s="108"/>
      <c r="E2" s="108"/>
      <c r="F2" s="108"/>
      <c r="G2" s="132" t="s">
        <v>1</v>
      </c>
      <c r="H2" s="108"/>
      <c r="I2" s="109"/>
      <c r="J2" s="107"/>
      <c r="K2" s="107"/>
      <c r="L2" s="107"/>
      <c r="M2" s="107"/>
      <c r="N2" s="110"/>
      <c r="O2" s="110"/>
      <c r="P2" s="108"/>
      <c r="Q2" s="108"/>
      <c r="R2" s="107"/>
    </row>
    <row r="3" spans="1:18" ht="93.75">
      <c r="A3" s="111" t="s">
        <v>2</v>
      </c>
      <c r="B3" s="111" t="s">
        <v>3</v>
      </c>
      <c r="C3" s="134" t="s">
        <v>4</v>
      </c>
      <c r="D3" s="134" t="s">
        <v>5</v>
      </c>
      <c r="E3" s="111" t="s">
        <v>6</v>
      </c>
      <c r="F3" s="134" t="s">
        <v>7</v>
      </c>
      <c r="G3" s="111" t="s">
        <v>8</v>
      </c>
      <c r="H3" s="134" t="s">
        <v>9</v>
      </c>
      <c r="I3" s="113" t="s">
        <v>10</v>
      </c>
      <c r="J3" s="113" t="s">
        <v>11</v>
      </c>
      <c r="K3" s="111" t="s">
        <v>6</v>
      </c>
      <c r="L3" s="114" t="s">
        <v>12</v>
      </c>
      <c r="M3" s="115" t="s">
        <v>13</v>
      </c>
      <c r="N3" s="116" t="s">
        <v>14</v>
      </c>
      <c r="O3" s="117" t="s">
        <v>15</v>
      </c>
      <c r="P3" s="112" t="s">
        <v>16</v>
      </c>
      <c r="Q3" s="112" t="s">
        <v>17</v>
      </c>
      <c r="R3" s="118" t="s">
        <v>18</v>
      </c>
    </row>
    <row r="4" spans="1:18" ht="15.75">
      <c r="A4" s="119">
        <v>1</v>
      </c>
      <c r="B4" s="119" t="s">
        <v>19</v>
      </c>
      <c r="C4" s="120" t="s">
        <v>20</v>
      </c>
      <c r="D4" s="135">
        <v>500000</v>
      </c>
      <c r="E4" s="142">
        <v>66650</v>
      </c>
      <c r="F4" s="126">
        <v>566650</v>
      </c>
      <c r="G4" s="130">
        <v>50</v>
      </c>
      <c r="H4" s="133">
        <v>11333</v>
      </c>
      <c r="I4" s="139">
        <v>1333</v>
      </c>
      <c r="J4" s="125">
        <v>10000</v>
      </c>
      <c r="K4" s="126">
        <v>66650</v>
      </c>
      <c r="L4" s="140">
        <v>14663</v>
      </c>
      <c r="M4" s="138">
        <v>51987</v>
      </c>
      <c r="N4" s="127">
        <v>11</v>
      </c>
      <c r="O4" s="128">
        <v>39</v>
      </c>
      <c r="P4" s="136">
        <v>124663</v>
      </c>
      <c r="Q4" s="122">
        <v>441987</v>
      </c>
      <c r="R4" s="129"/>
    </row>
    <row r="5" spans="1:18" ht="15.75">
      <c r="A5" s="119">
        <v>2</v>
      </c>
      <c r="B5" s="119" t="s">
        <v>19</v>
      </c>
      <c r="C5" s="129" t="s">
        <v>21</v>
      </c>
      <c r="D5" s="135">
        <v>500000</v>
      </c>
      <c r="E5" s="142">
        <v>66650</v>
      </c>
      <c r="F5" s="126">
        <v>566650</v>
      </c>
      <c r="G5" s="130">
        <v>50</v>
      </c>
      <c r="H5" s="133">
        <v>11333</v>
      </c>
      <c r="I5" s="125">
        <v>1333</v>
      </c>
      <c r="J5" s="125">
        <v>10000</v>
      </c>
      <c r="K5" s="126">
        <v>66650</v>
      </c>
      <c r="L5" s="140">
        <v>18662</v>
      </c>
      <c r="M5" s="138">
        <v>47988</v>
      </c>
      <c r="N5" s="127">
        <v>14</v>
      </c>
      <c r="O5" s="128">
        <v>36</v>
      </c>
      <c r="P5" s="136">
        <v>158662</v>
      </c>
      <c r="Q5" s="122">
        <v>407988</v>
      </c>
      <c r="R5" s="129"/>
    </row>
    <row r="6" spans="1:18" ht="15.75">
      <c r="A6" s="119">
        <v>3</v>
      </c>
      <c r="B6" s="119" t="s">
        <v>19</v>
      </c>
      <c r="C6" s="129" t="s">
        <v>23</v>
      </c>
      <c r="D6" s="135">
        <v>330000</v>
      </c>
      <c r="E6" s="142">
        <v>43989</v>
      </c>
      <c r="F6" s="126">
        <v>373989</v>
      </c>
      <c r="G6" s="130">
        <v>50</v>
      </c>
      <c r="H6" s="133">
        <v>7479.78</v>
      </c>
      <c r="I6" s="125">
        <v>879.78</v>
      </c>
      <c r="J6" s="125">
        <v>6600</v>
      </c>
      <c r="K6" s="126">
        <v>43989</v>
      </c>
      <c r="L6" s="140">
        <v>9677.58</v>
      </c>
      <c r="M6" s="138">
        <v>34311.42</v>
      </c>
      <c r="N6" s="130">
        <v>11</v>
      </c>
      <c r="O6" s="128">
        <v>39</v>
      </c>
      <c r="P6" s="133">
        <v>82272.58</v>
      </c>
      <c r="Q6" s="121">
        <v>291711.42</v>
      </c>
      <c r="R6" s="129"/>
    </row>
    <row r="7" spans="1:18" ht="15.75">
      <c r="A7" s="119">
        <v>4</v>
      </c>
      <c r="B7" s="119" t="s">
        <v>19</v>
      </c>
      <c r="C7" s="129" t="s">
        <v>44</v>
      </c>
      <c r="D7" s="135">
        <v>330000</v>
      </c>
      <c r="E7" s="142">
        <v>43989</v>
      </c>
      <c r="F7" s="126">
        <v>373989</v>
      </c>
      <c r="G7" s="130">
        <v>50</v>
      </c>
      <c r="H7" s="133">
        <v>7479.78</v>
      </c>
      <c r="I7" s="125">
        <v>879.78</v>
      </c>
      <c r="J7" s="125">
        <v>6600</v>
      </c>
      <c r="K7" s="126">
        <v>43989</v>
      </c>
      <c r="L7" s="140">
        <v>2639.34</v>
      </c>
      <c r="M7" s="138">
        <v>41349.660000000003</v>
      </c>
      <c r="N7" s="130">
        <v>3</v>
      </c>
      <c r="O7" s="128">
        <v>47</v>
      </c>
      <c r="P7" s="133">
        <v>22439.34</v>
      </c>
      <c r="Q7" s="121">
        <v>351549.66</v>
      </c>
      <c r="R7" s="129"/>
    </row>
    <row r="8" spans="1:18" s="106" customFormat="1" ht="15.75">
      <c r="A8" s="119">
        <v>5</v>
      </c>
      <c r="B8" s="119" t="s">
        <v>19</v>
      </c>
      <c r="C8" s="129" t="s">
        <v>52</v>
      </c>
      <c r="D8" s="135">
        <v>330000</v>
      </c>
      <c r="E8" s="142">
        <v>43989</v>
      </c>
      <c r="F8" s="126">
        <v>373989</v>
      </c>
      <c r="G8" s="130">
        <v>50</v>
      </c>
      <c r="H8" s="133">
        <v>7479.78</v>
      </c>
      <c r="I8" s="125">
        <v>879.78</v>
      </c>
      <c r="J8" s="125">
        <v>6600</v>
      </c>
      <c r="K8" s="126">
        <v>43989</v>
      </c>
      <c r="L8" s="140">
        <v>1759.56</v>
      </c>
      <c r="M8" s="138">
        <v>42229.440000000002</v>
      </c>
      <c r="N8" s="130">
        <v>2</v>
      </c>
      <c r="O8" s="128">
        <v>48</v>
      </c>
      <c r="P8" s="133">
        <v>14959.56</v>
      </c>
      <c r="Q8" s="121">
        <v>359029.44</v>
      </c>
      <c r="R8" s="129"/>
    </row>
    <row r="9" spans="1:18" s="106" customFormat="1" ht="15.75">
      <c r="A9" s="119">
        <v>6</v>
      </c>
      <c r="B9" s="119" t="s">
        <v>19</v>
      </c>
      <c r="C9" s="129" t="s">
        <v>54</v>
      </c>
      <c r="D9" s="135">
        <v>330000</v>
      </c>
      <c r="E9" s="142">
        <v>43989</v>
      </c>
      <c r="F9" s="126">
        <v>373989</v>
      </c>
      <c r="G9" s="130">
        <v>50</v>
      </c>
      <c r="H9" s="133">
        <v>7479.78</v>
      </c>
      <c r="I9" s="125">
        <v>879.78</v>
      </c>
      <c r="J9" s="125">
        <v>6600</v>
      </c>
      <c r="K9" s="126">
        <v>43989</v>
      </c>
      <c r="L9" s="140">
        <v>1759.56</v>
      </c>
      <c r="M9" s="138">
        <v>42229.440000000002</v>
      </c>
      <c r="N9" s="130">
        <v>2</v>
      </c>
      <c r="O9" s="128">
        <v>48</v>
      </c>
      <c r="P9" s="133">
        <v>14959.56</v>
      </c>
      <c r="Q9" s="121">
        <v>359029.44</v>
      </c>
      <c r="R9" s="129"/>
    </row>
    <row r="10" spans="1:18" ht="15.75">
      <c r="A10" s="119">
        <v>7</v>
      </c>
      <c r="B10" s="119" t="s">
        <v>19</v>
      </c>
      <c r="C10" s="129" t="s">
        <v>24</v>
      </c>
      <c r="D10" s="135">
        <v>150000</v>
      </c>
      <c r="E10" s="142">
        <v>19989</v>
      </c>
      <c r="F10" s="126">
        <v>169995</v>
      </c>
      <c r="G10" s="130">
        <v>50</v>
      </c>
      <c r="H10" s="133">
        <v>3399.9</v>
      </c>
      <c r="I10" s="125">
        <v>399.78</v>
      </c>
      <c r="J10" s="125">
        <v>3000.12</v>
      </c>
      <c r="K10" s="126">
        <v>19995</v>
      </c>
      <c r="L10" s="140">
        <v>4397.58</v>
      </c>
      <c r="M10" s="138">
        <v>15591.42</v>
      </c>
      <c r="N10" s="127">
        <v>11</v>
      </c>
      <c r="O10" s="128">
        <v>39</v>
      </c>
      <c r="P10" s="136">
        <v>37398.9</v>
      </c>
      <c r="Q10" s="122">
        <v>132596.1</v>
      </c>
      <c r="R10" s="129"/>
    </row>
    <row r="11" spans="1:18" ht="15.75">
      <c r="A11" s="119">
        <v>8</v>
      </c>
      <c r="B11" s="119" t="s">
        <v>19</v>
      </c>
      <c r="C11" s="129" t="s">
        <v>25</v>
      </c>
      <c r="D11" s="135">
        <v>150000</v>
      </c>
      <c r="E11" s="142">
        <v>19995</v>
      </c>
      <c r="F11" s="126">
        <v>169995</v>
      </c>
      <c r="G11" s="130">
        <v>50</v>
      </c>
      <c r="H11" s="133">
        <v>3399.9</v>
      </c>
      <c r="I11" s="125">
        <v>399.78</v>
      </c>
      <c r="J11" s="125">
        <v>3000.12</v>
      </c>
      <c r="K11" s="126">
        <v>19995</v>
      </c>
      <c r="L11" s="140">
        <v>7196.04</v>
      </c>
      <c r="M11" s="138">
        <v>12798.96</v>
      </c>
      <c r="N11" s="131">
        <v>18</v>
      </c>
      <c r="O11" s="128">
        <v>32</v>
      </c>
      <c r="P11" s="133">
        <v>61198.2</v>
      </c>
      <c r="Q11" s="121">
        <v>108796.8</v>
      </c>
      <c r="R11" s="129"/>
    </row>
    <row r="12" spans="1:18" ht="15.75">
      <c r="A12" s="119">
        <v>9</v>
      </c>
      <c r="B12" s="119" t="s">
        <v>19</v>
      </c>
      <c r="C12" s="120" t="s">
        <v>26</v>
      </c>
      <c r="D12" s="133">
        <v>450000</v>
      </c>
      <c r="E12" s="142">
        <v>59985</v>
      </c>
      <c r="F12" s="126">
        <v>509985</v>
      </c>
      <c r="G12" s="130">
        <v>50</v>
      </c>
      <c r="H12" s="136">
        <v>10199.700000000001</v>
      </c>
      <c r="I12" s="125">
        <v>1199.7</v>
      </c>
      <c r="J12" s="125">
        <v>9000</v>
      </c>
      <c r="K12" s="126">
        <v>59985</v>
      </c>
      <c r="L12" s="140">
        <v>21594.6</v>
      </c>
      <c r="M12" s="138">
        <v>38390.400000000001</v>
      </c>
      <c r="N12" s="127">
        <v>18</v>
      </c>
      <c r="O12" s="128">
        <v>32</v>
      </c>
      <c r="P12" s="136">
        <v>183594.6</v>
      </c>
      <c r="Q12" s="122">
        <v>326390.40000000002</v>
      </c>
      <c r="R12" s="129"/>
    </row>
    <row r="13" spans="1:18" ht="15.75">
      <c r="A13" s="119">
        <v>10</v>
      </c>
      <c r="B13" s="119" t="s">
        <v>19</v>
      </c>
      <c r="C13" s="120" t="s">
        <v>27</v>
      </c>
      <c r="D13" s="135">
        <v>450000</v>
      </c>
      <c r="E13" s="142">
        <v>59985</v>
      </c>
      <c r="F13" s="126">
        <v>509985</v>
      </c>
      <c r="G13" s="130">
        <v>50</v>
      </c>
      <c r="H13" s="133">
        <v>10199.700000000001</v>
      </c>
      <c r="I13" s="125">
        <v>1199.7</v>
      </c>
      <c r="J13" s="125">
        <v>9000</v>
      </c>
      <c r="K13" s="126">
        <v>59985</v>
      </c>
      <c r="L13" s="140">
        <v>53986.5</v>
      </c>
      <c r="M13" s="138">
        <v>5998.5</v>
      </c>
      <c r="N13" s="127">
        <v>45</v>
      </c>
      <c r="O13" s="128">
        <v>5</v>
      </c>
      <c r="P13" s="136">
        <v>458986.5</v>
      </c>
      <c r="Q13" s="122">
        <v>50998.5</v>
      </c>
      <c r="R13" s="129"/>
    </row>
    <row r="14" spans="1:18" ht="15.75">
      <c r="A14" s="119">
        <v>11</v>
      </c>
      <c r="B14" s="119" t="s">
        <v>19</v>
      </c>
      <c r="C14" s="129" t="s">
        <v>28</v>
      </c>
      <c r="D14" s="135">
        <v>500000</v>
      </c>
      <c r="E14" s="142">
        <v>66650</v>
      </c>
      <c r="F14" s="126">
        <v>566650</v>
      </c>
      <c r="G14" s="130">
        <v>50</v>
      </c>
      <c r="H14" s="133">
        <v>11333</v>
      </c>
      <c r="I14" s="125">
        <v>1333</v>
      </c>
      <c r="J14" s="125">
        <v>10000</v>
      </c>
      <c r="K14" s="126">
        <v>66650</v>
      </c>
      <c r="L14" s="140">
        <v>51987</v>
      </c>
      <c r="M14" s="138">
        <v>14663</v>
      </c>
      <c r="N14" s="127">
        <v>39</v>
      </c>
      <c r="O14" s="128">
        <v>11</v>
      </c>
      <c r="P14" s="136">
        <v>441987</v>
      </c>
      <c r="Q14" s="122">
        <v>124663</v>
      </c>
      <c r="R14" s="129"/>
    </row>
    <row r="15" spans="1:18" ht="15.75">
      <c r="A15" s="119">
        <v>12</v>
      </c>
      <c r="B15" s="119" t="s">
        <v>19</v>
      </c>
      <c r="C15" s="129" t="s">
        <v>29</v>
      </c>
      <c r="D15" s="135">
        <v>330000</v>
      </c>
      <c r="E15" s="142">
        <v>43989</v>
      </c>
      <c r="F15" s="126">
        <v>373989</v>
      </c>
      <c r="G15" s="130">
        <v>50</v>
      </c>
      <c r="H15" s="133">
        <v>7479</v>
      </c>
      <c r="I15" s="125">
        <v>879.78</v>
      </c>
      <c r="J15" s="125">
        <v>6600</v>
      </c>
      <c r="K15" s="126">
        <v>43989</v>
      </c>
      <c r="L15" s="140">
        <v>34311.42</v>
      </c>
      <c r="M15" s="138">
        <v>9677.58</v>
      </c>
      <c r="N15" s="131">
        <v>39</v>
      </c>
      <c r="O15" s="128">
        <v>11</v>
      </c>
      <c r="P15" s="133">
        <v>291711.42</v>
      </c>
      <c r="Q15" s="123">
        <v>82277.58</v>
      </c>
      <c r="R15" s="129"/>
    </row>
    <row r="16" spans="1:18" ht="15.75">
      <c r="A16" s="119">
        <v>13</v>
      </c>
      <c r="B16" s="119" t="s">
        <v>19</v>
      </c>
      <c r="C16" s="129" t="s">
        <v>30</v>
      </c>
      <c r="D16" s="135">
        <v>150000</v>
      </c>
      <c r="E16" s="142">
        <v>19995</v>
      </c>
      <c r="F16" s="126">
        <v>169995</v>
      </c>
      <c r="G16" s="130">
        <v>50</v>
      </c>
      <c r="H16" s="133">
        <v>3399.9</v>
      </c>
      <c r="I16" s="125">
        <v>399.78</v>
      </c>
      <c r="J16" s="125">
        <v>3000.12</v>
      </c>
      <c r="K16" s="126">
        <v>19995</v>
      </c>
      <c r="L16" s="140">
        <v>3997.8</v>
      </c>
      <c r="M16" s="138">
        <v>15991.2</v>
      </c>
      <c r="N16" s="131">
        <v>10</v>
      </c>
      <c r="O16" s="128">
        <v>40</v>
      </c>
      <c r="P16" s="133">
        <v>33999</v>
      </c>
      <c r="Q16" s="121">
        <v>135996</v>
      </c>
      <c r="R16" s="129"/>
    </row>
    <row r="17" spans="1:18" ht="15.75">
      <c r="A17" s="119">
        <v>14</v>
      </c>
      <c r="B17" s="119" t="s">
        <v>19</v>
      </c>
      <c r="C17" s="129" t="s">
        <v>43</v>
      </c>
      <c r="D17" s="135">
        <v>150000</v>
      </c>
      <c r="E17" s="142">
        <v>19995</v>
      </c>
      <c r="F17" s="126">
        <v>169995</v>
      </c>
      <c r="G17" s="130">
        <v>50</v>
      </c>
      <c r="H17" s="133">
        <v>3399.9</v>
      </c>
      <c r="I17" s="125">
        <v>399.78</v>
      </c>
      <c r="J17" s="125">
        <v>3000.12</v>
      </c>
      <c r="K17" s="126">
        <v>19995</v>
      </c>
      <c r="L17" s="140">
        <v>1199.3399999999999</v>
      </c>
      <c r="M17" s="138">
        <v>18789.66</v>
      </c>
      <c r="N17" s="131">
        <v>3</v>
      </c>
      <c r="O17" s="128">
        <v>47</v>
      </c>
      <c r="P17" s="133">
        <v>10199.700000000001</v>
      </c>
      <c r="Q17" s="121">
        <v>159795.29999999999</v>
      </c>
      <c r="R17" s="129"/>
    </row>
    <row r="18" spans="1:18" ht="15.75">
      <c r="A18" s="119">
        <v>15</v>
      </c>
      <c r="B18" s="119" t="s">
        <v>19</v>
      </c>
      <c r="C18" s="129" t="s">
        <v>58</v>
      </c>
      <c r="D18" s="135">
        <v>150000</v>
      </c>
      <c r="E18" s="142">
        <v>19995</v>
      </c>
      <c r="F18" s="126">
        <v>169995</v>
      </c>
      <c r="G18" s="130">
        <v>50</v>
      </c>
      <c r="H18" s="133">
        <v>3399.9</v>
      </c>
      <c r="I18" s="125">
        <v>399.78</v>
      </c>
      <c r="J18" s="125">
        <v>3000.12</v>
      </c>
      <c r="K18" s="126">
        <v>19995</v>
      </c>
      <c r="L18" s="140">
        <v>7995.6</v>
      </c>
      <c r="M18" s="138">
        <v>11993.4</v>
      </c>
      <c r="N18" s="131">
        <v>20</v>
      </c>
      <c r="O18" s="128">
        <v>30</v>
      </c>
      <c r="P18" s="133">
        <v>67998</v>
      </c>
      <c r="Q18" s="123">
        <v>101997</v>
      </c>
      <c r="R18" s="129"/>
    </row>
    <row r="19" spans="1:18" ht="15.75">
      <c r="A19" s="119">
        <v>16</v>
      </c>
      <c r="B19" s="119" t="s">
        <v>19</v>
      </c>
      <c r="C19" s="129" t="s">
        <v>32</v>
      </c>
      <c r="D19" s="135">
        <v>150000</v>
      </c>
      <c r="E19" s="142">
        <v>19995</v>
      </c>
      <c r="F19" s="126">
        <v>169995</v>
      </c>
      <c r="G19" s="130">
        <v>50</v>
      </c>
      <c r="H19" s="133">
        <v>3399.9</v>
      </c>
      <c r="I19" s="125">
        <v>399.78</v>
      </c>
      <c r="J19" s="125">
        <v>3000.12</v>
      </c>
      <c r="K19" s="126">
        <v>19995</v>
      </c>
      <c r="L19" s="140">
        <v>15191.64</v>
      </c>
      <c r="M19" s="138">
        <v>4797.3599999999997</v>
      </c>
      <c r="N19" s="131">
        <v>39</v>
      </c>
      <c r="O19" s="128">
        <v>11</v>
      </c>
      <c r="P19" s="133">
        <v>132596.1</v>
      </c>
      <c r="Q19" s="123">
        <v>37398.9</v>
      </c>
      <c r="R19" s="129"/>
    </row>
    <row r="20" spans="1:18" ht="15.75">
      <c r="A20" s="119">
        <v>17</v>
      </c>
      <c r="B20" s="119" t="s">
        <v>19</v>
      </c>
      <c r="C20" s="129" t="s">
        <v>33</v>
      </c>
      <c r="D20" s="133">
        <v>150000</v>
      </c>
      <c r="E20" s="142">
        <v>19995</v>
      </c>
      <c r="F20" s="126">
        <v>169995</v>
      </c>
      <c r="G20" s="130">
        <v>50</v>
      </c>
      <c r="H20" s="133">
        <v>3399.9</v>
      </c>
      <c r="I20" s="125">
        <v>399.78</v>
      </c>
      <c r="J20" s="125">
        <v>3000.12</v>
      </c>
      <c r="K20" s="126">
        <v>19995</v>
      </c>
      <c r="L20" s="140">
        <v>15191.64</v>
      </c>
      <c r="M20" s="138">
        <v>4797.3599999999997</v>
      </c>
      <c r="N20" s="131">
        <v>39</v>
      </c>
      <c r="O20" s="128">
        <v>11</v>
      </c>
      <c r="P20" s="133">
        <v>132596.1</v>
      </c>
      <c r="Q20" s="123">
        <v>37398.9</v>
      </c>
      <c r="R20" s="129"/>
    </row>
    <row r="21" spans="1:18" ht="15.75">
      <c r="A21" s="119">
        <v>18</v>
      </c>
      <c r="B21" s="119" t="s">
        <v>19</v>
      </c>
      <c r="C21" s="120" t="s">
        <v>34</v>
      </c>
      <c r="D21" s="135">
        <v>150000</v>
      </c>
      <c r="E21" s="142">
        <v>19995</v>
      </c>
      <c r="F21" s="126">
        <v>169995</v>
      </c>
      <c r="G21" s="130">
        <v>50</v>
      </c>
      <c r="H21" s="133">
        <v>3399.9</v>
      </c>
      <c r="I21" s="125">
        <v>399.78</v>
      </c>
      <c r="J21" s="125">
        <v>3000.12</v>
      </c>
      <c r="K21" s="126">
        <v>19995</v>
      </c>
      <c r="L21" s="140">
        <v>15191.64</v>
      </c>
      <c r="M21" s="138">
        <v>4797.3599999999997</v>
      </c>
      <c r="N21" s="131">
        <v>39</v>
      </c>
      <c r="O21" s="128">
        <v>11</v>
      </c>
      <c r="P21" s="133">
        <v>132596.1</v>
      </c>
      <c r="Q21" s="123">
        <v>37398.9</v>
      </c>
      <c r="R21" s="129"/>
    </row>
    <row r="22" spans="1:18" ht="15.75">
      <c r="A22" s="119">
        <v>19</v>
      </c>
      <c r="B22" s="119" t="s">
        <v>19</v>
      </c>
      <c r="C22" s="129" t="s">
        <v>35</v>
      </c>
      <c r="D22" s="135">
        <v>150000</v>
      </c>
      <c r="E22" s="142">
        <v>19995</v>
      </c>
      <c r="F22" s="126">
        <v>169995</v>
      </c>
      <c r="G22" s="130">
        <v>50</v>
      </c>
      <c r="H22" s="133">
        <v>3399.9</v>
      </c>
      <c r="I22" s="125">
        <v>399.78</v>
      </c>
      <c r="J22" s="125">
        <v>3000.12</v>
      </c>
      <c r="K22" s="126">
        <v>19995</v>
      </c>
      <c r="L22" s="140">
        <v>15191.64</v>
      </c>
      <c r="M22" s="138">
        <v>4797.3599999999997</v>
      </c>
      <c r="N22" s="131">
        <v>39</v>
      </c>
      <c r="O22" s="128">
        <v>11</v>
      </c>
      <c r="P22" s="133">
        <v>132596.1</v>
      </c>
      <c r="Q22" s="123">
        <v>37398.9</v>
      </c>
      <c r="R22" s="129"/>
    </row>
    <row r="23" spans="1:18" ht="15.75">
      <c r="A23" s="119">
        <v>20</v>
      </c>
      <c r="B23" s="119" t="s">
        <v>19</v>
      </c>
      <c r="C23" s="129" t="s">
        <v>36</v>
      </c>
      <c r="D23" s="135">
        <v>150000</v>
      </c>
      <c r="E23" s="142">
        <v>19995</v>
      </c>
      <c r="F23" s="126">
        <v>169995</v>
      </c>
      <c r="G23" s="130">
        <v>50</v>
      </c>
      <c r="H23" s="133">
        <v>3399.9</v>
      </c>
      <c r="I23" s="125">
        <v>399.78</v>
      </c>
      <c r="J23" s="125">
        <v>3000.12</v>
      </c>
      <c r="K23" s="126">
        <v>19995</v>
      </c>
      <c r="L23" s="140">
        <v>15191.64</v>
      </c>
      <c r="M23" s="138">
        <v>4797.3599999999997</v>
      </c>
      <c r="N23" s="131">
        <v>39</v>
      </c>
      <c r="O23" s="128">
        <v>11</v>
      </c>
      <c r="P23" s="133">
        <v>132596.1</v>
      </c>
      <c r="Q23" s="123">
        <v>37398.9</v>
      </c>
      <c r="R23" s="129"/>
    </row>
    <row r="24" spans="1:18" s="106" customFormat="1" ht="15.75">
      <c r="A24" s="119">
        <v>21</v>
      </c>
      <c r="B24" s="119" t="s">
        <v>19</v>
      </c>
      <c r="C24" s="129" t="s">
        <v>59</v>
      </c>
      <c r="D24" s="135">
        <v>330000</v>
      </c>
      <c r="E24" s="142">
        <v>43989</v>
      </c>
      <c r="F24" s="126">
        <v>373989</v>
      </c>
      <c r="G24" s="130">
        <v>50</v>
      </c>
      <c r="H24" s="133">
        <v>7479.78</v>
      </c>
      <c r="I24" s="125">
        <v>879.78</v>
      </c>
      <c r="J24" s="125">
        <v>6600</v>
      </c>
      <c r="K24" s="126">
        <v>43989</v>
      </c>
      <c r="L24" s="140">
        <v>30792.3</v>
      </c>
      <c r="M24" s="138">
        <v>13196.7</v>
      </c>
      <c r="N24" s="131">
        <v>35</v>
      </c>
      <c r="O24" s="147">
        <v>15</v>
      </c>
      <c r="P24" s="133">
        <v>261792.3</v>
      </c>
      <c r="Q24" s="123">
        <v>112196.7</v>
      </c>
      <c r="R24" s="129"/>
    </row>
    <row r="25" spans="1:18" ht="15.75">
      <c r="A25" s="119"/>
      <c r="B25" s="119"/>
      <c r="C25" s="120" t="s">
        <v>37</v>
      </c>
      <c r="D25" s="133">
        <f>SUM(D4:D23)</f>
        <v>5550000</v>
      </c>
      <c r="E25" s="142">
        <f>SUM(E4:E23)</f>
        <v>739809</v>
      </c>
      <c r="F25" s="133">
        <f>SUM(F4:F23)</f>
        <v>6289815</v>
      </c>
      <c r="G25" s="124"/>
      <c r="H25" s="133">
        <f>SUM(H4:H24)</f>
        <v>133275.29999999996</v>
      </c>
      <c r="I25" s="125">
        <f>SUM(I4:I23)</f>
        <v>14795.100000000004</v>
      </c>
      <c r="J25" s="125">
        <f>SUM(J4:J23)</f>
        <v>111001.19999999997</v>
      </c>
      <c r="K25" s="126">
        <f>SUM(K4:K23)</f>
        <v>739815</v>
      </c>
      <c r="L25" s="137">
        <f>SUM(L4:L23)</f>
        <v>311785.12000000005</v>
      </c>
      <c r="M25" s="138">
        <f>SUM(M4:M23)</f>
        <v>427975.88</v>
      </c>
      <c r="N25" s="131"/>
      <c r="O25" s="128"/>
      <c r="P25" s="123">
        <f>SUM(P4:P23)</f>
        <v>2668009.8600000003</v>
      </c>
      <c r="Q25" s="123">
        <f>SUM(Q4:Q23)</f>
        <v>3621800.1399999992</v>
      </c>
      <c r="R25" s="129"/>
    </row>
  </sheetData>
  <mergeCells count="1">
    <mergeCell ref="A1:R1"/>
  </mergeCells>
  <pageMargins left="0.7" right="0.7" top="0.75" bottom="0.75" header="0.3" footer="0.3"/>
  <pageSetup scale="53" fitToHeight="4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27"/>
  <sheetViews>
    <sheetView topLeftCell="I1" workbookViewId="0">
      <selection activeCell="B23" sqref="B23:R23"/>
    </sheetView>
  </sheetViews>
  <sheetFormatPr defaultRowHeight="15"/>
  <cols>
    <col min="1" max="1" width="5.5703125" bestFit="1" customWidth="1"/>
    <col min="3" max="3" width="29.42578125" customWidth="1"/>
    <col min="4" max="4" width="14.140625" customWidth="1"/>
    <col min="5" max="5" width="13.28515625" customWidth="1"/>
    <col min="6" max="6" width="14.85546875" customWidth="1"/>
    <col min="8" max="8" width="12.85546875" customWidth="1"/>
    <col min="9" max="9" width="13" customWidth="1"/>
    <col min="10" max="10" width="13.85546875" customWidth="1"/>
    <col min="11" max="11" width="14.85546875" customWidth="1"/>
    <col min="12" max="12" width="13" customWidth="1"/>
    <col min="13" max="13" width="13.28515625" customWidth="1"/>
    <col min="16" max="16" width="14.28515625" customWidth="1"/>
    <col min="17" max="17" width="15.140625" customWidth="1"/>
  </cols>
  <sheetData>
    <row r="1" spans="1:18" ht="23.25">
      <c r="A1" s="240" t="s">
        <v>48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</row>
    <row r="2" spans="1:18" ht="21">
      <c r="A2" s="107"/>
      <c r="B2" s="107"/>
      <c r="C2" s="107"/>
      <c r="D2" s="108"/>
      <c r="E2" s="108"/>
      <c r="F2" s="108"/>
      <c r="G2" s="132" t="s">
        <v>1</v>
      </c>
      <c r="H2" s="108"/>
      <c r="I2" s="109"/>
      <c r="J2" s="107"/>
      <c r="K2" s="107"/>
      <c r="L2" s="107"/>
      <c r="M2" s="107"/>
      <c r="N2" s="110"/>
      <c r="O2" s="110"/>
      <c r="P2" s="108"/>
      <c r="Q2" s="108"/>
      <c r="R2" s="107"/>
    </row>
    <row r="3" spans="1:18" ht="93.75">
      <c r="A3" s="111" t="s">
        <v>2</v>
      </c>
      <c r="B3" s="111" t="s">
        <v>3</v>
      </c>
      <c r="C3" s="134" t="s">
        <v>4</v>
      </c>
      <c r="D3" s="134" t="s">
        <v>5</v>
      </c>
      <c r="E3" s="111" t="s">
        <v>6</v>
      </c>
      <c r="F3" s="134" t="s">
        <v>7</v>
      </c>
      <c r="G3" s="111" t="s">
        <v>8</v>
      </c>
      <c r="H3" s="134" t="s">
        <v>9</v>
      </c>
      <c r="I3" s="113" t="s">
        <v>10</v>
      </c>
      <c r="J3" s="113" t="s">
        <v>11</v>
      </c>
      <c r="K3" s="111" t="s">
        <v>6</v>
      </c>
      <c r="L3" s="114" t="s">
        <v>12</v>
      </c>
      <c r="M3" s="115" t="s">
        <v>13</v>
      </c>
      <c r="N3" s="116" t="s">
        <v>14</v>
      </c>
      <c r="O3" s="117" t="s">
        <v>15</v>
      </c>
      <c r="P3" s="112" t="s">
        <v>16</v>
      </c>
      <c r="Q3" s="112" t="s">
        <v>17</v>
      </c>
      <c r="R3" s="118" t="s">
        <v>18</v>
      </c>
    </row>
    <row r="4" spans="1:18" ht="15.75">
      <c r="A4" s="119">
        <v>1</v>
      </c>
      <c r="B4" s="119" t="s">
        <v>19</v>
      </c>
      <c r="C4" s="120" t="s">
        <v>20</v>
      </c>
      <c r="D4" s="135">
        <v>500000</v>
      </c>
      <c r="E4" s="142">
        <v>66650</v>
      </c>
      <c r="F4" s="126">
        <v>566650</v>
      </c>
      <c r="G4" s="130">
        <v>50</v>
      </c>
      <c r="H4" s="133">
        <v>11333</v>
      </c>
      <c r="I4" s="145">
        <v>1333</v>
      </c>
      <c r="J4" s="125">
        <v>10000</v>
      </c>
      <c r="K4" s="126">
        <v>66650</v>
      </c>
      <c r="L4" s="140">
        <v>15996</v>
      </c>
      <c r="M4" s="138">
        <v>50654</v>
      </c>
      <c r="N4" s="127">
        <v>12</v>
      </c>
      <c r="O4" s="128">
        <v>38</v>
      </c>
      <c r="P4" s="136">
        <v>135996</v>
      </c>
      <c r="Q4" s="122">
        <v>430654</v>
      </c>
      <c r="R4" s="129"/>
    </row>
    <row r="5" spans="1:18" ht="15.75">
      <c r="A5" s="119">
        <v>2</v>
      </c>
      <c r="B5" s="119" t="s">
        <v>19</v>
      </c>
      <c r="C5" s="129" t="s">
        <v>21</v>
      </c>
      <c r="D5" s="135">
        <v>500000</v>
      </c>
      <c r="E5" s="142">
        <v>66650</v>
      </c>
      <c r="F5" s="126">
        <v>566650</v>
      </c>
      <c r="G5" s="130">
        <v>50</v>
      </c>
      <c r="H5" s="133">
        <v>11333</v>
      </c>
      <c r="I5" s="146">
        <v>1333</v>
      </c>
      <c r="J5" s="125">
        <v>10000</v>
      </c>
      <c r="K5" s="126">
        <v>66650</v>
      </c>
      <c r="L5" s="140">
        <v>19995</v>
      </c>
      <c r="M5" s="138">
        <v>46655</v>
      </c>
      <c r="N5" s="127">
        <v>15</v>
      </c>
      <c r="O5" s="128">
        <v>35</v>
      </c>
      <c r="P5" s="136">
        <v>169995</v>
      </c>
      <c r="Q5" s="122">
        <v>396655</v>
      </c>
      <c r="R5" s="129"/>
    </row>
    <row r="6" spans="1:18" ht="15.75">
      <c r="A6" s="119">
        <v>3</v>
      </c>
      <c r="B6" s="119" t="s">
        <v>19</v>
      </c>
      <c r="C6" s="129" t="s">
        <v>23</v>
      </c>
      <c r="D6" s="135">
        <v>330000</v>
      </c>
      <c r="E6" s="142">
        <v>43989</v>
      </c>
      <c r="F6" s="126">
        <v>373989</v>
      </c>
      <c r="G6" s="130">
        <v>50</v>
      </c>
      <c r="H6" s="133">
        <v>7479.78</v>
      </c>
      <c r="I6" s="125">
        <v>879.78</v>
      </c>
      <c r="J6" s="125">
        <v>6600</v>
      </c>
      <c r="K6" s="126">
        <v>43989</v>
      </c>
      <c r="L6" s="140">
        <v>10557.36</v>
      </c>
      <c r="M6" s="138">
        <v>33431.64</v>
      </c>
      <c r="N6" s="130">
        <v>12</v>
      </c>
      <c r="O6" s="128">
        <v>38</v>
      </c>
      <c r="P6" s="133">
        <v>89757.36</v>
      </c>
      <c r="Q6" s="121">
        <v>284231.64</v>
      </c>
      <c r="R6" s="129"/>
    </row>
    <row r="7" spans="1:18" ht="15.75">
      <c r="A7" s="119">
        <v>4</v>
      </c>
      <c r="B7" s="119" t="s">
        <v>19</v>
      </c>
      <c r="C7" s="129" t="s">
        <v>44</v>
      </c>
      <c r="D7" s="135">
        <v>330000</v>
      </c>
      <c r="E7" s="142">
        <v>43989</v>
      </c>
      <c r="F7" s="126">
        <v>373989</v>
      </c>
      <c r="G7" s="130">
        <v>50</v>
      </c>
      <c r="H7" s="133">
        <v>7479.78</v>
      </c>
      <c r="I7" s="125">
        <v>879.78</v>
      </c>
      <c r="J7" s="125">
        <v>6600</v>
      </c>
      <c r="K7" s="126">
        <v>43989</v>
      </c>
      <c r="L7" s="140">
        <v>3519.12</v>
      </c>
      <c r="M7" s="138">
        <v>41349.660000000003</v>
      </c>
      <c r="N7" s="130">
        <v>4</v>
      </c>
      <c r="O7" s="128">
        <v>46</v>
      </c>
      <c r="P7" s="133">
        <v>29919.119999999999</v>
      </c>
      <c r="Q7" s="121">
        <v>344069.88</v>
      </c>
      <c r="R7" s="129"/>
    </row>
    <row r="8" spans="1:18" s="106" customFormat="1" ht="15.75">
      <c r="A8" s="119">
        <v>5</v>
      </c>
      <c r="B8" s="119" t="s">
        <v>19</v>
      </c>
      <c r="C8" s="129" t="s">
        <v>52</v>
      </c>
      <c r="D8" s="135">
        <v>330000</v>
      </c>
      <c r="E8" s="142">
        <v>43989</v>
      </c>
      <c r="F8" s="126">
        <v>373989</v>
      </c>
      <c r="G8" s="130">
        <v>50</v>
      </c>
      <c r="H8" s="133">
        <v>7479.78</v>
      </c>
      <c r="I8" s="125">
        <v>879.78</v>
      </c>
      <c r="J8" s="125">
        <v>6600</v>
      </c>
      <c r="K8" s="126">
        <v>43989</v>
      </c>
      <c r="L8" s="140">
        <v>2639.34</v>
      </c>
      <c r="M8" s="138">
        <v>41349.660000000003</v>
      </c>
      <c r="N8" s="130">
        <v>3</v>
      </c>
      <c r="O8" s="128">
        <v>47</v>
      </c>
      <c r="P8" s="133">
        <v>22439.34</v>
      </c>
      <c r="Q8" s="121">
        <v>351549.66</v>
      </c>
      <c r="R8" s="129"/>
    </row>
    <row r="9" spans="1:18" s="106" customFormat="1" ht="15.75">
      <c r="A9" s="119">
        <v>6</v>
      </c>
      <c r="B9" s="119" t="s">
        <v>19</v>
      </c>
      <c r="C9" s="129" t="s">
        <v>53</v>
      </c>
      <c r="D9" s="135">
        <v>330000</v>
      </c>
      <c r="E9" s="142">
        <v>43989</v>
      </c>
      <c r="F9" s="126">
        <v>373989</v>
      </c>
      <c r="G9" s="130">
        <v>50</v>
      </c>
      <c r="H9" s="133">
        <v>7479.78</v>
      </c>
      <c r="I9" s="125">
        <v>879.78</v>
      </c>
      <c r="J9" s="125">
        <v>6600</v>
      </c>
      <c r="K9" s="126">
        <v>43989</v>
      </c>
      <c r="L9" s="140">
        <v>2639.34</v>
      </c>
      <c r="M9" s="138">
        <v>41349.660000000003</v>
      </c>
      <c r="N9" s="130">
        <v>3</v>
      </c>
      <c r="O9" s="128">
        <v>47</v>
      </c>
      <c r="P9" s="133">
        <v>22439.34</v>
      </c>
      <c r="Q9" s="121">
        <v>351549.66</v>
      </c>
      <c r="R9" s="129"/>
    </row>
    <row r="10" spans="1:18" ht="15.75">
      <c r="A10" s="119">
        <v>7</v>
      </c>
      <c r="B10" s="119" t="s">
        <v>19</v>
      </c>
      <c r="C10" s="129" t="s">
        <v>24</v>
      </c>
      <c r="D10" s="135">
        <v>150000</v>
      </c>
      <c r="E10" s="142">
        <v>19989</v>
      </c>
      <c r="F10" s="126">
        <v>169995</v>
      </c>
      <c r="G10" s="130">
        <v>50</v>
      </c>
      <c r="H10" s="133">
        <v>3399.9</v>
      </c>
      <c r="I10" s="125">
        <v>399.78</v>
      </c>
      <c r="J10" s="125">
        <v>3000.12</v>
      </c>
      <c r="K10" s="126">
        <v>19995</v>
      </c>
      <c r="L10" s="140">
        <v>4797.3599999999997</v>
      </c>
      <c r="M10" s="138">
        <v>15191.64</v>
      </c>
      <c r="N10" s="127">
        <v>12</v>
      </c>
      <c r="O10" s="128">
        <v>38</v>
      </c>
      <c r="P10" s="136">
        <v>40798.800000000003</v>
      </c>
      <c r="Q10" s="122">
        <v>129196.2</v>
      </c>
      <c r="R10" s="129"/>
    </row>
    <row r="11" spans="1:18" ht="15.75">
      <c r="A11" s="119">
        <v>8</v>
      </c>
      <c r="B11" s="119" t="s">
        <v>19</v>
      </c>
      <c r="C11" s="129" t="s">
        <v>25</v>
      </c>
      <c r="D11" s="135">
        <v>150000</v>
      </c>
      <c r="E11" s="142">
        <v>19995</v>
      </c>
      <c r="F11" s="126">
        <v>169995</v>
      </c>
      <c r="G11" s="130">
        <v>50</v>
      </c>
      <c r="H11" s="133">
        <v>3399.9</v>
      </c>
      <c r="I11" s="125">
        <v>399.78</v>
      </c>
      <c r="J11" s="125">
        <v>3000.12</v>
      </c>
      <c r="K11" s="126">
        <v>19995</v>
      </c>
      <c r="L11" s="140">
        <v>7595.82</v>
      </c>
      <c r="M11" s="138">
        <v>12393.18</v>
      </c>
      <c r="N11" s="131">
        <v>19</v>
      </c>
      <c r="O11" s="128">
        <v>31</v>
      </c>
      <c r="P11" s="133">
        <v>64598.1</v>
      </c>
      <c r="Q11" s="121">
        <v>105396.9</v>
      </c>
      <c r="R11" s="129"/>
    </row>
    <row r="12" spans="1:18" ht="15.75">
      <c r="A12" s="119">
        <v>9</v>
      </c>
      <c r="B12" s="119" t="s">
        <v>19</v>
      </c>
      <c r="C12" s="120" t="s">
        <v>26</v>
      </c>
      <c r="D12" s="133">
        <v>450000</v>
      </c>
      <c r="E12" s="142">
        <v>59985</v>
      </c>
      <c r="F12" s="126">
        <v>509985</v>
      </c>
      <c r="G12" s="130">
        <v>50</v>
      </c>
      <c r="H12" s="136">
        <v>10199.700000000001</v>
      </c>
      <c r="I12" s="125">
        <v>1199.7</v>
      </c>
      <c r="J12" s="125">
        <v>9000</v>
      </c>
      <c r="K12" s="126">
        <v>59985</v>
      </c>
      <c r="L12" s="140">
        <v>22794.3</v>
      </c>
      <c r="M12" s="138">
        <v>37190.699999999997</v>
      </c>
      <c r="N12" s="127">
        <v>19</v>
      </c>
      <c r="O12" s="128">
        <v>31</v>
      </c>
      <c r="P12" s="136">
        <v>193794.3</v>
      </c>
      <c r="Q12" s="122">
        <v>316190.7</v>
      </c>
      <c r="R12" s="129"/>
    </row>
    <row r="13" spans="1:18" ht="15.75">
      <c r="A13" s="119">
        <v>10</v>
      </c>
      <c r="B13" s="119" t="s">
        <v>19</v>
      </c>
      <c r="C13" s="120" t="s">
        <v>27</v>
      </c>
      <c r="D13" s="135">
        <v>450000</v>
      </c>
      <c r="E13" s="142">
        <v>59985</v>
      </c>
      <c r="F13" s="126">
        <v>509985</v>
      </c>
      <c r="G13" s="130">
        <v>50</v>
      </c>
      <c r="H13" s="133">
        <v>10199.700000000001</v>
      </c>
      <c r="I13" s="125">
        <v>1199.7</v>
      </c>
      <c r="J13" s="125">
        <v>9000</v>
      </c>
      <c r="K13" s="126">
        <v>59985</v>
      </c>
      <c r="L13" s="140">
        <v>55186.2</v>
      </c>
      <c r="M13" s="138">
        <v>4798.8</v>
      </c>
      <c r="N13" s="127">
        <v>46</v>
      </c>
      <c r="O13" s="128">
        <v>4</v>
      </c>
      <c r="P13" s="136">
        <v>469186.2</v>
      </c>
      <c r="Q13" s="122">
        <v>40798.800000000003</v>
      </c>
      <c r="R13" s="129"/>
    </row>
    <row r="14" spans="1:18" ht="15.75">
      <c r="A14" s="119">
        <v>11</v>
      </c>
      <c r="B14" s="119" t="s">
        <v>19</v>
      </c>
      <c r="C14" s="129" t="s">
        <v>28</v>
      </c>
      <c r="D14" s="135">
        <v>500000</v>
      </c>
      <c r="E14" s="142">
        <v>66650</v>
      </c>
      <c r="F14" s="126">
        <v>566650</v>
      </c>
      <c r="G14" s="130">
        <v>50</v>
      </c>
      <c r="H14" s="133">
        <v>11333</v>
      </c>
      <c r="I14" s="125">
        <v>1333</v>
      </c>
      <c r="J14" s="125">
        <v>10000</v>
      </c>
      <c r="K14" s="126">
        <v>66650</v>
      </c>
      <c r="L14" s="140">
        <v>53320</v>
      </c>
      <c r="M14" s="138">
        <v>13330</v>
      </c>
      <c r="N14" s="127">
        <v>40</v>
      </c>
      <c r="O14" s="128">
        <v>10</v>
      </c>
      <c r="P14" s="136">
        <v>453320</v>
      </c>
      <c r="Q14" s="122">
        <v>113330</v>
      </c>
      <c r="R14" s="129"/>
    </row>
    <row r="15" spans="1:18" ht="15.75">
      <c r="A15" s="119">
        <v>12</v>
      </c>
      <c r="B15" s="119" t="s">
        <v>19</v>
      </c>
      <c r="C15" s="129" t="s">
        <v>29</v>
      </c>
      <c r="D15" s="135">
        <v>330000</v>
      </c>
      <c r="E15" s="142">
        <v>43989</v>
      </c>
      <c r="F15" s="126">
        <v>373989</v>
      </c>
      <c r="G15" s="130">
        <v>50</v>
      </c>
      <c r="H15" s="133">
        <v>7479</v>
      </c>
      <c r="I15" s="125">
        <v>879.78</v>
      </c>
      <c r="J15" s="125">
        <v>6600</v>
      </c>
      <c r="K15" s="126">
        <v>43989</v>
      </c>
      <c r="L15" s="140">
        <v>35191.199999999997</v>
      </c>
      <c r="M15" s="138">
        <v>8797.7999999999993</v>
      </c>
      <c r="N15" s="131">
        <v>40</v>
      </c>
      <c r="O15" s="128">
        <v>10</v>
      </c>
      <c r="P15" s="133">
        <v>299191.2</v>
      </c>
      <c r="Q15" s="123">
        <v>74797.8</v>
      </c>
      <c r="R15" s="129"/>
    </row>
    <row r="16" spans="1:18" ht="15.75">
      <c r="A16" s="119">
        <v>13</v>
      </c>
      <c r="B16" s="119" t="s">
        <v>19</v>
      </c>
      <c r="C16" s="129" t="s">
        <v>30</v>
      </c>
      <c r="D16" s="135">
        <v>150000</v>
      </c>
      <c r="E16" s="142">
        <v>19995</v>
      </c>
      <c r="F16" s="126">
        <v>169995</v>
      </c>
      <c r="G16" s="130">
        <v>50</v>
      </c>
      <c r="H16" s="133">
        <v>3399.9</v>
      </c>
      <c r="I16" s="125">
        <v>399.78</v>
      </c>
      <c r="J16" s="125">
        <v>3000.12</v>
      </c>
      <c r="K16" s="126">
        <v>19995</v>
      </c>
      <c r="L16" s="140">
        <v>4397.58</v>
      </c>
      <c r="M16" s="138">
        <v>15591.42</v>
      </c>
      <c r="N16" s="131">
        <v>11</v>
      </c>
      <c r="O16" s="128">
        <v>39</v>
      </c>
      <c r="P16" s="133">
        <v>37398.9</v>
      </c>
      <c r="Q16" s="121">
        <v>132596.1</v>
      </c>
      <c r="R16" s="129"/>
    </row>
    <row r="17" spans="1:18" ht="15.75">
      <c r="A17" s="119">
        <v>14</v>
      </c>
      <c r="B17" s="119" t="s">
        <v>19</v>
      </c>
      <c r="C17" s="129" t="s">
        <v>43</v>
      </c>
      <c r="D17" s="135">
        <v>150000</v>
      </c>
      <c r="E17" s="142">
        <v>19995</v>
      </c>
      <c r="F17" s="126">
        <v>169995</v>
      </c>
      <c r="G17" s="130">
        <v>50</v>
      </c>
      <c r="H17" s="133">
        <v>3399.9</v>
      </c>
      <c r="I17" s="125">
        <v>399.78</v>
      </c>
      <c r="J17" s="125">
        <v>3000.12</v>
      </c>
      <c r="K17" s="126">
        <v>19995</v>
      </c>
      <c r="L17" s="140">
        <v>1599.12</v>
      </c>
      <c r="M17" s="138">
        <v>18389.88</v>
      </c>
      <c r="N17" s="131">
        <v>4</v>
      </c>
      <c r="O17" s="128">
        <v>46</v>
      </c>
      <c r="P17" s="133">
        <v>13599.6</v>
      </c>
      <c r="Q17" s="121">
        <v>156395.4</v>
      </c>
      <c r="R17" s="129"/>
    </row>
    <row r="18" spans="1:18" ht="15.75">
      <c r="A18" s="119">
        <v>15</v>
      </c>
      <c r="B18" s="119" t="s">
        <v>19</v>
      </c>
      <c r="C18" s="129" t="s">
        <v>58</v>
      </c>
      <c r="D18" s="135">
        <v>150000</v>
      </c>
      <c r="E18" s="142">
        <v>19995</v>
      </c>
      <c r="F18" s="126">
        <v>169995</v>
      </c>
      <c r="G18" s="130">
        <v>50</v>
      </c>
      <c r="H18" s="133">
        <v>3399.9</v>
      </c>
      <c r="I18" s="125">
        <v>399.78</v>
      </c>
      <c r="J18" s="125">
        <v>3000.12</v>
      </c>
      <c r="K18" s="126">
        <v>19995</v>
      </c>
      <c r="L18" s="140">
        <v>8395.3799999999992</v>
      </c>
      <c r="M18" s="138">
        <v>11593.62</v>
      </c>
      <c r="N18" s="131">
        <v>21</v>
      </c>
      <c r="O18" s="128">
        <v>29</v>
      </c>
      <c r="P18" s="133">
        <v>71397.899999999994</v>
      </c>
      <c r="Q18" s="123">
        <v>98597.1</v>
      </c>
      <c r="R18" s="129"/>
    </row>
    <row r="19" spans="1:18" ht="15.75">
      <c r="A19" s="119">
        <v>16</v>
      </c>
      <c r="B19" s="119" t="s">
        <v>19</v>
      </c>
      <c r="C19" s="129" t="s">
        <v>32</v>
      </c>
      <c r="D19" s="135">
        <v>150000</v>
      </c>
      <c r="E19" s="142">
        <v>19995</v>
      </c>
      <c r="F19" s="126">
        <v>169995</v>
      </c>
      <c r="G19" s="130">
        <v>50</v>
      </c>
      <c r="H19" s="133">
        <v>3399.9</v>
      </c>
      <c r="I19" s="125">
        <v>399.78</v>
      </c>
      <c r="J19" s="125">
        <v>3000.12</v>
      </c>
      <c r="K19" s="126">
        <v>19995</v>
      </c>
      <c r="L19" s="140">
        <v>15991.2</v>
      </c>
      <c r="M19" s="138">
        <v>3997.8</v>
      </c>
      <c r="N19" s="131">
        <v>40</v>
      </c>
      <c r="O19" s="128">
        <v>10</v>
      </c>
      <c r="P19" s="133">
        <v>135996</v>
      </c>
      <c r="Q19" s="123">
        <v>33999</v>
      </c>
      <c r="R19" s="129"/>
    </row>
    <row r="20" spans="1:18" ht="15.75">
      <c r="A20" s="119">
        <v>17</v>
      </c>
      <c r="B20" s="119" t="s">
        <v>19</v>
      </c>
      <c r="C20" s="129" t="s">
        <v>33</v>
      </c>
      <c r="D20" s="133">
        <v>150000</v>
      </c>
      <c r="E20" s="142">
        <v>19995</v>
      </c>
      <c r="F20" s="126">
        <v>169995</v>
      </c>
      <c r="G20" s="130">
        <v>50</v>
      </c>
      <c r="H20" s="133">
        <v>3399.9</v>
      </c>
      <c r="I20" s="125">
        <v>399.78</v>
      </c>
      <c r="J20" s="125">
        <v>3000.12</v>
      </c>
      <c r="K20" s="126">
        <v>19995</v>
      </c>
      <c r="L20" s="140">
        <v>15991.2</v>
      </c>
      <c r="M20" s="138">
        <v>3997.8</v>
      </c>
      <c r="N20" s="131">
        <v>40</v>
      </c>
      <c r="O20" s="128">
        <v>10</v>
      </c>
      <c r="P20" s="133">
        <v>135996</v>
      </c>
      <c r="Q20" s="123">
        <v>33999</v>
      </c>
      <c r="R20" s="129"/>
    </row>
    <row r="21" spans="1:18" ht="15.75">
      <c r="A21" s="119">
        <v>18</v>
      </c>
      <c r="B21" s="119" t="s">
        <v>19</v>
      </c>
      <c r="C21" s="120" t="s">
        <v>34</v>
      </c>
      <c r="D21" s="135">
        <v>150000</v>
      </c>
      <c r="E21" s="142">
        <v>19995</v>
      </c>
      <c r="F21" s="126">
        <v>169995</v>
      </c>
      <c r="G21" s="130">
        <v>50</v>
      </c>
      <c r="H21" s="133">
        <v>3399.9</v>
      </c>
      <c r="I21" s="125">
        <v>399.78</v>
      </c>
      <c r="J21" s="125">
        <v>3000.12</v>
      </c>
      <c r="K21" s="126">
        <v>19995</v>
      </c>
      <c r="L21" s="140">
        <v>15991.2</v>
      </c>
      <c r="M21" s="138">
        <v>3997.8</v>
      </c>
      <c r="N21" s="131">
        <v>40</v>
      </c>
      <c r="O21" s="128">
        <v>10</v>
      </c>
      <c r="P21" s="133">
        <v>135996</v>
      </c>
      <c r="Q21" s="123">
        <v>33999</v>
      </c>
      <c r="R21" s="129"/>
    </row>
    <row r="22" spans="1:18" ht="15.75">
      <c r="A22" s="119">
        <v>19</v>
      </c>
      <c r="B22" s="119" t="s">
        <v>19</v>
      </c>
      <c r="C22" s="129" t="s">
        <v>36</v>
      </c>
      <c r="D22" s="135">
        <v>150000</v>
      </c>
      <c r="E22" s="142">
        <v>19995</v>
      </c>
      <c r="F22" s="126">
        <v>169995</v>
      </c>
      <c r="G22" s="130">
        <v>50</v>
      </c>
      <c r="H22" s="133">
        <v>3399.9</v>
      </c>
      <c r="I22" s="125">
        <v>399.78</v>
      </c>
      <c r="J22" s="125">
        <v>3000.12</v>
      </c>
      <c r="K22" s="126">
        <v>19995</v>
      </c>
      <c r="L22" s="140">
        <v>15991.2</v>
      </c>
      <c r="M22" s="138">
        <v>3997.8</v>
      </c>
      <c r="N22" s="131">
        <v>40</v>
      </c>
      <c r="O22" s="128">
        <v>10</v>
      </c>
      <c r="P22" s="133">
        <v>135996</v>
      </c>
      <c r="Q22" s="123">
        <v>33999</v>
      </c>
      <c r="R22" s="129"/>
    </row>
    <row r="23" spans="1:18" s="106" customFormat="1" ht="15.75">
      <c r="A23" s="119">
        <v>20</v>
      </c>
      <c r="B23" s="119" t="s">
        <v>19</v>
      </c>
      <c r="C23" s="129" t="s">
        <v>59</v>
      </c>
      <c r="D23" s="135">
        <v>330000</v>
      </c>
      <c r="E23" s="142">
        <v>43989</v>
      </c>
      <c r="F23" s="126">
        <v>373989</v>
      </c>
      <c r="G23" s="130">
        <v>50</v>
      </c>
      <c r="H23" s="133">
        <v>7479.78</v>
      </c>
      <c r="I23" s="125">
        <v>879.78</v>
      </c>
      <c r="J23" s="125">
        <v>6600</v>
      </c>
      <c r="K23" s="126">
        <v>43989</v>
      </c>
      <c r="L23" s="140">
        <v>31672.080000000002</v>
      </c>
      <c r="M23" s="138">
        <v>12316.92</v>
      </c>
      <c r="N23" s="131">
        <v>36</v>
      </c>
      <c r="O23" s="147">
        <v>14</v>
      </c>
      <c r="P23" s="133">
        <v>269272.08</v>
      </c>
      <c r="Q23" s="123">
        <v>104716.92</v>
      </c>
      <c r="R23" s="129"/>
    </row>
    <row r="24" spans="1:18" s="106" customFormat="1" ht="15.75">
      <c r="A24" s="119">
        <v>21</v>
      </c>
      <c r="B24" s="119" t="s">
        <v>19</v>
      </c>
      <c r="C24" s="129" t="s">
        <v>50</v>
      </c>
      <c r="D24" s="135">
        <v>500000</v>
      </c>
      <c r="E24" s="142">
        <v>66650</v>
      </c>
      <c r="F24" s="126">
        <v>566650</v>
      </c>
      <c r="G24" s="130">
        <v>50</v>
      </c>
      <c r="H24" s="133">
        <v>11333</v>
      </c>
      <c r="I24" s="145">
        <v>1333</v>
      </c>
      <c r="J24" s="125">
        <v>10000</v>
      </c>
      <c r="K24" s="126">
        <v>66650</v>
      </c>
      <c r="L24" s="140">
        <v>1333</v>
      </c>
      <c r="M24" s="138">
        <v>65317</v>
      </c>
      <c r="N24" s="131">
        <v>1</v>
      </c>
      <c r="O24" s="128">
        <v>49</v>
      </c>
      <c r="P24" s="133">
        <v>11333</v>
      </c>
      <c r="Q24" s="123">
        <v>555317</v>
      </c>
      <c r="R24" s="129"/>
    </row>
    <row r="25" spans="1:18" ht="15.75">
      <c r="A25" s="34">
        <v>22</v>
      </c>
      <c r="B25" s="119" t="s">
        <v>19</v>
      </c>
      <c r="C25" s="129" t="s">
        <v>49</v>
      </c>
      <c r="D25" s="135">
        <v>500000</v>
      </c>
      <c r="E25" s="142">
        <v>66650</v>
      </c>
      <c r="F25" s="126">
        <v>566650</v>
      </c>
      <c r="G25" s="130">
        <v>50</v>
      </c>
      <c r="H25" s="133">
        <v>11333</v>
      </c>
      <c r="I25" s="145">
        <v>1333</v>
      </c>
      <c r="J25" s="125">
        <v>10000</v>
      </c>
      <c r="K25" s="126">
        <v>66650</v>
      </c>
      <c r="L25" s="140">
        <v>1333</v>
      </c>
      <c r="M25" s="138">
        <v>65317</v>
      </c>
      <c r="N25" s="131">
        <v>1</v>
      </c>
      <c r="O25" s="128">
        <v>49</v>
      </c>
      <c r="P25" s="133">
        <v>11333</v>
      </c>
      <c r="Q25" s="123">
        <v>555317</v>
      </c>
      <c r="R25" s="129"/>
    </row>
    <row r="26" spans="1:18" ht="15.75">
      <c r="A26" s="119"/>
      <c r="B26" s="119"/>
      <c r="C26" s="120" t="s">
        <v>37</v>
      </c>
      <c r="D26" s="133">
        <f>SUM(D4:D25)</f>
        <v>6730000</v>
      </c>
      <c r="E26" s="142">
        <f>SUM(E4:E25)</f>
        <v>897103</v>
      </c>
      <c r="F26" s="133">
        <f>SUM(F4:F25)</f>
        <v>7627109</v>
      </c>
      <c r="G26" s="124"/>
      <c r="H26" s="133">
        <f t="shared" ref="H26:M26" si="0">SUM(H4:H25)</f>
        <v>152541.39999999997</v>
      </c>
      <c r="I26" s="125">
        <f t="shared" si="0"/>
        <v>17941.100000000006</v>
      </c>
      <c r="J26" s="125">
        <f t="shared" si="0"/>
        <v>134601.07999999996</v>
      </c>
      <c r="K26" s="126">
        <f t="shared" si="0"/>
        <v>897109</v>
      </c>
      <c r="L26" s="137">
        <f t="shared" si="0"/>
        <v>346926</v>
      </c>
      <c r="M26" s="138">
        <f t="shared" si="0"/>
        <v>551008.77999999991</v>
      </c>
      <c r="N26" s="131"/>
      <c r="O26" s="128"/>
      <c r="P26" s="123">
        <f>SUM(P4:P25)</f>
        <v>2949753.24</v>
      </c>
      <c r="Q26" s="123">
        <f>SUM(Q4:Q25)</f>
        <v>4677355.76</v>
      </c>
      <c r="R26" s="129"/>
    </row>
    <row r="27" spans="1:18">
      <c r="A27" s="106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</row>
  </sheetData>
  <mergeCells count="1">
    <mergeCell ref="A1:R1"/>
  </mergeCells>
  <pageMargins left="0.7" right="0.7" top="0.75" bottom="0.75" header="0.3" footer="0.3"/>
  <pageSetup scale="52" fitToHeight="4" orientation="landscape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26"/>
  <sheetViews>
    <sheetView topLeftCell="J1" workbookViewId="0">
      <selection activeCell="Q4" sqref="Q4"/>
    </sheetView>
  </sheetViews>
  <sheetFormatPr defaultRowHeight="15"/>
  <cols>
    <col min="1" max="1" width="5.5703125" customWidth="1"/>
    <col min="2" max="2" width="6.85546875" customWidth="1"/>
    <col min="3" max="3" width="29.42578125" customWidth="1"/>
    <col min="4" max="4" width="15.28515625" customWidth="1"/>
    <col min="5" max="5" width="12.7109375" customWidth="1"/>
    <col min="6" max="6" width="15.28515625" customWidth="1"/>
    <col min="8" max="8" width="13.28515625" customWidth="1"/>
    <col min="9" max="9" width="11.5703125" bestFit="1" customWidth="1"/>
    <col min="10" max="10" width="13.5703125" customWidth="1"/>
    <col min="11" max="11" width="14.140625" customWidth="1"/>
    <col min="12" max="12" width="13.28515625" customWidth="1"/>
    <col min="13" max="13" width="12.85546875" customWidth="1"/>
    <col min="16" max="16" width="15" customWidth="1"/>
    <col min="17" max="17" width="14.85546875" customWidth="1"/>
  </cols>
  <sheetData>
    <row r="1" spans="1:18" ht="23.25">
      <c r="A1" s="240" t="s">
        <v>51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</row>
    <row r="2" spans="1:18" ht="21">
      <c r="A2" s="107"/>
      <c r="B2" s="107"/>
      <c r="C2" s="107"/>
      <c r="D2" s="108"/>
      <c r="E2" s="108"/>
      <c r="F2" s="108"/>
      <c r="G2" s="132" t="s">
        <v>1</v>
      </c>
      <c r="H2" s="108"/>
      <c r="I2" s="109"/>
      <c r="J2" s="107"/>
      <c r="K2" s="107"/>
      <c r="L2" s="107"/>
      <c r="M2" s="107"/>
      <c r="N2" s="110"/>
      <c r="O2" s="110"/>
      <c r="P2" s="108"/>
      <c r="Q2" s="108"/>
      <c r="R2" s="107"/>
    </row>
    <row r="3" spans="1:18" ht="93.75">
      <c r="A3" s="111" t="s">
        <v>2</v>
      </c>
      <c r="B3" s="111" t="s">
        <v>3</v>
      </c>
      <c r="C3" s="134" t="s">
        <v>4</v>
      </c>
      <c r="D3" s="134" t="s">
        <v>5</v>
      </c>
      <c r="E3" s="111" t="s">
        <v>6</v>
      </c>
      <c r="F3" s="134" t="s">
        <v>7</v>
      </c>
      <c r="G3" s="111" t="s">
        <v>8</v>
      </c>
      <c r="H3" s="134" t="s">
        <v>9</v>
      </c>
      <c r="I3" s="113" t="s">
        <v>10</v>
      </c>
      <c r="J3" s="113" t="s">
        <v>11</v>
      </c>
      <c r="K3" s="111" t="s">
        <v>6</v>
      </c>
      <c r="L3" s="114" t="s">
        <v>12</v>
      </c>
      <c r="M3" s="115" t="s">
        <v>13</v>
      </c>
      <c r="N3" s="116" t="s">
        <v>14</v>
      </c>
      <c r="O3" s="117" t="s">
        <v>15</v>
      </c>
      <c r="P3" s="112" t="s">
        <v>16</v>
      </c>
      <c r="Q3" s="112" t="s">
        <v>17</v>
      </c>
      <c r="R3" s="118" t="s">
        <v>18</v>
      </c>
    </row>
    <row r="4" spans="1:18" ht="15.75">
      <c r="A4" s="119">
        <v>1</v>
      </c>
      <c r="B4" s="119" t="s">
        <v>19</v>
      </c>
      <c r="C4" s="120" t="s">
        <v>20</v>
      </c>
      <c r="D4" s="135">
        <v>500000</v>
      </c>
      <c r="E4" s="142">
        <v>66650</v>
      </c>
      <c r="F4" s="126">
        <v>566650</v>
      </c>
      <c r="G4" s="130">
        <v>50</v>
      </c>
      <c r="H4" s="133">
        <v>11333</v>
      </c>
      <c r="I4" s="145">
        <v>1333</v>
      </c>
      <c r="J4" s="125">
        <v>10000</v>
      </c>
      <c r="K4" s="126">
        <v>66650</v>
      </c>
      <c r="L4" s="140">
        <v>17329</v>
      </c>
      <c r="M4" s="138">
        <v>49321</v>
      </c>
      <c r="N4" s="127">
        <v>13</v>
      </c>
      <c r="O4" s="128">
        <v>37</v>
      </c>
      <c r="P4" s="136">
        <v>147329</v>
      </c>
      <c r="Q4" s="122">
        <v>419321</v>
      </c>
      <c r="R4" s="129"/>
    </row>
    <row r="5" spans="1:18" ht="15.75">
      <c r="A5" s="119">
        <v>2</v>
      </c>
      <c r="B5" s="119" t="s">
        <v>19</v>
      </c>
      <c r="C5" s="129" t="s">
        <v>21</v>
      </c>
      <c r="D5" s="135">
        <v>500000</v>
      </c>
      <c r="E5" s="142">
        <v>66650</v>
      </c>
      <c r="F5" s="126">
        <v>566650</v>
      </c>
      <c r="G5" s="130">
        <v>50</v>
      </c>
      <c r="H5" s="133">
        <v>11333</v>
      </c>
      <c r="I5" s="125">
        <v>1333</v>
      </c>
      <c r="J5" s="125">
        <v>10000</v>
      </c>
      <c r="K5" s="126">
        <v>66650</v>
      </c>
      <c r="L5" s="140">
        <v>21328</v>
      </c>
      <c r="M5" s="138">
        <v>45322</v>
      </c>
      <c r="N5" s="127">
        <v>16</v>
      </c>
      <c r="O5" s="128">
        <v>34</v>
      </c>
      <c r="P5" s="136">
        <v>181328</v>
      </c>
      <c r="Q5" s="122">
        <v>385322</v>
      </c>
      <c r="R5" s="129"/>
    </row>
    <row r="6" spans="1:18" ht="15.75">
      <c r="A6" s="119">
        <v>3</v>
      </c>
      <c r="B6" s="119" t="s">
        <v>19</v>
      </c>
      <c r="C6" s="129" t="s">
        <v>23</v>
      </c>
      <c r="D6" s="135">
        <v>330000</v>
      </c>
      <c r="E6" s="142">
        <v>43989</v>
      </c>
      <c r="F6" s="126">
        <v>373989</v>
      </c>
      <c r="G6" s="130">
        <v>50</v>
      </c>
      <c r="H6" s="133">
        <v>7479.78</v>
      </c>
      <c r="I6" s="125">
        <v>879.78</v>
      </c>
      <c r="J6" s="125">
        <v>6600</v>
      </c>
      <c r="K6" s="126">
        <v>43989</v>
      </c>
      <c r="L6" s="140">
        <v>11437.14</v>
      </c>
      <c r="M6" s="138">
        <v>32551.86</v>
      </c>
      <c r="N6" s="130">
        <v>13</v>
      </c>
      <c r="O6" s="128">
        <v>37</v>
      </c>
      <c r="P6" s="133">
        <v>97237.14</v>
      </c>
      <c r="Q6" s="121">
        <v>276751.86</v>
      </c>
      <c r="R6" s="129"/>
    </row>
    <row r="7" spans="1:18" ht="15.75">
      <c r="A7" s="119">
        <v>4</v>
      </c>
      <c r="B7" s="119" t="s">
        <v>19</v>
      </c>
      <c r="C7" s="129" t="s">
        <v>44</v>
      </c>
      <c r="D7" s="135">
        <v>330000</v>
      </c>
      <c r="E7" s="142">
        <v>43989</v>
      </c>
      <c r="F7" s="126">
        <v>373989</v>
      </c>
      <c r="G7" s="130">
        <v>50</v>
      </c>
      <c r="H7" s="133">
        <v>7479.78</v>
      </c>
      <c r="I7" s="125">
        <v>879.78</v>
      </c>
      <c r="J7" s="125">
        <v>6600</v>
      </c>
      <c r="K7" s="126">
        <v>43989</v>
      </c>
      <c r="L7" s="140">
        <v>4398.8999999999996</v>
      </c>
      <c r="M7" s="138">
        <v>39590.1</v>
      </c>
      <c r="N7" s="130">
        <v>5</v>
      </c>
      <c r="O7" s="128">
        <v>45</v>
      </c>
      <c r="P7" s="133">
        <v>37398.9</v>
      </c>
      <c r="Q7" s="121">
        <v>336590.1</v>
      </c>
      <c r="R7" s="129"/>
    </row>
    <row r="8" spans="1:18" s="106" customFormat="1" ht="15.75">
      <c r="A8" s="119">
        <v>5</v>
      </c>
      <c r="B8" s="119" t="s">
        <v>19</v>
      </c>
      <c r="C8" s="129" t="s">
        <v>52</v>
      </c>
      <c r="D8" s="135">
        <v>330000</v>
      </c>
      <c r="E8" s="142">
        <v>43989</v>
      </c>
      <c r="F8" s="126">
        <v>373989</v>
      </c>
      <c r="G8" s="130">
        <v>50</v>
      </c>
      <c r="H8" s="133">
        <v>7479.78</v>
      </c>
      <c r="I8" s="125">
        <v>879.78</v>
      </c>
      <c r="J8" s="125">
        <v>6600</v>
      </c>
      <c r="K8" s="126">
        <v>43989</v>
      </c>
      <c r="L8" s="140">
        <v>3519.12</v>
      </c>
      <c r="M8" s="138">
        <v>41349.660000000003</v>
      </c>
      <c r="N8" s="130">
        <v>4</v>
      </c>
      <c r="O8" s="128">
        <v>46</v>
      </c>
      <c r="P8" s="133">
        <v>29919.119999999999</v>
      </c>
      <c r="Q8" s="121">
        <v>344069.88</v>
      </c>
      <c r="R8" s="129"/>
    </row>
    <row r="9" spans="1:18" s="106" customFormat="1" ht="15.75">
      <c r="A9" s="119">
        <v>6</v>
      </c>
      <c r="B9" s="119" t="s">
        <v>19</v>
      </c>
      <c r="C9" s="129" t="s">
        <v>55</v>
      </c>
      <c r="D9" s="135">
        <v>330000</v>
      </c>
      <c r="E9" s="142">
        <v>43989</v>
      </c>
      <c r="F9" s="126">
        <v>373989</v>
      </c>
      <c r="G9" s="130">
        <v>50</v>
      </c>
      <c r="H9" s="133">
        <v>7479.78</v>
      </c>
      <c r="I9" s="125">
        <v>879.78</v>
      </c>
      <c r="J9" s="125">
        <v>6600</v>
      </c>
      <c r="K9" s="126">
        <v>43989</v>
      </c>
      <c r="L9" s="140">
        <v>3519.12</v>
      </c>
      <c r="M9" s="138">
        <v>41349.660000000003</v>
      </c>
      <c r="N9" s="130">
        <v>4</v>
      </c>
      <c r="O9" s="128">
        <v>46</v>
      </c>
      <c r="P9" s="133">
        <v>29919.119999999999</v>
      </c>
      <c r="Q9" s="121">
        <v>344069.88</v>
      </c>
      <c r="R9" s="129"/>
    </row>
    <row r="10" spans="1:18" ht="15.75">
      <c r="A10" s="119">
        <v>7</v>
      </c>
      <c r="B10" s="119" t="s">
        <v>19</v>
      </c>
      <c r="C10" s="129" t="s">
        <v>24</v>
      </c>
      <c r="D10" s="135">
        <v>150000</v>
      </c>
      <c r="E10" s="142">
        <v>19989</v>
      </c>
      <c r="F10" s="126">
        <v>169995</v>
      </c>
      <c r="G10" s="130">
        <v>50</v>
      </c>
      <c r="H10" s="133">
        <v>3399.9</v>
      </c>
      <c r="I10" s="125">
        <v>399.78</v>
      </c>
      <c r="J10" s="125">
        <v>3000.12</v>
      </c>
      <c r="K10" s="126">
        <v>19995</v>
      </c>
      <c r="L10" s="140">
        <v>5197.1400000000003</v>
      </c>
      <c r="M10" s="138">
        <v>14791.86</v>
      </c>
      <c r="N10" s="127">
        <v>13</v>
      </c>
      <c r="O10" s="128">
        <v>37</v>
      </c>
      <c r="P10" s="136">
        <v>44198.7</v>
      </c>
      <c r="Q10" s="122">
        <v>125796.3</v>
      </c>
      <c r="R10" s="129"/>
    </row>
    <row r="11" spans="1:18" ht="15.75">
      <c r="A11" s="119">
        <v>8</v>
      </c>
      <c r="B11" s="119" t="s">
        <v>19</v>
      </c>
      <c r="C11" s="129" t="s">
        <v>25</v>
      </c>
      <c r="D11" s="135">
        <v>150000</v>
      </c>
      <c r="E11" s="142">
        <v>19995</v>
      </c>
      <c r="F11" s="126">
        <v>169995</v>
      </c>
      <c r="G11" s="130">
        <v>50</v>
      </c>
      <c r="H11" s="133">
        <v>3399.9</v>
      </c>
      <c r="I11" s="125">
        <v>399.78</v>
      </c>
      <c r="J11" s="125">
        <v>3000.12</v>
      </c>
      <c r="K11" s="126">
        <v>19995</v>
      </c>
      <c r="L11" s="140">
        <v>7995.6</v>
      </c>
      <c r="M11" s="138">
        <v>11993.4</v>
      </c>
      <c r="N11" s="131">
        <v>20</v>
      </c>
      <c r="O11" s="128">
        <v>30</v>
      </c>
      <c r="P11" s="133">
        <v>67998</v>
      </c>
      <c r="Q11" s="121">
        <v>101997</v>
      </c>
      <c r="R11" s="129"/>
    </row>
    <row r="12" spans="1:18" ht="15.75">
      <c r="A12" s="119">
        <v>9</v>
      </c>
      <c r="B12" s="119" t="s">
        <v>19</v>
      </c>
      <c r="C12" s="120" t="s">
        <v>26</v>
      </c>
      <c r="D12" s="133">
        <v>450000</v>
      </c>
      <c r="E12" s="142">
        <v>59985</v>
      </c>
      <c r="F12" s="126">
        <v>509985</v>
      </c>
      <c r="G12" s="130">
        <v>50</v>
      </c>
      <c r="H12" s="136">
        <v>10199.700000000001</v>
      </c>
      <c r="I12" s="125">
        <v>1199.7</v>
      </c>
      <c r="J12" s="125">
        <v>9000</v>
      </c>
      <c r="K12" s="126">
        <v>59985</v>
      </c>
      <c r="L12" s="140">
        <v>23994</v>
      </c>
      <c r="M12" s="138">
        <v>35991</v>
      </c>
      <c r="N12" s="127">
        <v>20</v>
      </c>
      <c r="O12" s="128">
        <v>30</v>
      </c>
      <c r="P12" s="136">
        <v>203994</v>
      </c>
      <c r="Q12" s="122">
        <v>305991</v>
      </c>
      <c r="R12" s="129"/>
    </row>
    <row r="13" spans="1:18" ht="15.75">
      <c r="A13" s="119">
        <v>10</v>
      </c>
      <c r="B13" s="119" t="s">
        <v>19</v>
      </c>
      <c r="C13" s="120" t="s">
        <v>27</v>
      </c>
      <c r="D13" s="135">
        <v>450000</v>
      </c>
      <c r="E13" s="142">
        <v>59985</v>
      </c>
      <c r="F13" s="126">
        <v>509985</v>
      </c>
      <c r="G13" s="130">
        <v>50</v>
      </c>
      <c r="H13" s="133">
        <v>10199.700000000001</v>
      </c>
      <c r="I13" s="125">
        <v>1199.7</v>
      </c>
      <c r="J13" s="125">
        <v>9000</v>
      </c>
      <c r="K13" s="126">
        <v>59985</v>
      </c>
      <c r="L13" s="140">
        <v>56385.9</v>
      </c>
      <c r="M13" s="138">
        <v>3599.1</v>
      </c>
      <c r="N13" s="127">
        <v>47</v>
      </c>
      <c r="O13" s="128">
        <v>3</v>
      </c>
      <c r="P13" s="136">
        <v>479385.9</v>
      </c>
      <c r="Q13" s="122">
        <v>30599.1</v>
      </c>
      <c r="R13" s="129"/>
    </row>
    <row r="14" spans="1:18" ht="15.75">
      <c r="A14" s="119">
        <v>11</v>
      </c>
      <c r="B14" s="119" t="s">
        <v>19</v>
      </c>
      <c r="C14" s="129" t="s">
        <v>28</v>
      </c>
      <c r="D14" s="135">
        <v>500000</v>
      </c>
      <c r="E14" s="142">
        <v>66650</v>
      </c>
      <c r="F14" s="126">
        <v>566650</v>
      </c>
      <c r="G14" s="130">
        <v>50</v>
      </c>
      <c r="H14" s="133">
        <v>11333</v>
      </c>
      <c r="I14" s="125">
        <v>1333</v>
      </c>
      <c r="J14" s="125">
        <v>10000</v>
      </c>
      <c r="K14" s="126">
        <v>66650</v>
      </c>
      <c r="L14" s="140">
        <v>54653</v>
      </c>
      <c r="M14" s="138">
        <v>11997</v>
      </c>
      <c r="N14" s="127">
        <v>41</v>
      </c>
      <c r="O14" s="128">
        <v>9</v>
      </c>
      <c r="P14" s="136">
        <v>464653</v>
      </c>
      <c r="Q14" s="122">
        <v>101997</v>
      </c>
      <c r="R14" s="129"/>
    </row>
    <row r="15" spans="1:18" ht="15.75">
      <c r="A15" s="119">
        <v>12</v>
      </c>
      <c r="B15" s="119" t="s">
        <v>19</v>
      </c>
      <c r="C15" s="129" t="s">
        <v>29</v>
      </c>
      <c r="D15" s="135">
        <v>330000</v>
      </c>
      <c r="E15" s="142">
        <v>43989</v>
      </c>
      <c r="F15" s="126">
        <v>373989</v>
      </c>
      <c r="G15" s="130">
        <v>50</v>
      </c>
      <c r="H15" s="133">
        <v>7479</v>
      </c>
      <c r="I15" s="125">
        <v>879.78</v>
      </c>
      <c r="J15" s="125">
        <v>6600</v>
      </c>
      <c r="K15" s="126">
        <v>43989</v>
      </c>
      <c r="L15" s="140">
        <v>36070.980000000003</v>
      </c>
      <c r="M15" s="138">
        <v>7918.02</v>
      </c>
      <c r="N15" s="131">
        <v>41</v>
      </c>
      <c r="O15" s="128">
        <v>9</v>
      </c>
      <c r="P15" s="133">
        <v>306670.98</v>
      </c>
      <c r="Q15" s="123">
        <v>67318.02</v>
      </c>
      <c r="R15" s="129"/>
    </row>
    <row r="16" spans="1:18" ht="15.75">
      <c r="A16" s="119">
        <v>13</v>
      </c>
      <c r="B16" s="119" t="s">
        <v>19</v>
      </c>
      <c r="C16" s="129" t="s">
        <v>30</v>
      </c>
      <c r="D16" s="135">
        <v>150000</v>
      </c>
      <c r="E16" s="142">
        <v>19995</v>
      </c>
      <c r="F16" s="126">
        <v>169995</v>
      </c>
      <c r="G16" s="130">
        <v>50</v>
      </c>
      <c r="H16" s="133">
        <v>3399.9</v>
      </c>
      <c r="I16" s="125">
        <v>399.78</v>
      </c>
      <c r="J16" s="125">
        <v>3000.12</v>
      </c>
      <c r="K16" s="126">
        <v>19995</v>
      </c>
      <c r="L16" s="140">
        <v>4797.3599999999997</v>
      </c>
      <c r="M16" s="138">
        <v>15191.64</v>
      </c>
      <c r="N16" s="131">
        <v>12</v>
      </c>
      <c r="O16" s="128">
        <v>38</v>
      </c>
      <c r="P16" s="133">
        <v>40798.800000000003</v>
      </c>
      <c r="Q16" s="121">
        <v>129196.2</v>
      </c>
      <c r="R16" s="129"/>
    </row>
    <row r="17" spans="1:18" ht="15.75">
      <c r="A17" s="119">
        <v>14</v>
      </c>
      <c r="B17" s="119" t="s">
        <v>19</v>
      </c>
      <c r="C17" s="129" t="s">
        <v>43</v>
      </c>
      <c r="D17" s="135">
        <v>150000</v>
      </c>
      <c r="E17" s="142">
        <v>19995</v>
      </c>
      <c r="F17" s="126">
        <v>169995</v>
      </c>
      <c r="G17" s="130">
        <v>50</v>
      </c>
      <c r="H17" s="133">
        <v>3399.9</v>
      </c>
      <c r="I17" s="125">
        <v>399.78</v>
      </c>
      <c r="J17" s="125">
        <v>3000.12</v>
      </c>
      <c r="K17" s="126">
        <v>19995</v>
      </c>
      <c r="L17" s="140">
        <v>1998.9</v>
      </c>
      <c r="M17" s="138">
        <v>17990.099999999999</v>
      </c>
      <c r="N17" s="131">
        <v>5</v>
      </c>
      <c r="O17" s="128">
        <v>45</v>
      </c>
      <c r="P17" s="133">
        <v>16999.5</v>
      </c>
      <c r="Q17" s="121">
        <v>152995.5</v>
      </c>
      <c r="R17" s="129"/>
    </row>
    <row r="18" spans="1:18" ht="15.75">
      <c r="A18" s="119">
        <v>15</v>
      </c>
      <c r="B18" s="119" t="s">
        <v>19</v>
      </c>
      <c r="C18" s="129" t="s">
        <v>58</v>
      </c>
      <c r="D18" s="135">
        <v>150000</v>
      </c>
      <c r="E18" s="142">
        <v>19995</v>
      </c>
      <c r="F18" s="126">
        <v>169995</v>
      </c>
      <c r="G18" s="130">
        <v>50</v>
      </c>
      <c r="H18" s="133">
        <v>3399.9</v>
      </c>
      <c r="I18" s="125">
        <v>399.78</v>
      </c>
      <c r="J18" s="125">
        <v>3000.12</v>
      </c>
      <c r="K18" s="126">
        <v>19995</v>
      </c>
      <c r="L18" s="140">
        <v>8795.16</v>
      </c>
      <c r="M18" s="138">
        <v>11199.84</v>
      </c>
      <c r="N18" s="131">
        <v>22</v>
      </c>
      <c r="O18" s="128">
        <v>28</v>
      </c>
      <c r="P18" s="133">
        <v>74797.8</v>
      </c>
      <c r="Q18" s="123">
        <v>95197.2</v>
      </c>
      <c r="R18" s="129"/>
    </row>
    <row r="19" spans="1:18" ht="15.75">
      <c r="A19" s="119">
        <v>16</v>
      </c>
      <c r="B19" s="119" t="s">
        <v>19</v>
      </c>
      <c r="C19" s="129" t="s">
        <v>32</v>
      </c>
      <c r="D19" s="135">
        <v>150000</v>
      </c>
      <c r="E19" s="142">
        <v>19995</v>
      </c>
      <c r="F19" s="126">
        <v>169995</v>
      </c>
      <c r="G19" s="130">
        <v>50</v>
      </c>
      <c r="H19" s="133">
        <v>3399.9</v>
      </c>
      <c r="I19" s="125">
        <v>399.78</v>
      </c>
      <c r="J19" s="125">
        <v>3000.12</v>
      </c>
      <c r="K19" s="126">
        <v>19995</v>
      </c>
      <c r="L19" s="140">
        <v>16390.98</v>
      </c>
      <c r="M19" s="138">
        <v>3598.02</v>
      </c>
      <c r="N19" s="131">
        <v>41</v>
      </c>
      <c r="O19" s="128">
        <v>9</v>
      </c>
      <c r="P19" s="133">
        <v>139395.9</v>
      </c>
      <c r="Q19" s="123">
        <v>30599.1</v>
      </c>
      <c r="R19" s="129"/>
    </row>
    <row r="20" spans="1:18" ht="15.75">
      <c r="A20" s="119">
        <v>17</v>
      </c>
      <c r="B20" s="119" t="s">
        <v>19</v>
      </c>
      <c r="C20" s="129" t="s">
        <v>33</v>
      </c>
      <c r="D20" s="133">
        <v>150000</v>
      </c>
      <c r="E20" s="142">
        <v>19995</v>
      </c>
      <c r="F20" s="126">
        <v>169995</v>
      </c>
      <c r="G20" s="130">
        <v>50</v>
      </c>
      <c r="H20" s="133">
        <v>3399.9</v>
      </c>
      <c r="I20" s="125">
        <v>399.78</v>
      </c>
      <c r="J20" s="125">
        <v>3000.12</v>
      </c>
      <c r="K20" s="126">
        <v>19995</v>
      </c>
      <c r="L20" s="140">
        <v>16390.98</v>
      </c>
      <c r="M20" s="138">
        <v>3598.02</v>
      </c>
      <c r="N20" s="131">
        <v>41</v>
      </c>
      <c r="O20" s="128">
        <v>9</v>
      </c>
      <c r="P20" s="133">
        <v>139395.9</v>
      </c>
      <c r="Q20" s="123">
        <v>30599.1</v>
      </c>
      <c r="R20" s="129"/>
    </row>
    <row r="21" spans="1:18" ht="15.75">
      <c r="A21" s="119">
        <v>18</v>
      </c>
      <c r="B21" s="119" t="s">
        <v>19</v>
      </c>
      <c r="C21" s="120" t="s">
        <v>34</v>
      </c>
      <c r="D21" s="135">
        <v>150000</v>
      </c>
      <c r="E21" s="142">
        <v>19995</v>
      </c>
      <c r="F21" s="126">
        <v>169995</v>
      </c>
      <c r="G21" s="130">
        <v>50</v>
      </c>
      <c r="H21" s="133">
        <v>3399.9</v>
      </c>
      <c r="I21" s="125">
        <v>399.78</v>
      </c>
      <c r="J21" s="125">
        <v>3000.12</v>
      </c>
      <c r="K21" s="126">
        <v>19995</v>
      </c>
      <c r="L21" s="140">
        <v>16390.98</v>
      </c>
      <c r="M21" s="138">
        <v>3598.02</v>
      </c>
      <c r="N21" s="131">
        <v>41</v>
      </c>
      <c r="O21" s="128">
        <v>9</v>
      </c>
      <c r="P21" s="133">
        <v>139395.9</v>
      </c>
      <c r="Q21" s="123">
        <v>30599.1</v>
      </c>
      <c r="R21" s="129"/>
    </row>
    <row r="22" spans="1:18" ht="15.75">
      <c r="A22" s="119">
        <v>19</v>
      </c>
      <c r="B22" s="119" t="s">
        <v>19</v>
      </c>
      <c r="C22" s="129" t="s">
        <v>36</v>
      </c>
      <c r="D22" s="135">
        <v>150000</v>
      </c>
      <c r="E22" s="142">
        <v>19995</v>
      </c>
      <c r="F22" s="126">
        <v>169995</v>
      </c>
      <c r="G22" s="130">
        <v>50</v>
      </c>
      <c r="H22" s="133">
        <v>3399.9</v>
      </c>
      <c r="I22" s="125">
        <v>399.78</v>
      </c>
      <c r="J22" s="125">
        <v>3000.12</v>
      </c>
      <c r="K22" s="126">
        <v>19995</v>
      </c>
      <c r="L22" s="140">
        <v>16390.98</v>
      </c>
      <c r="M22" s="138">
        <v>3598.02</v>
      </c>
      <c r="N22" s="131">
        <v>41</v>
      </c>
      <c r="O22" s="128">
        <v>9</v>
      </c>
      <c r="P22" s="133">
        <v>139395.9</v>
      </c>
      <c r="Q22" s="123">
        <v>30599.1</v>
      </c>
      <c r="R22" s="129"/>
    </row>
    <row r="23" spans="1:18" s="106" customFormat="1" ht="15.75">
      <c r="A23" s="119"/>
      <c r="B23" s="119" t="s">
        <v>19</v>
      </c>
      <c r="C23" s="129" t="s">
        <v>59</v>
      </c>
      <c r="D23" s="135">
        <v>330000</v>
      </c>
      <c r="E23" s="142">
        <v>43989</v>
      </c>
      <c r="F23" s="126">
        <v>373989</v>
      </c>
      <c r="G23" s="130">
        <v>50</v>
      </c>
      <c r="H23" s="133">
        <v>7479.78</v>
      </c>
      <c r="I23" s="125">
        <v>879.78</v>
      </c>
      <c r="J23" s="125">
        <v>6600</v>
      </c>
      <c r="K23" s="126">
        <v>43989</v>
      </c>
      <c r="L23" s="140">
        <v>32551.86</v>
      </c>
      <c r="M23" s="138">
        <v>11437.14</v>
      </c>
      <c r="N23" s="131">
        <v>37</v>
      </c>
      <c r="O23" s="147">
        <v>13</v>
      </c>
      <c r="P23" s="133">
        <v>276751.86</v>
      </c>
      <c r="Q23" s="123">
        <v>97237.14</v>
      </c>
      <c r="R23" s="129"/>
    </row>
    <row r="24" spans="1:18" ht="15.75">
      <c r="A24" s="119">
        <v>20</v>
      </c>
      <c r="B24" s="119" t="s">
        <v>19</v>
      </c>
      <c r="C24" s="129" t="s">
        <v>50</v>
      </c>
      <c r="D24" s="135">
        <v>500000</v>
      </c>
      <c r="E24" s="142">
        <v>66650</v>
      </c>
      <c r="F24" s="126">
        <v>566650</v>
      </c>
      <c r="G24" s="130">
        <v>50</v>
      </c>
      <c r="H24" s="133">
        <v>11333</v>
      </c>
      <c r="I24" s="139">
        <v>1333</v>
      </c>
      <c r="J24" s="125">
        <v>10000</v>
      </c>
      <c r="K24" s="126">
        <v>66650</v>
      </c>
      <c r="L24" s="140">
        <v>2666</v>
      </c>
      <c r="M24" s="138">
        <v>63984</v>
      </c>
      <c r="N24" s="131">
        <v>2</v>
      </c>
      <c r="O24" s="128">
        <v>48</v>
      </c>
      <c r="P24" s="133">
        <v>22666</v>
      </c>
      <c r="Q24" s="123">
        <v>543984</v>
      </c>
      <c r="R24" s="129"/>
    </row>
    <row r="25" spans="1:18" ht="15.75">
      <c r="A25" s="119">
        <v>21</v>
      </c>
      <c r="B25" s="119" t="s">
        <v>19</v>
      </c>
      <c r="C25" s="129" t="s">
        <v>49</v>
      </c>
      <c r="D25" s="135">
        <v>500000</v>
      </c>
      <c r="E25" s="142">
        <v>66650</v>
      </c>
      <c r="F25" s="126">
        <v>566650</v>
      </c>
      <c r="G25" s="130">
        <v>50</v>
      </c>
      <c r="H25" s="133">
        <v>11333</v>
      </c>
      <c r="I25" s="139">
        <v>1333</v>
      </c>
      <c r="J25" s="125">
        <v>10000</v>
      </c>
      <c r="K25" s="126">
        <v>66650</v>
      </c>
      <c r="L25" s="140">
        <v>2666</v>
      </c>
      <c r="M25" s="138">
        <v>63984</v>
      </c>
      <c r="N25" s="131">
        <v>2</v>
      </c>
      <c r="O25" s="128">
        <v>48</v>
      </c>
      <c r="P25" s="133">
        <v>22666</v>
      </c>
      <c r="Q25" s="123">
        <v>543984</v>
      </c>
      <c r="R25" s="129"/>
    </row>
    <row r="26" spans="1:18" ht="15.75">
      <c r="A26" s="119"/>
      <c r="B26" s="119"/>
      <c r="C26" s="120" t="s">
        <v>37</v>
      </c>
      <c r="D26" s="133">
        <f>SUM(D4:D25)</f>
        <v>6730000</v>
      </c>
      <c r="E26" s="142">
        <f>SUM(E4:E25)</f>
        <v>897103</v>
      </c>
      <c r="F26" s="133">
        <f>SUM(F4:F25)</f>
        <v>7627109</v>
      </c>
      <c r="G26" s="124"/>
      <c r="H26" s="133">
        <f t="shared" ref="H26:M26" si="0">SUM(H4:H25)</f>
        <v>152541.39999999997</v>
      </c>
      <c r="I26" s="125">
        <f t="shared" si="0"/>
        <v>17941.100000000006</v>
      </c>
      <c r="J26" s="125">
        <f t="shared" si="0"/>
        <v>134601.07999999996</v>
      </c>
      <c r="K26" s="126">
        <f t="shared" si="0"/>
        <v>897109</v>
      </c>
      <c r="L26" s="137">
        <f t="shared" si="0"/>
        <v>364867.09999999992</v>
      </c>
      <c r="M26" s="138">
        <f t="shared" si="0"/>
        <v>533953.4600000002</v>
      </c>
      <c r="N26" s="131"/>
      <c r="O26" s="128"/>
      <c r="P26" s="123">
        <f>SUM(P4:P25)</f>
        <v>3102295.419999999</v>
      </c>
      <c r="Q26" s="123">
        <f>SUM(Q4:Q25)</f>
        <v>4524813.58</v>
      </c>
      <c r="R26" s="129"/>
    </row>
  </sheetData>
  <mergeCells count="1">
    <mergeCell ref="A1:R1"/>
  </mergeCells>
  <pageMargins left="0.7" right="0.7" top="0.75" bottom="0.75" header="0.3" footer="0.3"/>
  <pageSetup scale="53" fitToHeight="7" orientation="landscape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26"/>
  <sheetViews>
    <sheetView topLeftCell="I1" workbookViewId="0">
      <selection activeCell="Q4" sqref="Q4"/>
    </sheetView>
  </sheetViews>
  <sheetFormatPr defaultRowHeight="15"/>
  <cols>
    <col min="1" max="1" width="4.7109375" customWidth="1"/>
    <col min="2" max="2" width="8.85546875" customWidth="1"/>
    <col min="3" max="3" width="33.85546875" customWidth="1"/>
    <col min="4" max="4" width="19.28515625" customWidth="1"/>
    <col min="5" max="5" width="16.42578125" customWidth="1"/>
    <col min="6" max="6" width="18.140625" customWidth="1"/>
    <col min="8" max="8" width="16.7109375" customWidth="1"/>
    <col min="9" max="9" width="15.7109375" customWidth="1"/>
    <col min="10" max="10" width="15.5703125" customWidth="1"/>
    <col min="11" max="11" width="16.42578125" customWidth="1"/>
    <col min="12" max="12" width="15.5703125" customWidth="1"/>
    <col min="13" max="13" width="15.85546875" customWidth="1"/>
    <col min="16" max="16" width="18.28515625" customWidth="1"/>
    <col min="17" max="17" width="18.5703125" customWidth="1"/>
  </cols>
  <sheetData>
    <row r="1" spans="1:18" ht="18.75">
      <c r="A1" s="241" t="s">
        <v>56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</row>
    <row r="2" spans="1:18" ht="18.75">
      <c r="A2" s="150"/>
      <c r="B2" s="150"/>
      <c r="C2" s="150"/>
      <c r="D2" s="151"/>
      <c r="E2" s="151"/>
      <c r="F2" s="151"/>
      <c r="G2" s="152" t="s">
        <v>1</v>
      </c>
      <c r="H2" s="151"/>
      <c r="I2" s="150"/>
      <c r="J2" s="150"/>
      <c r="K2" s="150"/>
      <c r="L2" s="150"/>
      <c r="M2" s="150"/>
      <c r="N2" s="153"/>
      <c r="O2" s="153"/>
      <c r="P2" s="151"/>
      <c r="Q2" s="151"/>
      <c r="R2" s="150"/>
    </row>
    <row r="3" spans="1:18" ht="75">
      <c r="A3" s="111" t="s">
        <v>2</v>
      </c>
      <c r="B3" s="111" t="s">
        <v>3</v>
      </c>
      <c r="C3" s="134" t="s">
        <v>4</v>
      </c>
      <c r="D3" s="134" t="s">
        <v>5</v>
      </c>
      <c r="E3" s="111" t="s">
        <v>6</v>
      </c>
      <c r="F3" s="134" t="s">
        <v>7</v>
      </c>
      <c r="G3" s="111" t="s">
        <v>8</v>
      </c>
      <c r="H3" s="134" t="s">
        <v>9</v>
      </c>
      <c r="I3" s="113" t="s">
        <v>10</v>
      </c>
      <c r="J3" s="113" t="s">
        <v>11</v>
      </c>
      <c r="K3" s="111" t="s">
        <v>6</v>
      </c>
      <c r="L3" s="114" t="s">
        <v>12</v>
      </c>
      <c r="M3" s="115" t="s">
        <v>13</v>
      </c>
      <c r="N3" s="116" t="s">
        <v>14</v>
      </c>
      <c r="O3" s="117" t="s">
        <v>15</v>
      </c>
      <c r="P3" s="112" t="s">
        <v>16</v>
      </c>
      <c r="Q3" s="112" t="s">
        <v>17</v>
      </c>
      <c r="R3" s="118" t="s">
        <v>18</v>
      </c>
    </row>
    <row r="4" spans="1:18" ht="18.75">
      <c r="A4" s="154">
        <v>1</v>
      </c>
      <c r="B4" s="154" t="s">
        <v>19</v>
      </c>
      <c r="C4" s="36" t="s">
        <v>20</v>
      </c>
      <c r="D4" s="155">
        <v>500000</v>
      </c>
      <c r="E4" s="156">
        <v>66650</v>
      </c>
      <c r="F4" s="157">
        <v>566650</v>
      </c>
      <c r="G4" s="158">
        <v>50</v>
      </c>
      <c r="H4" s="159">
        <v>11333</v>
      </c>
      <c r="I4" s="160">
        <v>1333</v>
      </c>
      <c r="J4" s="161">
        <v>10000</v>
      </c>
      <c r="K4" s="157">
        <v>66650</v>
      </c>
      <c r="L4" s="162">
        <v>18662</v>
      </c>
      <c r="M4" s="163">
        <v>47988</v>
      </c>
      <c r="N4" s="164">
        <v>14</v>
      </c>
      <c r="O4" s="165">
        <v>36</v>
      </c>
      <c r="P4" s="166">
        <v>158662</v>
      </c>
      <c r="Q4" s="167">
        <v>407988</v>
      </c>
      <c r="R4" s="149"/>
    </row>
    <row r="5" spans="1:18" ht="18.75">
      <c r="A5" s="154">
        <v>2</v>
      </c>
      <c r="B5" s="154" t="s">
        <v>19</v>
      </c>
      <c r="C5" s="149" t="s">
        <v>21</v>
      </c>
      <c r="D5" s="155">
        <v>500000</v>
      </c>
      <c r="E5" s="156">
        <v>66650</v>
      </c>
      <c r="F5" s="157">
        <v>566650</v>
      </c>
      <c r="G5" s="158">
        <v>50</v>
      </c>
      <c r="H5" s="159">
        <v>11333</v>
      </c>
      <c r="I5" s="161">
        <v>1333</v>
      </c>
      <c r="J5" s="161">
        <v>10000</v>
      </c>
      <c r="K5" s="157">
        <v>66650</v>
      </c>
      <c r="L5" s="162">
        <v>22661</v>
      </c>
      <c r="M5" s="163">
        <v>43989</v>
      </c>
      <c r="N5" s="164">
        <v>17</v>
      </c>
      <c r="O5" s="165">
        <v>33</v>
      </c>
      <c r="P5" s="166">
        <v>192661</v>
      </c>
      <c r="Q5" s="167">
        <v>373989</v>
      </c>
      <c r="R5" s="149"/>
    </row>
    <row r="6" spans="1:18" ht="18.75">
      <c r="A6" s="154">
        <v>3</v>
      </c>
      <c r="B6" s="154" t="s">
        <v>19</v>
      </c>
      <c r="C6" s="149" t="s">
        <v>23</v>
      </c>
      <c r="D6" s="155">
        <v>330000</v>
      </c>
      <c r="E6" s="156">
        <v>43989</v>
      </c>
      <c r="F6" s="157">
        <v>373989</v>
      </c>
      <c r="G6" s="158">
        <v>50</v>
      </c>
      <c r="H6" s="159">
        <v>7479.78</v>
      </c>
      <c r="I6" s="161">
        <v>879.78</v>
      </c>
      <c r="J6" s="161">
        <v>6600</v>
      </c>
      <c r="K6" s="157">
        <v>43989</v>
      </c>
      <c r="L6" s="162">
        <v>12316.92</v>
      </c>
      <c r="M6" s="163">
        <v>31672.080000000002</v>
      </c>
      <c r="N6" s="158">
        <v>14</v>
      </c>
      <c r="O6" s="165">
        <v>36</v>
      </c>
      <c r="P6" s="159">
        <v>104716.92</v>
      </c>
      <c r="Q6" s="168">
        <v>269272.08</v>
      </c>
      <c r="R6" s="149"/>
    </row>
    <row r="7" spans="1:18" ht="18.75">
      <c r="A7" s="154">
        <v>4</v>
      </c>
      <c r="B7" s="154" t="s">
        <v>19</v>
      </c>
      <c r="C7" s="149" t="s">
        <v>44</v>
      </c>
      <c r="D7" s="155">
        <v>330000</v>
      </c>
      <c r="E7" s="156">
        <v>43989</v>
      </c>
      <c r="F7" s="157">
        <v>373989</v>
      </c>
      <c r="G7" s="158">
        <v>50</v>
      </c>
      <c r="H7" s="159">
        <v>7479.78</v>
      </c>
      <c r="I7" s="161">
        <v>879.78</v>
      </c>
      <c r="J7" s="161">
        <v>6600</v>
      </c>
      <c r="K7" s="157">
        <v>43989</v>
      </c>
      <c r="L7" s="162">
        <v>5278.68</v>
      </c>
      <c r="M7" s="163">
        <v>38710.32</v>
      </c>
      <c r="N7" s="158">
        <v>6</v>
      </c>
      <c r="O7" s="165">
        <v>44</v>
      </c>
      <c r="P7" s="159">
        <v>44878.68</v>
      </c>
      <c r="Q7" s="168">
        <v>329110.32</v>
      </c>
      <c r="R7" s="149"/>
    </row>
    <row r="8" spans="1:18" ht="18.75">
      <c r="A8" s="154">
        <v>5</v>
      </c>
      <c r="B8" s="154" t="s">
        <v>19</v>
      </c>
      <c r="C8" s="149" t="s">
        <v>52</v>
      </c>
      <c r="D8" s="155">
        <v>330000</v>
      </c>
      <c r="E8" s="156">
        <v>43989</v>
      </c>
      <c r="F8" s="157">
        <v>373989</v>
      </c>
      <c r="G8" s="158">
        <v>50</v>
      </c>
      <c r="H8" s="159">
        <v>7479.78</v>
      </c>
      <c r="I8" s="161">
        <v>879.78</v>
      </c>
      <c r="J8" s="161">
        <v>6600</v>
      </c>
      <c r="K8" s="157">
        <v>43989</v>
      </c>
      <c r="L8" s="162">
        <v>4398.8999999999996</v>
      </c>
      <c r="M8" s="163">
        <v>39590.1</v>
      </c>
      <c r="N8" s="158">
        <v>5</v>
      </c>
      <c r="O8" s="165">
        <v>45</v>
      </c>
      <c r="P8" s="159">
        <v>37398.9</v>
      </c>
      <c r="Q8" s="168">
        <v>336590.1</v>
      </c>
      <c r="R8" s="149"/>
    </row>
    <row r="9" spans="1:18" ht="18.75">
      <c r="A9" s="154">
        <v>6</v>
      </c>
      <c r="B9" s="154" t="s">
        <v>19</v>
      </c>
      <c r="C9" s="149" t="s">
        <v>55</v>
      </c>
      <c r="D9" s="155">
        <v>330000</v>
      </c>
      <c r="E9" s="156">
        <v>43989</v>
      </c>
      <c r="F9" s="157">
        <v>373989</v>
      </c>
      <c r="G9" s="158">
        <v>50</v>
      </c>
      <c r="H9" s="159">
        <v>7479.78</v>
      </c>
      <c r="I9" s="161">
        <v>879.78</v>
      </c>
      <c r="J9" s="161">
        <v>6600</v>
      </c>
      <c r="K9" s="157">
        <v>43989</v>
      </c>
      <c r="L9" s="162">
        <v>4398.8999999999996</v>
      </c>
      <c r="M9" s="163">
        <v>39590.1</v>
      </c>
      <c r="N9" s="158">
        <v>5</v>
      </c>
      <c r="O9" s="165">
        <v>45</v>
      </c>
      <c r="P9" s="159">
        <v>37398.9</v>
      </c>
      <c r="Q9" s="168">
        <v>336590.1</v>
      </c>
      <c r="R9" s="149"/>
    </row>
    <row r="10" spans="1:18" ht="18.75">
      <c r="A10" s="154">
        <v>7</v>
      </c>
      <c r="B10" s="154" t="s">
        <v>19</v>
      </c>
      <c r="C10" s="149" t="s">
        <v>24</v>
      </c>
      <c r="D10" s="155">
        <v>150000</v>
      </c>
      <c r="E10" s="156">
        <v>19989</v>
      </c>
      <c r="F10" s="157">
        <v>169995</v>
      </c>
      <c r="G10" s="158">
        <v>50</v>
      </c>
      <c r="H10" s="159">
        <v>3399.9</v>
      </c>
      <c r="I10" s="161">
        <v>399.78</v>
      </c>
      <c r="J10" s="161">
        <v>3000.12</v>
      </c>
      <c r="K10" s="157">
        <v>19995</v>
      </c>
      <c r="L10" s="162">
        <v>5596.92</v>
      </c>
      <c r="M10" s="163">
        <v>14392.08</v>
      </c>
      <c r="N10" s="164">
        <v>14</v>
      </c>
      <c r="O10" s="165">
        <v>36</v>
      </c>
      <c r="P10" s="166">
        <v>47598.6</v>
      </c>
      <c r="Q10" s="167">
        <v>122396.4</v>
      </c>
      <c r="R10" s="149"/>
    </row>
    <row r="11" spans="1:18" ht="18.75">
      <c r="A11" s="154">
        <v>8</v>
      </c>
      <c r="B11" s="154" t="s">
        <v>19</v>
      </c>
      <c r="C11" s="149" t="s">
        <v>25</v>
      </c>
      <c r="D11" s="155">
        <v>150000</v>
      </c>
      <c r="E11" s="156">
        <v>19995</v>
      </c>
      <c r="F11" s="157">
        <v>169995</v>
      </c>
      <c r="G11" s="158">
        <v>50</v>
      </c>
      <c r="H11" s="159">
        <v>3399.9</v>
      </c>
      <c r="I11" s="161">
        <v>399.78</v>
      </c>
      <c r="J11" s="161">
        <v>3000.12</v>
      </c>
      <c r="K11" s="157">
        <v>19995</v>
      </c>
      <c r="L11" s="162">
        <v>8395.3799999999992</v>
      </c>
      <c r="M11" s="163">
        <v>11593.63</v>
      </c>
      <c r="N11" s="169">
        <v>21</v>
      </c>
      <c r="O11" s="165">
        <v>29</v>
      </c>
      <c r="P11" s="159">
        <v>71397.899999999994</v>
      </c>
      <c r="Q11" s="168">
        <v>98597.1</v>
      </c>
      <c r="R11" s="149"/>
    </row>
    <row r="12" spans="1:18" ht="18.75">
      <c r="A12" s="154">
        <v>9</v>
      </c>
      <c r="B12" s="154" t="s">
        <v>19</v>
      </c>
      <c r="C12" s="36" t="s">
        <v>26</v>
      </c>
      <c r="D12" s="159">
        <v>450000</v>
      </c>
      <c r="E12" s="156">
        <v>59985</v>
      </c>
      <c r="F12" s="157">
        <v>509985</v>
      </c>
      <c r="G12" s="158">
        <v>50</v>
      </c>
      <c r="H12" s="166">
        <v>10199.700000000001</v>
      </c>
      <c r="I12" s="161">
        <v>1199.7</v>
      </c>
      <c r="J12" s="161">
        <v>9000</v>
      </c>
      <c r="K12" s="157">
        <v>59985</v>
      </c>
      <c r="L12" s="162">
        <v>25193.7</v>
      </c>
      <c r="M12" s="163">
        <v>34791.300000000003</v>
      </c>
      <c r="N12" s="164">
        <v>21</v>
      </c>
      <c r="O12" s="165">
        <v>29</v>
      </c>
      <c r="P12" s="166">
        <v>203994</v>
      </c>
      <c r="Q12" s="167">
        <v>295791.3</v>
      </c>
      <c r="R12" s="149"/>
    </row>
    <row r="13" spans="1:18" ht="18.75">
      <c r="A13" s="154">
        <v>10</v>
      </c>
      <c r="B13" s="154" t="s">
        <v>19</v>
      </c>
      <c r="C13" s="36" t="s">
        <v>27</v>
      </c>
      <c r="D13" s="155">
        <v>450000</v>
      </c>
      <c r="E13" s="156">
        <v>59985</v>
      </c>
      <c r="F13" s="157">
        <v>509985</v>
      </c>
      <c r="G13" s="158">
        <v>50</v>
      </c>
      <c r="H13" s="159">
        <v>10199.700000000001</v>
      </c>
      <c r="I13" s="161">
        <v>1199.7</v>
      </c>
      <c r="J13" s="161">
        <v>9000</v>
      </c>
      <c r="K13" s="157">
        <v>59985</v>
      </c>
      <c r="L13" s="162">
        <v>57585.599999999999</v>
      </c>
      <c r="M13" s="163">
        <v>2399.4</v>
      </c>
      <c r="N13" s="164">
        <v>48</v>
      </c>
      <c r="O13" s="165">
        <v>2</v>
      </c>
      <c r="P13" s="166">
        <v>489585.6</v>
      </c>
      <c r="Q13" s="167">
        <v>20399.400000000001</v>
      </c>
      <c r="R13" s="149"/>
    </row>
    <row r="14" spans="1:18" ht="18.75">
      <c r="A14" s="154">
        <v>11</v>
      </c>
      <c r="B14" s="154" t="s">
        <v>19</v>
      </c>
      <c r="C14" s="149" t="s">
        <v>28</v>
      </c>
      <c r="D14" s="155">
        <v>500000</v>
      </c>
      <c r="E14" s="156">
        <v>66650</v>
      </c>
      <c r="F14" s="157">
        <v>566650</v>
      </c>
      <c r="G14" s="158">
        <v>50</v>
      </c>
      <c r="H14" s="159">
        <v>11333</v>
      </c>
      <c r="I14" s="161">
        <v>1333</v>
      </c>
      <c r="J14" s="161">
        <v>10000</v>
      </c>
      <c r="K14" s="157">
        <v>66650</v>
      </c>
      <c r="L14" s="162">
        <v>55986</v>
      </c>
      <c r="M14" s="163">
        <v>10664</v>
      </c>
      <c r="N14" s="164">
        <v>42</v>
      </c>
      <c r="O14" s="165">
        <v>8</v>
      </c>
      <c r="P14" s="166">
        <v>475986</v>
      </c>
      <c r="Q14" s="167">
        <v>90664</v>
      </c>
      <c r="R14" s="149"/>
    </row>
    <row r="15" spans="1:18" ht="18.75">
      <c r="A15" s="154">
        <v>12</v>
      </c>
      <c r="B15" s="154" t="s">
        <v>19</v>
      </c>
      <c r="C15" s="149" t="s">
        <v>29</v>
      </c>
      <c r="D15" s="155">
        <v>330000</v>
      </c>
      <c r="E15" s="156">
        <v>43989</v>
      </c>
      <c r="F15" s="157">
        <v>373989</v>
      </c>
      <c r="G15" s="158">
        <v>50</v>
      </c>
      <c r="H15" s="159">
        <v>7479</v>
      </c>
      <c r="I15" s="161">
        <v>879.78</v>
      </c>
      <c r="J15" s="161">
        <v>6600</v>
      </c>
      <c r="K15" s="157">
        <v>43989</v>
      </c>
      <c r="L15" s="162">
        <v>36950.76</v>
      </c>
      <c r="M15" s="163">
        <v>7038.24</v>
      </c>
      <c r="N15" s="169">
        <v>42</v>
      </c>
      <c r="O15" s="165">
        <v>8</v>
      </c>
      <c r="P15" s="159">
        <v>314150.76</v>
      </c>
      <c r="Q15" s="170">
        <v>59838.239999999998</v>
      </c>
      <c r="R15" s="149"/>
    </row>
    <row r="16" spans="1:18" ht="18.75">
      <c r="A16" s="154">
        <v>13</v>
      </c>
      <c r="B16" s="154" t="s">
        <v>19</v>
      </c>
      <c r="C16" s="149" t="s">
        <v>30</v>
      </c>
      <c r="D16" s="155">
        <v>150000</v>
      </c>
      <c r="E16" s="156">
        <v>19995</v>
      </c>
      <c r="F16" s="157">
        <v>169995</v>
      </c>
      <c r="G16" s="158">
        <v>50</v>
      </c>
      <c r="H16" s="159">
        <v>3399.9</v>
      </c>
      <c r="I16" s="161">
        <v>399.78</v>
      </c>
      <c r="J16" s="161">
        <v>3000.12</v>
      </c>
      <c r="K16" s="157">
        <v>19995</v>
      </c>
      <c r="L16" s="162">
        <v>5197.1400000000003</v>
      </c>
      <c r="M16" s="163">
        <v>14791.86</v>
      </c>
      <c r="N16" s="169">
        <v>13</v>
      </c>
      <c r="O16" s="165">
        <v>37</v>
      </c>
      <c r="P16" s="159">
        <v>44198.7</v>
      </c>
      <c r="Q16" s="168">
        <v>125796.3</v>
      </c>
      <c r="R16" s="149"/>
    </row>
    <row r="17" spans="1:18" ht="18.75">
      <c r="A17" s="154">
        <v>14</v>
      </c>
      <c r="B17" s="154" t="s">
        <v>19</v>
      </c>
      <c r="C17" s="149" t="s">
        <v>43</v>
      </c>
      <c r="D17" s="155">
        <v>150000</v>
      </c>
      <c r="E17" s="156">
        <v>19995</v>
      </c>
      <c r="F17" s="157">
        <v>169995</v>
      </c>
      <c r="G17" s="158">
        <v>50</v>
      </c>
      <c r="H17" s="159">
        <v>3399.9</v>
      </c>
      <c r="I17" s="161">
        <v>399.78</v>
      </c>
      <c r="J17" s="161">
        <v>3000.12</v>
      </c>
      <c r="K17" s="157">
        <v>19995</v>
      </c>
      <c r="L17" s="162">
        <v>2398.6799999999998</v>
      </c>
      <c r="M17" s="163">
        <v>17590.32</v>
      </c>
      <c r="N17" s="169">
        <v>6</v>
      </c>
      <c r="O17" s="165">
        <v>44</v>
      </c>
      <c r="P17" s="159">
        <v>20399.400000000001</v>
      </c>
      <c r="Q17" s="168">
        <v>149595.6</v>
      </c>
      <c r="R17" s="149"/>
    </row>
    <row r="18" spans="1:18" ht="18.75">
      <c r="A18" s="154">
        <v>15</v>
      </c>
      <c r="B18" s="154" t="s">
        <v>19</v>
      </c>
      <c r="C18" s="149" t="s">
        <v>58</v>
      </c>
      <c r="D18" s="155">
        <v>150000</v>
      </c>
      <c r="E18" s="156">
        <v>19995</v>
      </c>
      <c r="F18" s="157">
        <v>169995</v>
      </c>
      <c r="G18" s="158">
        <v>50</v>
      </c>
      <c r="H18" s="159">
        <v>3399.9</v>
      </c>
      <c r="I18" s="161">
        <v>399.78</v>
      </c>
      <c r="J18" s="161">
        <v>3000.12</v>
      </c>
      <c r="K18" s="157">
        <v>19995</v>
      </c>
      <c r="L18" s="162">
        <v>9194.94</v>
      </c>
      <c r="M18" s="163">
        <v>10794.06</v>
      </c>
      <c r="N18" s="169">
        <v>23</v>
      </c>
      <c r="O18" s="165">
        <v>27</v>
      </c>
      <c r="P18" s="159">
        <v>78197.7</v>
      </c>
      <c r="Q18" s="170">
        <v>91797.3</v>
      </c>
      <c r="R18" s="149"/>
    </row>
    <row r="19" spans="1:18" ht="18.75">
      <c r="A19" s="154">
        <v>16</v>
      </c>
      <c r="B19" s="154" t="s">
        <v>19</v>
      </c>
      <c r="C19" s="149" t="s">
        <v>32</v>
      </c>
      <c r="D19" s="155">
        <v>150000</v>
      </c>
      <c r="E19" s="156">
        <v>19995</v>
      </c>
      <c r="F19" s="157">
        <v>169995</v>
      </c>
      <c r="G19" s="158">
        <v>50</v>
      </c>
      <c r="H19" s="159">
        <v>3399.9</v>
      </c>
      <c r="I19" s="161">
        <v>399.78</v>
      </c>
      <c r="J19" s="161">
        <v>3000.12</v>
      </c>
      <c r="K19" s="157">
        <v>19995</v>
      </c>
      <c r="L19" s="162">
        <v>17590.32</v>
      </c>
      <c r="M19" s="163">
        <v>3198.24</v>
      </c>
      <c r="N19" s="169">
        <v>42</v>
      </c>
      <c r="O19" s="165">
        <v>8</v>
      </c>
      <c r="P19" s="159">
        <v>142795.79999999999</v>
      </c>
      <c r="Q19" s="170">
        <v>27199.200000000001</v>
      </c>
      <c r="R19" s="149"/>
    </row>
    <row r="20" spans="1:18" ht="18.75">
      <c r="A20" s="154">
        <v>17</v>
      </c>
      <c r="B20" s="154" t="s">
        <v>19</v>
      </c>
      <c r="C20" s="149" t="s">
        <v>33</v>
      </c>
      <c r="D20" s="159">
        <v>150000</v>
      </c>
      <c r="E20" s="156">
        <v>19995</v>
      </c>
      <c r="F20" s="157">
        <v>169995</v>
      </c>
      <c r="G20" s="158">
        <v>50</v>
      </c>
      <c r="H20" s="159">
        <v>3399.9</v>
      </c>
      <c r="I20" s="161">
        <v>399.78</v>
      </c>
      <c r="J20" s="161">
        <v>3000.12</v>
      </c>
      <c r="K20" s="157">
        <v>19995</v>
      </c>
      <c r="L20" s="162">
        <v>17590.32</v>
      </c>
      <c r="M20" s="163">
        <v>3198.24</v>
      </c>
      <c r="N20" s="169">
        <v>42</v>
      </c>
      <c r="O20" s="165">
        <v>8</v>
      </c>
      <c r="P20" s="159">
        <v>142795.79999999999</v>
      </c>
      <c r="Q20" s="170">
        <v>27199.200000000001</v>
      </c>
      <c r="R20" s="149"/>
    </row>
    <row r="21" spans="1:18" ht="18.75">
      <c r="A21" s="154">
        <v>18</v>
      </c>
      <c r="B21" s="154" t="s">
        <v>19</v>
      </c>
      <c r="C21" s="36" t="s">
        <v>34</v>
      </c>
      <c r="D21" s="155">
        <v>150000</v>
      </c>
      <c r="E21" s="156">
        <v>19995</v>
      </c>
      <c r="F21" s="157">
        <v>169995</v>
      </c>
      <c r="G21" s="158">
        <v>50</v>
      </c>
      <c r="H21" s="159">
        <v>3399.9</v>
      </c>
      <c r="I21" s="161">
        <v>399.78</v>
      </c>
      <c r="J21" s="161">
        <v>3000.12</v>
      </c>
      <c r="K21" s="157">
        <v>19995</v>
      </c>
      <c r="L21" s="162">
        <v>17590.32</v>
      </c>
      <c r="M21" s="163">
        <v>3198.24</v>
      </c>
      <c r="N21" s="169">
        <v>42</v>
      </c>
      <c r="O21" s="165">
        <v>8</v>
      </c>
      <c r="P21" s="159">
        <v>142795.79999999999</v>
      </c>
      <c r="Q21" s="170">
        <v>27199.200000000001</v>
      </c>
      <c r="R21" s="149"/>
    </row>
    <row r="22" spans="1:18" ht="18.75">
      <c r="A22" s="154">
        <v>19</v>
      </c>
      <c r="B22" s="154" t="s">
        <v>19</v>
      </c>
      <c r="C22" s="149" t="s">
        <v>36</v>
      </c>
      <c r="D22" s="155">
        <v>150000</v>
      </c>
      <c r="E22" s="156">
        <v>19995</v>
      </c>
      <c r="F22" s="157">
        <v>169995</v>
      </c>
      <c r="G22" s="158">
        <v>50</v>
      </c>
      <c r="H22" s="159">
        <v>3399.9</v>
      </c>
      <c r="I22" s="161">
        <v>399.78</v>
      </c>
      <c r="J22" s="161">
        <v>3000.12</v>
      </c>
      <c r="K22" s="157">
        <v>19995</v>
      </c>
      <c r="L22" s="162">
        <v>17590.32</v>
      </c>
      <c r="M22" s="163">
        <v>3198.24</v>
      </c>
      <c r="N22" s="169">
        <v>42</v>
      </c>
      <c r="O22" s="165">
        <v>8</v>
      </c>
      <c r="P22" s="159">
        <v>142795.79999999999</v>
      </c>
      <c r="Q22" s="170">
        <v>27199.200000000001</v>
      </c>
      <c r="R22" s="149"/>
    </row>
    <row r="23" spans="1:18" ht="18.75">
      <c r="A23" s="154">
        <v>20</v>
      </c>
      <c r="B23" s="154" t="s">
        <v>19</v>
      </c>
      <c r="C23" s="149" t="s">
        <v>59</v>
      </c>
      <c r="D23" s="155">
        <v>330000</v>
      </c>
      <c r="E23" s="156">
        <v>43989</v>
      </c>
      <c r="F23" s="157">
        <v>373989</v>
      </c>
      <c r="G23" s="158">
        <v>50</v>
      </c>
      <c r="H23" s="159">
        <v>7479.78</v>
      </c>
      <c r="I23" s="161">
        <v>879.78</v>
      </c>
      <c r="J23" s="161">
        <v>6600</v>
      </c>
      <c r="K23" s="157">
        <v>43989</v>
      </c>
      <c r="L23" s="162">
        <v>33431.64</v>
      </c>
      <c r="M23" s="163">
        <v>10557.36</v>
      </c>
      <c r="N23" s="169">
        <v>38</v>
      </c>
      <c r="O23" s="171">
        <v>12</v>
      </c>
      <c r="P23" s="159">
        <v>284231.64</v>
      </c>
      <c r="Q23" s="170">
        <v>89757.36</v>
      </c>
      <c r="R23" s="149"/>
    </row>
    <row r="24" spans="1:18" s="106" customFormat="1" ht="18.75">
      <c r="A24" s="154">
        <v>21</v>
      </c>
      <c r="B24" s="154" t="s">
        <v>19</v>
      </c>
      <c r="C24" s="149" t="s">
        <v>50</v>
      </c>
      <c r="D24" s="155">
        <v>500000</v>
      </c>
      <c r="E24" s="156">
        <v>66650</v>
      </c>
      <c r="F24" s="157">
        <v>566650</v>
      </c>
      <c r="G24" s="158">
        <v>50</v>
      </c>
      <c r="H24" s="159">
        <v>11333</v>
      </c>
      <c r="I24" s="172">
        <v>1333</v>
      </c>
      <c r="J24" s="161">
        <v>10000</v>
      </c>
      <c r="K24" s="157">
        <v>66650</v>
      </c>
      <c r="L24" s="162">
        <v>3999</v>
      </c>
      <c r="M24" s="163">
        <v>62651</v>
      </c>
      <c r="N24" s="169">
        <v>3</v>
      </c>
      <c r="O24" s="165">
        <v>47</v>
      </c>
      <c r="P24" s="159">
        <v>33999</v>
      </c>
      <c r="Q24" s="170">
        <v>532651</v>
      </c>
      <c r="R24" s="149"/>
    </row>
    <row r="25" spans="1:18" ht="18.75">
      <c r="A25" s="154">
        <v>21</v>
      </c>
      <c r="B25" s="154" t="s">
        <v>19</v>
      </c>
      <c r="C25" s="149" t="s">
        <v>49</v>
      </c>
      <c r="D25" s="155">
        <v>500000</v>
      </c>
      <c r="E25" s="156">
        <v>66650</v>
      </c>
      <c r="F25" s="157">
        <v>566650</v>
      </c>
      <c r="G25" s="158">
        <v>50</v>
      </c>
      <c r="H25" s="159">
        <v>11333</v>
      </c>
      <c r="I25" s="172">
        <v>1333</v>
      </c>
      <c r="J25" s="161">
        <v>10000</v>
      </c>
      <c r="K25" s="157">
        <v>66650</v>
      </c>
      <c r="L25" s="162">
        <v>3999</v>
      </c>
      <c r="M25" s="163">
        <v>62651</v>
      </c>
      <c r="N25" s="169">
        <v>3</v>
      </c>
      <c r="O25" s="165">
        <v>47</v>
      </c>
      <c r="P25" s="159">
        <v>33999</v>
      </c>
      <c r="Q25" s="170">
        <v>532651</v>
      </c>
      <c r="R25" s="149"/>
    </row>
    <row r="26" spans="1:18" ht="18.75">
      <c r="A26" s="154"/>
      <c r="B26" s="154"/>
      <c r="C26" s="36" t="s">
        <v>37</v>
      </c>
      <c r="D26" s="159">
        <f>SUM(D4:D25)</f>
        <v>6730000</v>
      </c>
      <c r="E26" s="156">
        <f>SUM(E4:E25)</f>
        <v>897103</v>
      </c>
      <c r="F26" s="159">
        <f>SUM(F4:F25)</f>
        <v>7627109</v>
      </c>
      <c r="G26" s="173"/>
      <c r="H26" s="159">
        <f t="shared" ref="H26:M26" si="0">SUM(H4:H25)</f>
        <v>152541.39999999997</v>
      </c>
      <c r="I26" s="161">
        <f t="shared" si="0"/>
        <v>17941.100000000006</v>
      </c>
      <c r="J26" s="161">
        <f t="shared" si="0"/>
        <v>134601.07999999996</v>
      </c>
      <c r="K26" s="157">
        <f t="shared" si="0"/>
        <v>897109</v>
      </c>
      <c r="L26" s="174">
        <f t="shared" si="0"/>
        <v>386006.44000000006</v>
      </c>
      <c r="M26" s="163">
        <f t="shared" si="0"/>
        <v>514246.80999999994</v>
      </c>
      <c r="N26" s="169"/>
      <c r="O26" s="165"/>
      <c r="P26" s="170">
        <f>SUM(P4:P25)</f>
        <v>3244637.8999999994</v>
      </c>
      <c r="Q26" s="170">
        <f>SUM(Q4:Q25)</f>
        <v>4372271.4000000004</v>
      </c>
      <c r="R26" s="149"/>
    </row>
  </sheetData>
  <mergeCells count="1">
    <mergeCell ref="A1:R1"/>
  </mergeCells>
  <pageMargins left="0.7" right="0.7" top="0.75" bottom="0.75" header="0.3" footer="0.3"/>
  <pageSetup scale="45" fitToHeight="10" orientation="landscape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26"/>
  <sheetViews>
    <sheetView topLeftCell="E1" workbookViewId="0">
      <selection activeCell="A2" sqref="A2"/>
    </sheetView>
  </sheetViews>
  <sheetFormatPr defaultRowHeight="15"/>
  <cols>
    <col min="1" max="1" width="9.140625" style="106"/>
    <col min="2" max="2" width="5.7109375" customWidth="1"/>
    <col min="3" max="3" width="6" bestFit="1" customWidth="1"/>
    <col min="4" max="4" width="25.28515625" customWidth="1"/>
    <col min="5" max="5" width="13.85546875" customWidth="1"/>
    <col min="6" max="6" width="11.42578125" customWidth="1"/>
    <col min="7" max="7" width="12.140625" customWidth="1"/>
    <col min="8" max="8" width="7.85546875" customWidth="1"/>
    <col min="9" max="9" width="11" bestFit="1" customWidth="1"/>
    <col min="10" max="10" width="10" bestFit="1" customWidth="1"/>
    <col min="11" max="12" width="11" bestFit="1" customWidth="1"/>
    <col min="13" max="13" width="11.5703125" style="213" bestFit="1" customWidth="1"/>
    <col min="14" max="14" width="12.140625" style="217" customWidth="1"/>
    <col min="15" max="15" width="7.5703125" customWidth="1"/>
    <col min="16" max="16" width="7.28515625" customWidth="1"/>
    <col min="17" max="17" width="12.7109375" customWidth="1"/>
    <col min="18" max="18" width="12.42578125" bestFit="1" customWidth="1"/>
  </cols>
  <sheetData>
    <row r="1" spans="2:19">
      <c r="B1" s="242" t="s">
        <v>57</v>
      </c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</row>
    <row r="2" spans="2:19">
      <c r="B2" s="188"/>
      <c r="C2" s="188"/>
      <c r="D2" s="188"/>
      <c r="E2" s="189"/>
      <c r="F2" s="189"/>
      <c r="G2" s="189"/>
      <c r="H2" s="190" t="s">
        <v>1</v>
      </c>
      <c r="I2" s="189"/>
      <c r="J2" s="188"/>
      <c r="K2" s="188"/>
      <c r="L2" s="188"/>
      <c r="M2" s="212"/>
      <c r="N2" s="214"/>
      <c r="O2" s="191"/>
      <c r="P2" s="191"/>
      <c r="Q2" s="189"/>
      <c r="R2" s="189"/>
      <c r="S2" s="188"/>
    </row>
    <row r="3" spans="2:19" ht="51.75">
      <c r="B3" s="192" t="s">
        <v>2</v>
      </c>
      <c r="C3" s="192" t="s">
        <v>3</v>
      </c>
      <c r="D3" s="193" t="s">
        <v>4</v>
      </c>
      <c r="E3" s="193" t="s">
        <v>5</v>
      </c>
      <c r="F3" s="192" t="s">
        <v>6</v>
      </c>
      <c r="G3" s="193" t="s">
        <v>7</v>
      </c>
      <c r="H3" s="192" t="s">
        <v>8</v>
      </c>
      <c r="I3" s="193" t="s">
        <v>9</v>
      </c>
      <c r="J3" s="194" t="s">
        <v>10</v>
      </c>
      <c r="K3" s="194" t="s">
        <v>11</v>
      </c>
      <c r="L3" s="192" t="s">
        <v>6</v>
      </c>
      <c r="M3" s="218" t="s">
        <v>12</v>
      </c>
      <c r="N3" s="215" t="s">
        <v>13</v>
      </c>
      <c r="O3" s="197" t="s">
        <v>14</v>
      </c>
      <c r="P3" s="198" t="s">
        <v>15</v>
      </c>
      <c r="Q3" s="199" t="s">
        <v>16</v>
      </c>
      <c r="R3" s="199" t="s">
        <v>17</v>
      </c>
      <c r="S3" s="200" t="s">
        <v>18</v>
      </c>
    </row>
    <row r="4" spans="2:19">
      <c r="B4" s="201">
        <v>1</v>
      </c>
      <c r="C4" s="201" t="s">
        <v>19</v>
      </c>
      <c r="D4" s="202" t="s">
        <v>20</v>
      </c>
      <c r="E4" s="176">
        <v>500000</v>
      </c>
      <c r="F4" s="177">
        <v>66650</v>
      </c>
      <c r="G4" s="178">
        <v>566650</v>
      </c>
      <c r="H4" s="179">
        <v>50</v>
      </c>
      <c r="I4" s="180">
        <v>11333</v>
      </c>
      <c r="J4" s="203">
        <v>1333</v>
      </c>
      <c r="K4" s="181">
        <v>10000</v>
      </c>
      <c r="L4" s="178">
        <v>66650</v>
      </c>
      <c r="M4" s="182">
        <v>19995</v>
      </c>
      <c r="N4" s="216">
        <v>46655</v>
      </c>
      <c r="O4" s="204">
        <v>15</v>
      </c>
      <c r="P4" s="185">
        <v>35</v>
      </c>
      <c r="Q4" s="205">
        <v>169995</v>
      </c>
      <c r="R4" s="206">
        <v>396655</v>
      </c>
      <c r="S4" s="175"/>
    </row>
    <row r="5" spans="2:19">
      <c r="B5" s="201">
        <v>2</v>
      </c>
      <c r="C5" s="201" t="s">
        <v>19</v>
      </c>
      <c r="D5" s="175" t="s">
        <v>21</v>
      </c>
      <c r="E5" s="176">
        <v>500000</v>
      </c>
      <c r="F5" s="177">
        <v>66650</v>
      </c>
      <c r="G5" s="178">
        <v>566650</v>
      </c>
      <c r="H5" s="179">
        <v>50</v>
      </c>
      <c r="I5" s="180">
        <v>11333</v>
      </c>
      <c r="J5" s="181">
        <v>1333</v>
      </c>
      <c r="K5" s="181">
        <v>10000</v>
      </c>
      <c r="L5" s="178">
        <v>66650</v>
      </c>
      <c r="M5" s="182">
        <v>23994</v>
      </c>
      <c r="N5" s="216">
        <v>42656</v>
      </c>
      <c r="O5" s="204">
        <v>18</v>
      </c>
      <c r="P5" s="185">
        <v>32</v>
      </c>
      <c r="Q5" s="205">
        <v>203994</v>
      </c>
      <c r="R5" s="206">
        <v>362656</v>
      </c>
      <c r="S5" s="175"/>
    </row>
    <row r="6" spans="2:19">
      <c r="B6" s="201">
        <v>3</v>
      </c>
      <c r="C6" s="201" t="s">
        <v>19</v>
      </c>
      <c r="D6" s="175" t="s">
        <v>23</v>
      </c>
      <c r="E6" s="176">
        <v>330000</v>
      </c>
      <c r="F6" s="177">
        <v>43989</v>
      </c>
      <c r="G6" s="178">
        <v>373989</v>
      </c>
      <c r="H6" s="179">
        <v>50</v>
      </c>
      <c r="I6" s="180">
        <v>7479.78</v>
      </c>
      <c r="J6" s="181">
        <v>879.78</v>
      </c>
      <c r="K6" s="181">
        <v>6600</v>
      </c>
      <c r="L6" s="178">
        <v>43989</v>
      </c>
      <c r="M6" s="182">
        <v>13196.7</v>
      </c>
      <c r="N6" s="216">
        <v>30792.3</v>
      </c>
      <c r="O6" s="179">
        <v>15</v>
      </c>
      <c r="P6" s="185">
        <v>35</v>
      </c>
      <c r="Q6" s="180">
        <v>112196.7</v>
      </c>
      <c r="R6" s="207">
        <v>261792.3</v>
      </c>
      <c r="S6" s="175"/>
    </row>
    <row r="7" spans="2:19">
      <c r="B7" s="201">
        <v>4</v>
      </c>
      <c r="C7" s="201" t="s">
        <v>19</v>
      </c>
      <c r="D7" s="175" t="s">
        <v>44</v>
      </c>
      <c r="E7" s="176">
        <v>330000</v>
      </c>
      <c r="F7" s="177">
        <v>43989</v>
      </c>
      <c r="G7" s="178">
        <v>373989</v>
      </c>
      <c r="H7" s="179">
        <v>50</v>
      </c>
      <c r="I7" s="180">
        <v>7479.78</v>
      </c>
      <c r="J7" s="181">
        <v>879.78</v>
      </c>
      <c r="K7" s="181">
        <v>6600</v>
      </c>
      <c r="L7" s="178">
        <v>43989</v>
      </c>
      <c r="M7" s="182">
        <v>6158.46</v>
      </c>
      <c r="N7" s="216">
        <v>37830.54</v>
      </c>
      <c r="O7" s="179">
        <v>7</v>
      </c>
      <c r="P7" s="185">
        <v>43</v>
      </c>
      <c r="Q7" s="180">
        <v>52358.46</v>
      </c>
      <c r="R7" s="207">
        <v>321630.53999999998</v>
      </c>
      <c r="S7" s="175"/>
    </row>
    <row r="8" spans="2:19">
      <c r="B8" s="201">
        <v>5</v>
      </c>
      <c r="C8" s="201" t="s">
        <v>19</v>
      </c>
      <c r="D8" s="175" t="s">
        <v>52</v>
      </c>
      <c r="E8" s="176">
        <v>330000</v>
      </c>
      <c r="F8" s="177">
        <v>43989</v>
      </c>
      <c r="G8" s="178">
        <v>373989</v>
      </c>
      <c r="H8" s="179">
        <v>50</v>
      </c>
      <c r="I8" s="180">
        <v>7479.78</v>
      </c>
      <c r="J8" s="181">
        <v>879.78</v>
      </c>
      <c r="K8" s="181">
        <v>6600</v>
      </c>
      <c r="L8" s="178">
        <v>43989</v>
      </c>
      <c r="M8" s="182">
        <v>5278.68</v>
      </c>
      <c r="N8" s="216">
        <v>38710.32</v>
      </c>
      <c r="O8" s="179">
        <v>6</v>
      </c>
      <c r="P8" s="185">
        <v>44</v>
      </c>
      <c r="Q8" s="180">
        <v>44878.68</v>
      </c>
      <c r="R8" s="207">
        <v>329110.32</v>
      </c>
      <c r="S8" s="175"/>
    </row>
    <row r="9" spans="2:19">
      <c r="B9" s="201">
        <v>6</v>
      </c>
      <c r="C9" s="201" t="s">
        <v>19</v>
      </c>
      <c r="D9" s="175" t="s">
        <v>55</v>
      </c>
      <c r="E9" s="176">
        <v>330000</v>
      </c>
      <c r="F9" s="177">
        <v>43989</v>
      </c>
      <c r="G9" s="178">
        <v>373989</v>
      </c>
      <c r="H9" s="179">
        <v>50</v>
      </c>
      <c r="I9" s="180">
        <v>7479.78</v>
      </c>
      <c r="J9" s="181">
        <v>879.78</v>
      </c>
      <c r="K9" s="181">
        <v>6600</v>
      </c>
      <c r="L9" s="178">
        <v>43989</v>
      </c>
      <c r="M9" s="182">
        <v>5278.68</v>
      </c>
      <c r="N9" s="216">
        <v>38710.32</v>
      </c>
      <c r="O9" s="179">
        <v>6</v>
      </c>
      <c r="P9" s="185">
        <v>44</v>
      </c>
      <c r="Q9" s="180">
        <v>44878.68</v>
      </c>
      <c r="R9" s="207">
        <v>329110.32</v>
      </c>
      <c r="S9" s="175"/>
    </row>
    <row r="10" spans="2:19">
      <c r="B10" s="201">
        <v>7</v>
      </c>
      <c r="C10" s="201" t="s">
        <v>19</v>
      </c>
      <c r="D10" s="175" t="s">
        <v>24</v>
      </c>
      <c r="E10" s="176">
        <v>150000</v>
      </c>
      <c r="F10" s="177">
        <v>19989</v>
      </c>
      <c r="G10" s="178">
        <v>169995</v>
      </c>
      <c r="H10" s="179">
        <v>50</v>
      </c>
      <c r="I10" s="180">
        <v>3399.9</v>
      </c>
      <c r="J10" s="181">
        <v>399.78</v>
      </c>
      <c r="K10" s="181">
        <v>3000.12</v>
      </c>
      <c r="L10" s="178">
        <v>19995</v>
      </c>
      <c r="M10" s="182">
        <v>5996.7</v>
      </c>
      <c r="N10" s="216">
        <v>13992.3</v>
      </c>
      <c r="O10" s="204">
        <v>15</v>
      </c>
      <c r="P10" s="185">
        <v>35</v>
      </c>
      <c r="Q10" s="205">
        <v>50998.5</v>
      </c>
      <c r="R10" s="206">
        <v>118996.5</v>
      </c>
      <c r="S10" s="175"/>
    </row>
    <row r="11" spans="2:19">
      <c r="B11" s="201">
        <v>8</v>
      </c>
      <c r="C11" s="201" t="s">
        <v>19</v>
      </c>
      <c r="D11" s="175" t="s">
        <v>25</v>
      </c>
      <c r="E11" s="176">
        <v>150000</v>
      </c>
      <c r="F11" s="177">
        <v>19995</v>
      </c>
      <c r="G11" s="178">
        <v>169995</v>
      </c>
      <c r="H11" s="179">
        <v>50</v>
      </c>
      <c r="I11" s="180">
        <v>3399.9</v>
      </c>
      <c r="J11" s="181">
        <v>399.78</v>
      </c>
      <c r="K11" s="181">
        <v>3000.12</v>
      </c>
      <c r="L11" s="178">
        <v>19995</v>
      </c>
      <c r="M11" s="182">
        <v>8795.16</v>
      </c>
      <c r="N11" s="216">
        <v>11193.84</v>
      </c>
      <c r="O11" s="184">
        <v>22</v>
      </c>
      <c r="P11" s="185">
        <v>28</v>
      </c>
      <c r="Q11" s="180">
        <v>74797.8</v>
      </c>
      <c r="R11" s="207">
        <v>95197.2</v>
      </c>
      <c r="S11" s="175"/>
    </row>
    <row r="12" spans="2:19">
      <c r="B12" s="201">
        <v>9</v>
      </c>
      <c r="C12" s="201" t="s">
        <v>19</v>
      </c>
      <c r="D12" s="202" t="s">
        <v>26</v>
      </c>
      <c r="E12" s="180">
        <v>450000</v>
      </c>
      <c r="F12" s="177">
        <v>59985</v>
      </c>
      <c r="G12" s="178">
        <v>509985</v>
      </c>
      <c r="H12" s="179">
        <v>50</v>
      </c>
      <c r="I12" s="205">
        <v>10199.700000000001</v>
      </c>
      <c r="J12" s="181">
        <v>1199.7</v>
      </c>
      <c r="K12" s="181">
        <v>9000</v>
      </c>
      <c r="L12" s="178">
        <v>59985</v>
      </c>
      <c r="M12" s="182">
        <v>26393.4</v>
      </c>
      <c r="N12" s="216">
        <v>33591.599999999999</v>
      </c>
      <c r="O12" s="204">
        <v>22</v>
      </c>
      <c r="P12" s="185">
        <v>28</v>
      </c>
      <c r="Q12" s="205">
        <v>224393.4</v>
      </c>
      <c r="R12" s="206">
        <v>285591.59999999998</v>
      </c>
      <c r="S12" s="175"/>
    </row>
    <row r="13" spans="2:19">
      <c r="B13" s="201">
        <v>10</v>
      </c>
      <c r="C13" s="201" t="s">
        <v>19</v>
      </c>
      <c r="D13" s="202" t="s">
        <v>27</v>
      </c>
      <c r="E13" s="176">
        <v>450000</v>
      </c>
      <c r="F13" s="177">
        <v>59985</v>
      </c>
      <c r="G13" s="178">
        <v>509985</v>
      </c>
      <c r="H13" s="179">
        <v>50</v>
      </c>
      <c r="I13" s="180">
        <v>10199.700000000001</v>
      </c>
      <c r="J13" s="181">
        <v>1199.7</v>
      </c>
      <c r="K13" s="181">
        <v>9000</v>
      </c>
      <c r="L13" s="178">
        <v>59985</v>
      </c>
      <c r="M13" s="182">
        <v>58785.3</v>
      </c>
      <c r="N13" s="216">
        <v>1199.7</v>
      </c>
      <c r="O13" s="204">
        <v>49</v>
      </c>
      <c r="P13" s="185">
        <v>1</v>
      </c>
      <c r="Q13" s="205">
        <v>499785.7</v>
      </c>
      <c r="R13" s="206">
        <v>10199.700000000001</v>
      </c>
      <c r="S13" s="175"/>
    </row>
    <row r="14" spans="2:19">
      <c r="B14" s="201">
        <v>11</v>
      </c>
      <c r="C14" s="201" t="s">
        <v>19</v>
      </c>
      <c r="D14" s="175" t="s">
        <v>28</v>
      </c>
      <c r="E14" s="176">
        <v>500000</v>
      </c>
      <c r="F14" s="177">
        <v>66650</v>
      </c>
      <c r="G14" s="178">
        <v>566650</v>
      </c>
      <c r="H14" s="179">
        <v>50</v>
      </c>
      <c r="I14" s="180">
        <v>11333</v>
      </c>
      <c r="J14" s="181">
        <v>1333</v>
      </c>
      <c r="K14" s="181">
        <v>10000</v>
      </c>
      <c r="L14" s="178">
        <v>66650</v>
      </c>
      <c r="M14" s="182">
        <v>57319</v>
      </c>
      <c r="N14" s="216">
        <v>9331</v>
      </c>
      <c r="O14" s="204">
        <v>43</v>
      </c>
      <c r="P14" s="185">
        <v>7</v>
      </c>
      <c r="Q14" s="205">
        <v>487319</v>
      </c>
      <c r="R14" s="206">
        <v>79331</v>
      </c>
      <c r="S14" s="175"/>
    </row>
    <row r="15" spans="2:19">
      <c r="B15" s="201">
        <v>12</v>
      </c>
      <c r="C15" s="201" t="s">
        <v>19</v>
      </c>
      <c r="D15" s="175" t="s">
        <v>29</v>
      </c>
      <c r="E15" s="176">
        <v>330000</v>
      </c>
      <c r="F15" s="177">
        <v>43989</v>
      </c>
      <c r="G15" s="178">
        <v>373989</v>
      </c>
      <c r="H15" s="179">
        <v>50</v>
      </c>
      <c r="I15" s="180">
        <v>7479</v>
      </c>
      <c r="J15" s="181">
        <v>879.78</v>
      </c>
      <c r="K15" s="181">
        <v>6600</v>
      </c>
      <c r="L15" s="178">
        <v>43989</v>
      </c>
      <c r="M15" s="182">
        <v>37830.54</v>
      </c>
      <c r="N15" s="216">
        <v>6158.46</v>
      </c>
      <c r="O15" s="184">
        <v>43</v>
      </c>
      <c r="P15" s="185">
        <v>7</v>
      </c>
      <c r="Q15" s="180">
        <v>321630.53999999998</v>
      </c>
      <c r="R15" s="186">
        <v>52358.46</v>
      </c>
      <c r="S15" s="175"/>
    </row>
    <row r="16" spans="2:19">
      <c r="B16" s="201">
        <v>13</v>
      </c>
      <c r="C16" s="201" t="s">
        <v>19</v>
      </c>
      <c r="D16" s="175" t="s">
        <v>30</v>
      </c>
      <c r="E16" s="176">
        <v>150000</v>
      </c>
      <c r="F16" s="177">
        <v>19995</v>
      </c>
      <c r="G16" s="178">
        <v>169995</v>
      </c>
      <c r="H16" s="179">
        <v>50</v>
      </c>
      <c r="I16" s="180">
        <v>3399.9</v>
      </c>
      <c r="J16" s="181">
        <v>399.78</v>
      </c>
      <c r="K16" s="181">
        <v>3000.12</v>
      </c>
      <c r="L16" s="178">
        <v>19995</v>
      </c>
      <c r="M16" s="182">
        <v>5596.92</v>
      </c>
      <c r="N16" s="216">
        <v>14392.08</v>
      </c>
      <c r="O16" s="184">
        <v>14</v>
      </c>
      <c r="P16" s="185">
        <v>36</v>
      </c>
      <c r="Q16" s="180">
        <v>47598.6</v>
      </c>
      <c r="R16" s="207">
        <v>122396.4</v>
      </c>
      <c r="S16" s="175"/>
    </row>
    <row r="17" spans="2:19">
      <c r="B17" s="201">
        <v>14</v>
      </c>
      <c r="C17" s="201" t="s">
        <v>19</v>
      </c>
      <c r="D17" s="175" t="s">
        <v>43</v>
      </c>
      <c r="E17" s="176">
        <v>150000</v>
      </c>
      <c r="F17" s="177">
        <v>19995</v>
      </c>
      <c r="G17" s="178">
        <v>169995</v>
      </c>
      <c r="H17" s="179">
        <v>50</v>
      </c>
      <c r="I17" s="180">
        <v>3399.9</v>
      </c>
      <c r="J17" s="181">
        <v>399.78</v>
      </c>
      <c r="K17" s="181">
        <v>3000.12</v>
      </c>
      <c r="L17" s="178">
        <v>19995</v>
      </c>
      <c r="M17" s="182">
        <v>2798.46</v>
      </c>
      <c r="N17" s="216">
        <v>17190.54</v>
      </c>
      <c r="O17" s="184">
        <v>7</v>
      </c>
      <c r="P17" s="185">
        <v>43</v>
      </c>
      <c r="Q17" s="180">
        <v>23799.3</v>
      </c>
      <c r="R17" s="207">
        <v>146195.70000000001</v>
      </c>
      <c r="S17" s="175"/>
    </row>
    <row r="18" spans="2:19">
      <c r="B18" s="201">
        <v>15</v>
      </c>
      <c r="C18" s="201" t="s">
        <v>19</v>
      </c>
      <c r="D18" s="175" t="s">
        <v>58</v>
      </c>
      <c r="E18" s="176">
        <v>150000</v>
      </c>
      <c r="F18" s="177">
        <v>19995</v>
      </c>
      <c r="G18" s="178">
        <v>169995</v>
      </c>
      <c r="H18" s="179">
        <v>50</v>
      </c>
      <c r="I18" s="180">
        <v>3399.9</v>
      </c>
      <c r="J18" s="181">
        <v>399.78</v>
      </c>
      <c r="K18" s="181">
        <v>3000.12</v>
      </c>
      <c r="L18" s="178">
        <v>19995</v>
      </c>
      <c r="M18" s="182">
        <v>9594.7199999999993</v>
      </c>
      <c r="N18" s="216">
        <v>10394.280000000001</v>
      </c>
      <c r="O18" s="184">
        <v>24</v>
      </c>
      <c r="P18" s="185">
        <v>26</v>
      </c>
      <c r="Q18" s="180">
        <v>81597.600000000006</v>
      </c>
      <c r="R18" s="186">
        <v>88397.4</v>
      </c>
      <c r="S18" s="175"/>
    </row>
    <row r="19" spans="2:19">
      <c r="B19" s="201">
        <v>16</v>
      </c>
      <c r="C19" s="201" t="s">
        <v>19</v>
      </c>
      <c r="D19" s="175" t="s">
        <v>32</v>
      </c>
      <c r="E19" s="176">
        <v>150000</v>
      </c>
      <c r="F19" s="177">
        <v>19995</v>
      </c>
      <c r="G19" s="178">
        <v>169995</v>
      </c>
      <c r="H19" s="179">
        <v>50</v>
      </c>
      <c r="I19" s="180">
        <v>3399.9</v>
      </c>
      <c r="J19" s="181">
        <v>399.78</v>
      </c>
      <c r="K19" s="181">
        <v>3000.12</v>
      </c>
      <c r="L19" s="178">
        <v>19995</v>
      </c>
      <c r="M19" s="182">
        <v>17190.54</v>
      </c>
      <c r="N19" s="216">
        <v>2798.46</v>
      </c>
      <c r="O19" s="184">
        <v>43</v>
      </c>
      <c r="P19" s="185">
        <v>7</v>
      </c>
      <c r="Q19" s="180">
        <v>146195.70000000001</v>
      </c>
      <c r="R19" s="186">
        <v>23799.3</v>
      </c>
      <c r="S19" s="175"/>
    </row>
    <row r="20" spans="2:19">
      <c r="B20" s="201">
        <v>17</v>
      </c>
      <c r="C20" s="201" t="s">
        <v>19</v>
      </c>
      <c r="D20" s="175" t="s">
        <v>33</v>
      </c>
      <c r="E20" s="180">
        <v>150000</v>
      </c>
      <c r="F20" s="177">
        <v>19995</v>
      </c>
      <c r="G20" s="178">
        <v>169995</v>
      </c>
      <c r="H20" s="179">
        <v>50</v>
      </c>
      <c r="I20" s="180">
        <v>3399.9</v>
      </c>
      <c r="J20" s="181">
        <v>399.78</v>
      </c>
      <c r="K20" s="181">
        <v>3000.12</v>
      </c>
      <c r="L20" s="178">
        <v>19995</v>
      </c>
      <c r="M20" s="182">
        <v>17190.54</v>
      </c>
      <c r="N20" s="216">
        <v>2798.46</v>
      </c>
      <c r="O20" s="184">
        <v>43</v>
      </c>
      <c r="P20" s="185">
        <v>7</v>
      </c>
      <c r="Q20" s="180">
        <v>146195.70000000001</v>
      </c>
      <c r="R20" s="186">
        <v>23799.3</v>
      </c>
      <c r="S20" s="175"/>
    </row>
    <row r="21" spans="2:19">
      <c r="B21" s="201">
        <v>18</v>
      </c>
      <c r="C21" s="201" t="s">
        <v>19</v>
      </c>
      <c r="D21" s="202" t="s">
        <v>34</v>
      </c>
      <c r="E21" s="176">
        <v>150000</v>
      </c>
      <c r="F21" s="177">
        <v>19995</v>
      </c>
      <c r="G21" s="178">
        <v>169995</v>
      </c>
      <c r="H21" s="179">
        <v>50</v>
      </c>
      <c r="I21" s="180">
        <v>3399.9</v>
      </c>
      <c r="J21" s="181">
        <v>399.78</v>
      </c>
      <c r="K21" s="181">
        <v>3000.12</v>
      </c>
      <c r="L21" s="178">
        <v>19995</v>
      </c>
      <c r="M21" s="182">
        <v>17190.54</v>
      </c>
      <c r="N21" s="216">
        <v>2798.46</v>
      </c>
      <c r="O21" s="184">
        <v>43</v>
      </c>
      <c r="P21" s="185">
        <v>7</v>
      </c>
      <c r="Q21" s="180">
        <v>146195.70000000001</v>
      </c>
      <c r="R21" s="186">
        <v>23799.3</v>
      </c>
      <c r="S21" s="175"/>
    </row>
    <row r="22" spans="2:19">
      <c r="B22" s="201">
        <v>19</v>
      </c>
      <c r="C22" s="201" t="s">
        <v>19</v>
      </c>
      <c r="D22" s="175" t="s">
        <v>36</v>
      </c>
      <c r="E22" s="176">
        <v>150000</v>
      </c>
      <c r="F22" s="177">
        <v>19995</v>
      </c>
      <c r="G22" s="178">
        <v>169995</v>
      </c>
      <c r="H22" s="179">
        <v>50</v>
      </c>
      <c r="I22" s="180">
        <v>3399.9</v>
      </c>
      <c r="J22" s="181">
        <v>399.78</v>
      </c>
      <c r="K22" s="181">
        <v>3000.12</v>
      </c>
      <c r="L22" s="178">
        <v>19995</v>
      </c>
      <c r="M22" s="182">
        <v>17190.54</v>
      </c>
      <c r="N22" s="216">
        <v>2798.46</v>
      </c>
      <c r="O22" s="184">
        <v>43</v>
      </c>
      <c r="P22" s="185">
        <v>7</v>
      </c>
      <c r="Q22" s="180">
        <v>146195.70000000001</v>
      </c>
      <c r="R22" s="186">
        <v>23799.3</v>
      </c>
      <c r="S22" s="175"/>
    </row>
    <row r="23" spans="2:19" s="106" customFormat="1">
      <c r="B23" s="201">
        <v>20</v>
      </c>
      <c r="C23" s="201" t="s">
        <v>19</v>
      </c>
      <c r="D23" s="175" t="s">
        <v>59</v>
      </c>
      <c r="E23" s="176">
        <v>330000</v>
      </c>
      <c r="F23" s="177">
        <v>43989</v>
      </c>
      <c r="G23" s="178">
        <v>373989</v>
      </c>
      <c r="H23" s="179">
        <v>50</v>
      </c>
      <c r="I23" s="180">
        <v>7479.78</v>
      </c>
      <c r="J23" s="181">
        <v>879.78</v>
      </c>
      <c r="K23" s="181">
        <v>6600</v>
      </c>
      <c r="L23" s="178">
        <v>43989</v>
      </c>
      <c r="M23" s="182">
        <v>34311.42</v>
      </c>
      <c r="N23" s="216">
        <v>9677.58</v>
      </c>
      <c r="O23" s="184">
        <v>39</v>
      </c>
      <c r="P23" s="208">
        <v>11</v>
      </c>
      <c r="Q23" s="180">
        <v>291711.42</v>
      </c>
      <c r="R23" s="186">
        <v>82277.58</v>
      </c>
      <c r="S23" s="175"/>
    </row>
    <row r="24" spans="2:19">
      <c r="B24" s="201">
        <v>21</v>
      </c>
      <c r="C24" s="201" t="s">
        <v>19</v>
      </c>
      <c r="D24" s="175" t="s">
        <v>50</v>
      </c>
      <c r="E24" s="176">
        <v>500000</v>
      </c>
      <c r="F24" s="177">
        <v>66650</v>
      </c>
      <c r="G24" s="178">
        <v>566650</v>
      </c>
      <c r="H24" s="179">
        <v>50</v>
      </c>
      <c r="I24" s="180">
        <v>11333</v>
      </c>
      <c r="J24" s="209">
        <v>1333</v>
      </c>
      <c r="K24" s="181">
        <v>10000</v>
      </c>
      <c r="L24" s="178">
        <v>66650</v>
      </c>
      <c r="M24" s="182">
        <v>5332</v>
      </c>
      <c r="N24" s="216">
        <v>61318</v>
      </c>
      <c r="O24" s="184">
        <v>4</v>
      </c>
      <c r="P24" s="185">
        <v>46</v>
      </c>
      <c r="Q24" s="180">
        <v>45332</v>
      </c>
      <c r="R24" s="186">
        <v>521318</v>
      </c>
      <c r="S24" s="175"/>
    </row>
    <row r="25" spans="2:19">
      <c r="B25" s="201">
        <v>22</v>
      </c>
      <c r="C25" s="201" t="s">
        <v>19</v>
      </c>
      <c r="D25" s="175" t="s">
        <v>49</v>
      </c>
      <c r="E25" s="176">
        <v>500000</v>
      </c>
      <c r="F25" s="177">
        <v>66650</v>
      </c>
      <c r="G25" s="178">
        <v>566650</v>
      </c>
      <c r="H25" s="179">
        <v>50</v>
      </c>
      <c r="I25" s="180">
        <v>11333</v>
      </c>
      <c r="J25" s="209">
        <v>1333</v>
      </c>
      <c r="K25" s="181">
        <v>10000</v>
      </c>
      <c r="L25" s="178">
        <v>66650</v>
      </c>
      <c r="M25" s="182">
        <v>5332</v>
      </c>
      <c r="N25" s="216">
        <v>61318</v>
      </c>
      <c r="O25" s="184">
        <v>4</v>
      </c>
      <c r="P25" s="185">
        <v>46</v>
      </c>
      <c r="Q25" s="180">
        <v>45332</v>
      </c>
      <c r="R25" s="186">
        <v>521318</v>
      </c>
      <c r="S25" s="175"/>
    </row>
    <row r="26" spans="2:19">
      <c r="B26" s="201"/>
      <c r="C26" s="201"/>
      <c r="D26" s="202" t="s">
        <v>37</v>
      </c>
      <c r="E26" s="180">
        <f>SUM(E4:E25)</f>
        <v>6730000</v>
      </c>
      <c r="F26" s="177">
        <f>SUM(F4:F25)</f>
        <v>897103</v>
      </c>
      <c r="G26" s="180">
        <f>SUM(G4:G25)</f>
        <v>7627109</v>
      </c>
      <c r="H26" s="210"/>
      <c r="I26" s="180">
        <f t="shared" ref="I26:N26" si="0">SUM(I4:I25)</f>
        <v>152541.39999999997</v>
      </c>
      <c r="J26" s="181">
        <f t="shared" si="0"/>
        <v>17941.100000000006</v>
      </c>
      <c r="K26" s="181">
        <f t="shared" si="0"/>
        <v>134601.07999999996</v>
      </c>
      <c r="L26" s="178">
        <f t="shared" si="0"/>
        <v>897109</v>
      </c>
      <c r="M26" s="211">
        <f t="shared" si="0"/>
        <v>400749.29999999987</v>
      </c>
      <c r="N26" s="216">
        <f t="shared" si="0"/>
        <v>496305.70000000013</v>
      </c>
      <c r="O26" s="184"/>
      <c r="P26" s="185"/>
      <c r="Q26" s="186">
        <f>SUM(Q4:Q25)</f>
        <v>3407380.1800000006</v>
      </c>
      <c r="R26" s="186">
        <f>SUM(R4:R25)</f>
        <v>4219729.2200000007</v>
      </c>
      <c r="S26" s="175"/>
    </row>
  </sheetData>
  <mergeCells count="1">
    <mergeCell ref="B1:S1"/>
  </mergeCells>
  <pageMargins left="0.95" right="0.7" top="0.75" bottom="0.75" header="0.3" footer="0.3"/>
  <pageSetup paperSize="5" scale="75" orientation="landscape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27"/>
  <sheetViews>
    <sheetView topLeftCell="E1" workbookViewId="0">
      <selection activeCell="D24" sqref="D24"/>
    </sheetView>
  </sheetViews>
  <sheetFormatPr defaultRowHeight="15"/>
  <cols>
    <col min="1" max="1" width="9.140625" style="106"/>
    <col min="2" max="2" width="5.28515625" customWidth="1"/>
    <col min="3" max="3" width="6" bestFit="1" customWidth="1"/>
    <col min="4" max="4" width="23.28515625" bestFit="1" customWidth="1"/>
    <col min="5" max="5" width="12.42578125" bestFit="1" customWidth="1"/>
    <col min="6" max="6" width="12.5703125" customWidth="1"/>
    <col min="7" max="7" width="12.42578125" bestFit="1" customWidth="1"/>
    <col min="9" max="9" width="11" bestFit="1" customWidth="1"/>
    <col min="10" max="10" width="11.140625" customWidth="1"/>
    <col min="11" max="11" width="11.42578125" customWidth="1"/>
    <col min="12" max="12" width="11.140625" customWidth="1"/>
    <col min="13" max="13" width="11.28515625" customWidth="1"/>
    <col min="14" max="14" width="11" bestFit="1" customWidth="1"/>
    <col min="17" max="18" width="12.42578125" bestFit="1" customWidth="1"/>
  </cols>
  <sheetData>
    <row r="1" spans="2:19">
      <c r="B1" s="242" t="s">
        <v>64</v>
      </c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</row>
    <row r="2" spans="2:19">
      <c r="B2" s="188"/>
      <c r="C2" s="188"/>
      <c r="D2" s="188"/>
      <c r="E2" s="189"/>
      <c r="F2" s="189"/>
      <c r="G2" s="189"/>
      <c r="H2" s="190" t="s">
        <v>1</v>
      </c>
      <c r="I2" s="189"/>
      <c r="J2" s="188"/>
      <c r="K2" s="188"/>
      <c r="L2" s="188"/>
      <c r="M2" s="188"/>
      <c r="N2" s="188"/>
      <c r="O2" s="191"/>
      <c r="P2" s="191"/>
      <c r="Q2" s="189"/>
      <c r="R2" s="189"/>
      <c r="S2" s="188"/>
    </row>
    <row r="3" spans="2:19" ht="51.75">
      <c r="B3" s="192" t="s">
        <v>2</v>
      </c>
      <c r="C3" s="192" t="s">
        <v>3</v>
      </c>
      <c r="D3" s="193" t="s">
        <v>4</v>
      </c>
      <c r="E3" s="193" t="s">
        <v>5</v>
      </c>
      <c r="F3" s="192" t="s">
        <v>6</v>
      </c>
      <c r="G3" s="193" t="s">
        <v>7</v>
      </c>
      <c r="H3" s="187" t="s">
        <v>8</v>
      </c>
      <c r="I3" s="193" t="s">
        <v>9</v>
      </c>
      <c r="J3" s="194" t="s">
        <v>10</v>
      </c>
      <c r="K3" s="194" t="s">
        <v>11</v>
      </c>
      <c r="L3" s="192" t="s">
        <v>6</v>
      </c>
      <c r="M3" s="195" t="s">
        <v>12</v>
      </c>
      <c r="N3" s="196" t="s">
        <v>13</v>
      </c>
      <c r="O3" s="197" t="s">
        <v>14</v>
      </c>
      <c r="P3" s="198" t="s">
        <v>15</v>
      </c>
      <c r="Q3" s="199" t="s">
        <v>16</v>
      </c>
      <c r="R3" s="199" t="s">
        <v>17</v>
      </c>
      <c r="S3" s="200" t="s">
        <v>18</v>
      </c>
    </row>
    <row r="4" spans="2:19">
      <c r="B4" s="201">
        <v>1</v>
      </c>
      <c r="C4" s="201" t="s">
        <v>19</v>
      </c>
      <c r="D4" s="202" t="s">
        <v>20</v>
      </c>
      <c r="E4" s="176">
        <v>500000</v>
      </c>
      <c r="F4" s="177">
        <v>66650</v>
      </c>
      <c r="G4" s="178">
        <v>566650</v>
      </c>
      <c r="H4" s="179">
        <v>50</v>
      </c>
      <c r="I4" s="180">
        <v>11333</v>
      </c>
      <c r="J4" s="203">
        <v>1333</v>
      </c>
      <c r="K4" s="181">
        <v>10000</v>
      </c>
      <c r="L4" s="178">
        <v>66650</v>
      </c>
      <c r="M4" s="182">
        <v>21328</v>
      </c>
      <c r="N4" s="183">
        <v>45322</v>
      </c>
      <c r="O4" s="204">
        <v>16</v>
      </c>
      <c r="P4" s="185">
        <v>34</v>
      </c>
      <c r="Q4" s="205">
        <v>181328</v>
      </c>
      <c r="R4" s="206">
        <v>385322</v>
      </c>
      <c r="S4" s="175"/>
    </row>
    <row r="5" spans="2:19">
      <c r="B5" s="201">
        <v>2</v>
      </c>
      <c r="C5" s="201" t="s">
        <v>19</v>
      </c>
      <c r="D5" s="175" t="s">
        <v>21</v>
      </c>
      <c r="E5" s="176">
        <v>500000</v>
      </c>
      <c r="F5" s="177">
        <v>66650</v>
      </c>
      <c r="G5" s="178">
        <v>566650</v>
      </c>
      <c r="H5" s="179">
        <v>50</v>
      </c>
      <c r="I5" s="180">
        <v>11333</v>
      </c>
      <c r="J5" s="181">
        <v>1333</v>
      </c>
      <c r="K5" s="181">
        <v>10000</v>
      </c>
      <c r="L5" s="178">
        <v>66650</v>
      </c>
      <c r="M5" s="182">
        <v>25327</v>
      </c>
      <c r="N5" s="183">
        <v>41323</v>
      </c>
      <c r="O5" s="204">
        <v>19</v>
      </c>
      <c r="P5" s="185">
        <v>31</v>
      </c>
      <c r="Q5" s="205">
        <v>215327</v>
      </c>
      <c r="R5" s="206">
        <v>351323</v>
      </c>
      <c r="S5" s="175"/>
    </row>
    <row r="6" spans="2:19">
      <c r="B6" s="201">
        <v>3</v>
      </c>
      <c r="C6" s="201" t="s">
        <v>19</v>
      </c>
      <c r="D6" s="175" t="s">
        <v>23</v>
      </c>
      <c r="E6" s="176">
        <v>330000</v>
      </c>
      <c r="F6" s="177">
        <v>43989</v>
      </c>
      <c r="G6" s="178">
        <v>373989</v>
      </c>
      <c r="H6" s="179">
        <v>50</v>
      </c>
      <c r="I6" s="180">
        <v>7479.78</v>
      </c>
      <c r="J6" s="181">
        <v>879.78</v>
      </c>
      <c r="K6" s="181">
        <v>6600</v>
      </c>
      <c r="L6" s="178">
        <v>43989</v>
      </c>
      <c r="M6" s="182">
        <v>14076.48</v>
      </c>
      <c r="N6" s="183">
        <v>29912.52</v>
      </c>
      <c r="O6" s="179">
        <v>16</v>
      </c>
      <c r="P6" s="185">
        <v>34</v>
      </c>
      <c r="Q6" s="180">
        <v>119676.48</v>
      </c>
      <c r="R6" s="207">
        <v>254312.52</v>
      </c>
      <c r="S6" s="175"/>
    </row>
    <row r="7" spans="2:19">
      <c r="B7" s="201">
        <v>4</v>
      </c>
      <c r="C7" s="201" t="s">
        <v>19</v>
      </c>
      <c r="D7" s="175" t="s">
        <v>44</v>
      </c>
      <c r="E7" s="176">
        <v>330000</v>
      </c>
      <c r="F7" s="177">
        <v>43989</v>
      </c>
      <c r="G7" s="178">
        <v>373989</v>
      </c>
      <c r="H7" s="179">
        <v>50</v>
      </c>
      <c r="I7" s="180">
        <v>7479.78</v>
      </c>
      <c r="J7" s="181">
        <v>879.78</v>
      </c>
      <c r="K7" s="181">
        <v>6600</v>
      </c>
      <c r="L7" s="178">
        <v>43989</v>
      </c>
      <c r="M7" s="182">
        <v>7038.24</v>
      </c>
      <c r="N7" s="183">
        <v>36950.76</v>
      </c>
      <c r="O7" s="179">
        <v>8</v>
      </c>
      <c r="P7" s="185">
        <v>42</v>
      </c>
      <c r="Q7" s="180">
        <v>59838.239999999998</v>
      </c>
      <c r="R7" s="207">
        <v>314150.76</v>
      </c>
      <c r="S7" s="175"/>
    </row>
    <row r="8" spans="2:19">
      <c r="B8" s="201">
        <v>5</v>
      </c>
      <c r="C8" s="201" t="s">
        <v>19</v>
      </c>
      <c r="D8" s="175" t="s">
        <v>52</v>
      </c>
      <c r="E8" s="176">
        <v>330000</v>
      </c>
      <c r="F8" s="177">
        <v>43989</v>
      </c>
      <c r="G8" s="178">
        <v>373989</v>
      </c>
      <c r="H8" s="179">
        <v>50</v>
      </c>
      <c r="I8" s="180">
        <v>7479.78</v>
      </c>
      <c r="J8" s="181">
        <v>879.78</v>
      </c>
      <c r="K8" s="181">
        <v>6600</v>
      </c>
      <c r="L8" s="178">
        <v>43989</v>
      </c>
      <c r="M8" s="182">
        <v>6158.46</v>
      </c>
      <c r="N8" s="183">
        <v>37830.54</v>
      </c>
      <c r="O8" s="179">
        <v>7</v>
      </c>
      <c r="P8" s="185">
        <v>43</v>
      </c>
      <c r="Q8" s="180">
        <v>52358.46</v>
      </c>
      <c r="R8" s="207">
        <v>321630.53999999998</v>
      </c>
      <c r="S8" s="175"/>
    </row>
    <row r="9" spans="2:19">
      <c r="B9" s="201">
        <v>6</v>
      </c>
      <c r="C9" s="201" t="s">
        <v>19</v>
      </c>
      <c r="D9" s="175" t="s">
        <v>55</v>
      </c>
      <c r="E9" s="176">
        <v>330000</v>
      </c>
      <c r="F9" s="177">
        <v>43989</v>
      </c>
      <c r="G9" s="178">
        <v>373989</v>
      </c>
      <c r="H9" s="179">
        <v>50</v>
      </c>
      <c r="I9" s="180">
        <v>7479.78</v>
      </c>
      <c r="J9" s="181">
        <v>879.78</v>
      </c>
      <c r="K9" s="181">
        <v>6600</v>
      </c>
      <c r="L9" s="178">
        <v>43989</v>
      </c>
      <c r="M9" s="182">
        <v>6158.46</v>
      </c>
      <c r="N9" s="183">
        <v>37830.54</v>
      </c>
      <c r="O9" s="179">
        <v>7</v>
      </c>
      <c r="P9" s="185">
        <v>43</v>
      </c>
      <c r="Q9" s="180">
        <v>52358.46</v>
      </c>
      <c r="R9" s="207">
        <v>321630.53999999998</v>
      </c>
      <c r="S9" s="175"/>
    </row>
    <row r="10" spans="2:19">
      <c r="B10" s="201">
        <v>7</v>
      </c>
      <c r="C10" s="201" t="s">
        <v>19</v>
      </c>
      <c r="D10" s="175" t="s">
        <v>24</v>
      </c>
      <c r="E10" s="176">
        <v>150000</v>
      </c>
      <c r="F10" s="177">
        <v>19989</v>
      </c>
      <c r="G10" s="178">
        <v>169995</v>
      </c>
      <c r="H10" s="179">
        <v>50</v>
      </c>
      <c r="I10" s="180">
        <v>3399.9</v>
      </c>
      <c r="J10" s="181">
        <v>399.78</v>
      </c>
      <c r="K10" s="181">
        <v>3000.12</v>
      </c>
      <c r="L10" s="178">
        <v>19995</v>
      </c>
      <c r="M10" s="182">
        <v>6396.48</v>
      </c>
      <c r="N10" s="183">
        <v>13592.52</v>
      </c>
      <c r="O10" s="204">
        <v>16</v>
      </c>
      <c r="P10" s="185">
        <v>34</v>
      </c>
      <c r="Q10" s="205">
        <v>54398.400000000001</v>
      </c>
      <c r="R10" s="206">
        <v>115596.6</v>
      </c>
      <c r="S10" s="175"/>
    </row>
    <row r="11" spans="2:19">
      <c r="B11" s="201">
        <v>8</v>
      </c>
      <c r="C11" s="201" t="s">
        <v>19</v>
      </c>
      <c r="D11" s="175" t="s">
        <v>25</v>
      </c>
      <c r="E11" s="176">
        <v>150000</v>
      </c>
      <c r="F11" s="177">
        <v>19995</v>
      </c>
      <c r="G11" s="178">
        <v>169995</v>
      </c>
      <c r="H11" s="179">
        <v>50</v>
      </c>
      <c r="I11" s="180">
        <v>3399.9</v>
      </c>
      <c r="J11" s="181">
        <v>399.78</v>
      </c>
      <c r="K11" s="181">
        <v>3000.12</v>
      </c>
      <c r="L11" s="178">
        <v>19995</v>
      </c>
      <c r="M11" s="182">
        <v>9194.94</v>
      </c>
      <c r="N11" s="183">
        <v>10794.06</v>
      </c>
      <c r="O11" s="184">
        <v>23</v>
      </c>
      <c r="P11" s="185">
        <v>27</v>
      </c>
      <c r="Q11" s="180">
        <v>78197.7</v>
      </c>
      <c r="R11" s="207">
        <v>91797.3</v>
      </c>
      <c r="S11" s="175"/>
    </row>
    <row r="12" spans="2:19">
      <c r="B12" s="201">
        <v>9</v>
      </c>
      <c r="C12" s="201" t="s">
        <v>19</v>
      </c>
      <c r="D12" s="202" t="s">
        <v>26</v>
      </c>
      <c r="E12" s="180">
        <v>450000</v>
      </c>
      <c r="F12" s="177">
        <v>59985</v>
      </c>
      <c r="G12" s="178">
        <v>509985</v>
      </c>
      <c r="H12" s="179">
        <v>50</v>
      </c>
      <c r="I12" s="205">
        <v>10199.700000000001</v>
      </c>
      <c r="J12" s="181">
        <v>1199.7</v>
      </c>
      <c r="K12" s="181">
        <v>9000</v>
      </c>
      <c r="L12" s="178">
        <v>59985</v>
      </c>
      <c r="M12" s="182">
        <v>27593.1</v>
      </c>
      <c r="N12" s="183">
        <v>32391.9</v>
      </c>
      <c r="O12" s="204">
        <v>23</v>
      </c>
      <c r="P12" s="185">
        <v>27</v>
      </c>
      <c r="Q12" s="205">
        <v>234931.1</v>
      </c>
      <c r="R12" s="206">
        <v>275391.90000000002</v>
      </c>
      <c r="S12" s="175"/>
    </row>
    <row r="13" spans="2:19">
      <c r="B13" s="201">
        <v>10</v>
      </c>
      <c r="C13" s="201" t="s">
        <v>19</v>
      </c>
      <c r="D13" s="202" t="s">
        <v>27</v>
      </c>
      <c r="E13" s="176">
        <v>450000</v>
      </c>
      <c r="F13" s="177">
        <v>59985</v>
      </c>
      <c r="G13" s="178">
        <v>509985</v>
      </c>
      <c r="H13" s="179">
        <v>50</v>
      </c>
      <c r="I13" s="180">
        <v>10199.700000000001</v>
      </c>
      <c r="J13" s="181">
        <v>1199.7</v>
      </c>
      <c r="K13" s="181">
        <v>9000</v>
      </c>
      <c r="L13" s="178">
        <v>59985</v>
      </c>
      <c r="M13" s="182">
        <v>59985</v>
      </c>
      <c r="N13" s="183"/>
      <c r="O13" s="204">
        <v>50</v>
      </c>
      <c r="P13" s="185"/>
      <c r="Q13" s="205">
        <v>509985</v>
      </c>
      <c r="R13" s="206"/>
      <c r="S13" s="175"/>
    </row>
    <row r="14" spans="2:19">
      <c r="B14" s="201">
        <v>11</v>
      </c>
      <c r="C14" s="201" t="s">
        <v>19</v>
      </c>
      <c r="D14" s="175" t="s">
        <v>28</v>
      </c>
      <c r="E14" s="176">
        <v>500000</v>
      </c>
      <c r="F14" s="177">
        <v>66650</v>
      </c>
      <c r="G14" s="178">
        <v>566650</v>
      </c>
      <c r="H14" s="179">
        <v>50</v>
      </c>
      <c r="I14" s="180">
        <v>11333</v>
      </c>
      <c r="J14" s="181">
        <v>1333</v>
      </c>
      <c r="K14" s="181">
        <v>10000</v>
      </c>
      <c r="L14" s="178">
        <v>66650</v>
      </c>
      <c r="M14" s="182">
        <v>58652</v>
      </c>
      <c r="N14" s="183">
        <v>7998</v>
      </c>
      <c r="O14" s="204">
        <v>44</v>
      </c>
      <c r="P14" s="185">
        <v>6</v>
      </c>
      <c r="Q14" s="205">
        <v>498652</v>
      </c>
      <c r="R14" s="206">
        <v>67998</v>
      </c>
      <c r="S14" s="175"/>
    </row>
    <row r="15" spans="2:19">
      <c r="B15" s="201">
        <v>12</v>
      </c>
      <c r="C15" s="201" t="s">
        <v>19</v>
      </c>
      <c r="D15" s="175" t="s">
        <v>29</v>
      </c>
      <c r="E15" s="176">
        <v>330000</v>
      </c>
      <c r="F15" s="177">
        <v>43989</v>
      </c>
      <c r="G15" s="178">
        <v>373989</v>
      </c>
      <c r="H15" s="179">
        <v>50</v>
      </c>
      <c r="I15" s="180">
        <v>7479</v>
      </c>
      <c r="J15" s="181">
        <v>879.78</v>
      </c>
      <c r="K15" s="181">
        <v>6600</v>
      </c>
      <c r="L15" s="178">
        <v>43989</v>
      </c>
      <c r="M15" s="182">
        <v>38710.32</v>
      </c>
      <c r="N15" s="183">
        <v>5278.68</v>
      </c>
      <c r="O15" s="184">
        <v>44</v>
      </c>
      <c r="P15" s="185">
        <v>6</v>
      </c>
      <c r="Q15" s="180">
        <v>329110.32</v>
      </c>
      <c r="R15" s="186">
        <v>44878.68</v>
      </c>
      <c r="S15" s="175"/>
    </row>
    <row r="16" spans="2:19">
      <c r="B16" s="201">
        <v>13</v>
      </c>
      <c r="C16" s="201" t="s">
        <v>19</v>
      </c>
      <c r="D16" s="175" t="s">
        <v>30</v>
      </c>
      <c r="E16" s="176">
        <v>150000</v>
      </c>
      <c r="F16" s="177">
        <v>19995</v>
      </c>
      <c r="G16" s="178">
        <v>169995</v>
      </c>
      <c r="H16" s="179">
        <v>50</v>
      </c>
      <c r="I16" s="180">
        <v>3399.9</v>
      </c>
      <c r="J16" s="181">
        <v>399.78</v>
      </c>
      <c r="K16" s="181">
        <v>3000.12</v>
      </c>
      <c r="L16" s="178">
        <v>19995</v>
      </c>
      <c r="M16" s="182">
        <v>5596.92</v>
      </c>
      <c r="N16" s="183">
        <v>14392.08</v>
      </c>
      <c r="O16" s="184">
        <v>15</v>
      </c>
      <c r="P16" s="185">
        <v>35</v>
      </c>
      <c r="Q16" s="180">
        <v>47598.6</v>
      </c>
      <c r="R16" s="207">
        <v>122396.4</v>
      </c>
      <c r="S16" s="175"/>
    </row>
    <row r="17" spans="2:19">
      <c r="B17" s="201">
        <v>14</v>
      </c>
      <c r="C17" s="201" t="s">
        <v>19</v>
      </c>
      <c r="D17" s="175" t="s">
        <v>43</v>
      </c>
      <c r="E17" s="176">
        <v>150000</v>
      </c>
      <c r="F17" s="177">
        <v>19995</v>
      </c>
      <c r="G17" s="178">
        <v>169995</v>
      </c>
      <c r="H17" s="179">
        <v>50</v>
      </c>
      <c r="I17" s="180">
        <v>3399.9</v>
      </c>
      <c r="J17" s="181">
        <v>399.78</v>
      </c>
      <c r="K17" s="181">
        <v>3000.12</v>
      </c>
      <c r="L17" s="178">
        <v>19995</v>
      </c>
      <c r="M17" s="182">
        <v>2798.46</v>
      </c>
      <c r="N17" s="183">
        <v>17190.54</v>
      </c>
      <c r="O17" s="184">
        <v>8</v>
      </c>
      <c r="P17" s="185">
        <v>42</v>
      </c>
      <c r="Q17" s="180">
        <v>23799.3</v>
      </c>
      <c r="R17" s="207">
        <v>146195.70000000001</v>
      </c>
      <c r="S17" s="175"/>
    </row>
    <row r="18" spans="2:19">
      <c r="B18" s="201">
        <v>15</v>
      </c>
      <c r="C18" s="201" t="s">
        <v>19</v>
      </c>
      <c r="D18" s="175" t="s">
        <v>58</v>
      </c>
      <c r="E18" s="176">
        <v>150000</v>
      </c>
      <c r="F18" s="177">
        <v>19995</v>
      </c>
      <c r="G18" s="178">
        <v>169995</v>
      </c>
      <c r="H18" s="179">
        <v>50</v>
      </c>
      <c r="I18" s="180">
        <v>3399.9</v>
      </c>
      <c r="J18" s="181">
        <v>399.78</v>
      </c>
      <c r="K18" s="181">
        <v>3000.12</v>
      </c>
      <c r="L18" s="178">
        <v>19995</v>
      </c>
      <c r="M18" s="182">
        <v>9994.5</v>
      </c>
      <c r="N18" s="183">
        <v>9994.5</v>
      </c>
      <c r="O18" s="184">
        <v>25</v>
      </c>
      <c r="P18" s="185">
        <v>25</v>
      </c>
      <c r="Q18" s="180" t="s">
        <v>62</v>
      </c>
      <c r="R18" s="186">
        <v>84997.5</v>
      </c>
      <c r="S18" s="175"/>
    </row>
    <row r="19" spans="2:19">
      <c r="B19" s="201">
        <v>16</v>
      </c>
      <c r="C19" s="201" t="s">
        <v>19</v>
      </c>
      <c r="D19" s="175" t="s">
        <v>32</v>
      </c>
      <c r="E19" s="176">
        <v>150000</v>
      </c>
      <c r="F19" s="177">
        <v>19995</v>
      </c>
      <c r="G19" s="178">
        <v>169995</v>
      </c>
      <c r="H19" s="179">
        <v>50</v>
      </c>
      <c r="I19" s="180">
        <v>3399.9</v>
      </c>
      <c r="J19" s="181">
        <v>399.78</v>
      </c>
      <c r="K19" s="181">
        <v>3000.12</v>
      </c>
      <c r="L19" s="178">
        <v>19995</v>
      </c>
      <c r="M19" s="182">
        <v>17590.32</v>
      </c>
      <c r="N19" s="183">
        <v>2398.6799999999998</v>
      </c>
      <c r="O19" s="184">
        <v>44</v>
      </c>
      <c r="P19" s="185">
        <v>6</v>
      </c>
      <c r="Q19" s="180">
        <v>149595.6</v>
      </c>
      <c r="R19" s="186">
        <v>20399.400000000001</v>
      </c>
      <c r="S19" s="175"/>
    </row>
    <row r="20" spans="2:19">
      <c r="B20" s="201">
        <v>17</v>
      </c>
      <c r="C20" s="201" t="s">
        <v>19</v>
      </c>
      <c r="D20" s="175" t="s">
        <v>33</v>
      </c>
      <c r="E20" s="180">
        <v>150000</v>
      </c>
      <c r="F20" s="177">
        <v>19995</v>
      </c>
      <c r="G20" s="178">
        <v>169995</v>
      </c>
      <c r="H20" s="179">
        <v>50</v>
      </c>
      <c r="I20" s="180">
        <v>3399.9</v>
      </c>
      <c r="J20" s="181">
        <v>399.78</v>
      </c>
      <c r="K20" s="181">
        <v>3000.12</v>
      </c>
      <c r="L20" s="178">
        <v>19995</v>
      </c>
      <c r="M20" s="182">
        <v>17590.32</v>
      </c>
      <c r="N20" s="183">
        <v>2398.6799999999998</v>
      </c>
      <c r="O20" s="184">
        <v>44</v>
      </c>
      <c r="P20" s="185">
        <v>6</v>
      </c>
      <c r="Q20" s="180">
        <v>149595.6</v>
      </c>
      <c r="R20" s="186">
        <v>20399.400000000001</v>
      </c>
      <c r="S20" s="175"/>
    </row>
    <row r="21" spans="2:19">
      <c r="B21" s="201">
        <v>18</v>
      </c>
      <c r="C21" s="201" t="s">
        <v>19</v>
      </c>
      <c r="D21" s="202" t="s">
        <v>34</v>
      </c>
      <c r="E21" s="176">
        <v>150000</v>
      </c>
      <c r="F21" s="177">
        <v>19995</v>
      </c>
      <c r="G21" s="178">
        <v>169995</v>
      </c>
      <c r="H21" s="179">
        <v>50</v>
      </c>
      <c r="I21" s="180">
        <v>3399.9</v>
      </c>
      <c r="J21" s="181">
        <v>399.78</v>
      </c>
      <c r="K21" s="181">
        <v>3000.12</v>
      </c>
      <c r="L21" s="178">
        <v>19995</v>
      </c>
      <c r="M21" s="182">
        <v>17590.32</v>
      </c>
      <c r="N21" s="183">
        <v>2398.6799999999998</v>
      </c>
      <c r="O21" s="184">
        <v>44</v>
      </c>
      <c r="P21" s="185">
        <v>6</v>
      </c>
      <c r="Q21" s="180">
        <v>149595.6</v>
      </c>
      <c r="R21" s="186">
        <v>20399.400000000001</v>
      </c>
      <c r="S21" s="175"/>
    </row>
    <row r="22" spans="2:19">
      <c r="B22" s="201">
        <v>19</v>
      </c>
      <c r="C22" s="201" t="s">
        <v>19</v>
      </c>
      <c r="D22" s="175" t="s">
        <v>36</v>
      </c>
      <c r="E22" s="176">
        <v>150000</v>
      </c>
      <c r="F22" s="177">
        <v>19995</v>
      </c>
      <c r="G22" s="178">
        <v>169995</v>
      </c>
      <c r="H22" s="179">
        <v>50</v>
      </c>
      <c r="I22" s="180">
        <v>3399.9</v>
      </c>
      <c r="J22" s="181">
        <v>399.78</v>
      </c>
      <c r="K22" s="181">
        <v>3000.12</v>
      </c>
      <c r="L22" s="178">
        <v>19995</v>
      </c>
      <c r="M22" s="182">
        <v>17590.32</v>
      </c>
      <c r="N22" s="183">
        <v>2398.6799999999998</v>
      </c>
      <c r="O22" s="184">
        <v>44</v>
      </c>
      <c r="P22" s="185">
        <v>6</v>
      </c>
      <c r="Q22" s="180">
        <v>149595.6</v>
      </c>
      <c r="R22" s="186">
        <v>20399.400000000001</v>
      </c>
      <c r="S22" s="175"/>
    </row>
    <row r="23" spans="2:19">
      <c r="B23" s="201">
        <v>20</v>
      </c>
      <c r="C23" s="201" t="s">
        <v>19</v>
      </c>
      <c r="D23" s="175" t="s">
        <v>59</v>
      </c>
      <c r="E23" s="176">
        <v>330000</v>
      </c>
      <c r="F23" s="177">
        <v>43989</v>
      </c>
      <c r="G23" s="178">
        <v>373989</v>
      </c>
      <c r="H23" s="179">
        <v>50</v>
      </c>
      <c r="I23" s="180">
        <v>7479.78</v>
      </c>
      <c r="J23" s="181">
        <v>879.78</v>
      </c>
      <c r="K23" s="181">
        <v>6600</v>
      </c>
      <c r="L23" s="178">
        <v>43989</v>
      </c>
      <c r="M23" s="182">
        <v>35191.199999999997</v>
      </c>
      <c r="N23" s="183">
        <v>8797.7999999999993</v>
      </c>
      <c r="O23" s="184">
        <v>40</v>
      </c>
      <c r="P23" s="208">
        <v>10</v>
      </c>
      <c r="Q23" s="180">
        <v>299191.2</v>
      </c>
      <c r="R23" s="186">
        <v>74797.8</v>
      </c>
      <c r="S23" s="175"/>
    </row>
    <row r="24" spans="2:19">
      <c r="B24" s="201">
        <v>21</v>
      </c>
      <c r="C24" s="201" t="s">
        <v>19</v>
      </c>
      <c r="D24" s="175" t="s">
        <v>50</v>
      </c>
      <c r="E24" s="176">
        <v>500000</v>
      </c>
      <c r="F24" s="177">
        <v>66650</v>
      </c>
      <c r="G24" s="178">
        <v>566650</v>
      </c>
      <c r="H24" s="179">
        <v>50</v>
      </c>
      <c r="I24" s="180">
        <v>11333</v>
      </c>
      <c r="J24" s="209">
        <v>1333</v>
      </c>
      <c r="K24" s="181">
        <v>10000</v>
      </c>
      <c r="L24" s="178">
        <v>66650</v>
      </c>
      <c r="M24" s="182">
        <v>6665</v>
      </c>
      <c r="N24" s="183">
        <v>59985</v>
      </c>
      <c r="O24" s="184">
        <v>5</v>
      </c>
      <c r="P24" s="185">
        <v>45</v>
      </c>
      <c r="Q24" s="180">
        <v>56665</v>
      </c>
      <c r="R24" s="186">
        <v>509985</v>
      </c>
      <c r="S24" s="175"/>
    </row>
    <row r="25" spans="2:19">
      <c r="B25" s="201">
        <v>22</v>
      </c>
      <c r="C25" s="201" t="s">
        <v>19</v>
      </c>
      <c r="D25" s="175" t="s">
        <v>49</v>
      </c>
      <c r="E25" s="176">
        <v>500000</v>
      </c>
      <c r="F25" s="177">
        <v>66650</v>
      </c>
      <c r="G25" s="178">
        <v>566650</v>
      </c>
      <c r="H25" s="179">
        <v>50</v>
      </c>
      <c r="I25" s="180">
        <v>11333</v>
      </c>
      <c r="J25" s="209">
        <v>1333</v>
      </c>
      <c r="K25" s="181">
        <v>10000</v>
      </c>
      <c r="L25" s="178">
        <v>66650</v>
      </c>
      <c r="M25" s="182">
        <v>6665</v>
      </c>
      <c r="N25" s="183">
        <v>59985</v>
      </c>
      <c r="O25" s="184">
        <v>5</v>
      </c>
      <c r="P25" s="185">
        <v>45</v>
      </c>
      <c r="Q25" s="180">
        <v>56665</v>
      </c>
      <c r="R25" s="186">
        <v>509985</v>
      </c>
      <c r="S25" s="175"/>
    </row>
    <row r="26" spans="2:19" s="106" customFormat="1">
      <c r="B26" s="201">
        <v>23</v>
      </c>
      <c r="C26" s="201" t="s">
        <v>19</v>
      </c>
      <c r="D26" s="175" t="s">
        <v>63</v>
      </c>
      <c r="E26" s="176">
        <v>250000</v>
      </c>
      <c r="F26" s="177">
        <v>33325</v>
      </c>
      <c r="G26" s="178">
        <v>283325</v>
      </c>
      <c r="H26" s="179">
        <v>60</v>
      </c>
      <c r="I26" s="180">
        <v>4722.08</v>
      </c>
      <c r="J26" s="209">
        <v>555.41999999999996</v>
      </c>
      <c r="K26" s="181">
        <v>4166.66</v>
      </c>
      <c r="L26" s="178">
        <v>33325</v>
      </c>
      <c r="M26" s="182">
        <v>555.41999999999996</v>
      </c>
      <c r="N26" s="183">
        <v>32769.78</v>
      </c>
      <c r="O26" s="184">
        <v>1</v>
      </c>
      <c r="P26" s="185">
        <v>59</v>
      </c>
      <c r="Q26" s="180">
        <v>4722.08</v>
      </c>
      <c r="R26" s="186">
        <v>278602.71999999997</v>
      </c>
      <c r="S26" s="175"/>
    </row>
    <row r="27" spans="2:19">
      <c r="B27" s="201"/>
      <c r="C27" s="201"/>
      <c r="D27" s="202" t="s">
        <v>37</v>
      </c>
      <c r="E27" s="180">
        <f>SUM(E4:E26)</f>
        <v>6980000</v>
      </c>
      <c r="F27" s="177">
        <f>SUM(F4:F26)</f>
        <v>930428</v>
      </c>
      <c r="G27" s="180">
        <f>SUM(G4:G26)</f>
        <v>7910434</v>
      </c>
      <c r="H27" s="210"/>
      <c r="I27" s="180">
        <f t="shared" ref="I27:N27" si="0">SUM(I4:I26)</f>
        <v>157263.47999999995</v>
      </c>
      <c r="J27" s="181">
        <f t="shared" si="0"/>
        <v>18496.520000000004</v>
      </c>
      <c r="K27" s="181">
        <f t="shared" si="0"/>
        <v>138767.73999999996</v>
      </c>
      <c r="L27" s="178">
        <f t="shared" si="0"/>
        <v>930434</v>
      </c>
      <c r="M27" s="211">
        <f t="shared" si="0"/>
        <v>418446.26</v>
      </c>
      <c r="N27" s="183">
        <f t="shared" si="0"/>
        <v>511933.93999999994</v>
      </c>
      <c r="O27" s="184"/>
      <c r="P27" s="185"/>
      <c r="Q27" s="186">
        <f>SUM(Q4:Q26)</f>
        <v>3473184.74</v>
      </c>
      <c r="R27" s="186">
        <f>SUM(R4:R26)</f>
        <v>4352589.5599999996</v>
      </c>
      <c r="S27" s="175"/>
    </row>
  </sheetData>
  <mergeCells count="1">
    <mergeCell ref="B1:S1"/>
  </mergeCells>
  <pageMargins left="0.95" right="0.7" top="0.75" bottom="0.75" header="0.3" footer="0.3"/>
  <pageSetup paperSize="5" scale="75" fitToHeight="10" orientation="landscape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26"/>
  <sheetViews>
    <sheetView topLeftCell="H32" workbookViewId="0">
      <selection activeCell="R22" sqref="R22"/>
    </sheetView>
  </sheetViews>
  <sheetFormatPr defaultRowHeight="15"/>
  <cols>
    <col min="2" max="2" width="3.5703125" customWidth="1"/>
    <col min="3" max="3" width="6" bestFit="1" customWidth="1"/>
    <col min="4" max="4" width="22.28515625" customWidth="1"/>
    <col min="5" max="5" width="12.28515625" customWidth="1"/>
    <col min="6" max="6" width="11.85546875" customWidth="1"/>
    <col min="7" max="7" width="13.28515625" bestFit="1" customWidth="1"/>
    <col min="8" max="8" width="7.5703125" customWidth="1"/>
    <col min="9" max="9" width="11.5703125" bestFit="1" customWidth="1"/>
    <col min="10" max="10" width="10.5703125" customWidth="1"/>
    <col min="11" max="11" width="11.5703125" bestFit="1" customWidth="1"/>
    <col min="12" max="12" width="12" customWidth="1"/>
    <col min="13" max="13" width="12.28515625" customWidth="1"/>
    <col min="14" max="14" width="11.7109375" customWidth="1"/>
    <col min="17" max="17" width="13.5703125" customWidth="1"/>
    <col min="18" max="18" width="13.28515625" customWidth="1"/>
  </cols>
  <sheetData>
    <row r="1" spans="1:19">
      <c r="A1" s="106"/>
      <c r="B1" s="242" t="s">
        <v>65</v>
      </c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</row>
    <row r="2" spans="1:19">
      <c r="A2" s="106"/>
      <c r="B2" s="188"/>
      <c r="C2" s="188"/>
      <c r="D2" s="188"/>
      <c r="E2" s="189"/>
      <c r="F2" s="189"/>
      <c r="G2" s="189"/>
      <c r="H2" s="190" t="s">
        <v>66</v>
      </c>
      <c r="I2" s="189"/>
      <c r="J2" s="188"/>
      <c r="K2" s="188"/>
      <c r="L2" s="188"/>
      <c r="M2" s="188"/>
      <c r="N2" s="188"/>
      <c r="O2" s="219"/>
      <c r="P2" s="219"/>
      <c r="Q2" s="189"/>
      <c r="R2" s="189"/>
      <c r="S2" s="188"/>
    </row>
    <row r="3" spans="1:19" ht="51.75">
      <c r="A3" s="106"/>
      <c r="B3" s="192" t="s">
        <v>2</v>
      </c>
      <c r="C3" s="192" t="s">
        <v>3</v>
      </c>
      <c r="D3" s="193" t="s">
        <v>4</v>
      </c>
      <c r="E3" s="193" t="s">
        <v>5</v>
      </c>
      <c r="F3" s="192" t="s">
        <v>6</v>
      </c>
      <c r="G3" s="193" t="s">
        <v>7</v>
      </c>
      <c r="H3" s="187" t="s">
        <v>8</v>
      </c>
      <c r="I3" s="193" t="s">
        <v>9</v>
      </c>
      <c r="J3" s="194" t="s">
        <v>10</v>
      </c>
      <c r="K3" s="194" t="s">
        <v>11</v>
      </c>
      <c r="L3" s="192" t="s">
        <v>6</v>
      </c>
      <c r="M3" s="195" t="s">
        <v>12</v>
      </c>
      <c r="N3" s="196" t="s">
        <v>13</v>
      </c>
      <c r="O3" s="197" t="s">
        <v>14</v>
      </c>
      <c r="P3" s="198" t="s">
        <v>15</v>
      </c>
      <c r="Q3" s="199" t="s">
        <v>16</v>
      </c>
      <c r="R3" s="199" t="s">
        <v>17</v>
      </c>
      <c r="S3" s="200" t="s">
        <v>18</v>
      </c>
    </row>
    <row r="4" spans="1:19">
      <c r="A4" s="106"/>
      <c r="B4" s="201">
        <v>1</v>
      </c>
      <c r="C4" s="201" t="s">
        <v>19</v>
      </c>
      <c r="D4" s="202" t="s">
        <v>20</v>
      </c>
      <c r="E4" s="176">
        <v>500000</v>
      </c>
      <c r="F4" s="177">
        <v>66650</v>
      </c>
      <c r="G4" s="178">
        <v>566650</v>
      </c>
      <c r="H4" s="179">
        <v>50</v>
      </c>
      <c r="I4" s="180">
        <v>11333</v>
      </c>
      <c r="J4" s="203">
        <v>1333</v>
      </c>
      <c r="K4" s="181">
        <v>10000</v>
      </c>
      <c r="L4" s="178">
        <v>66650</v>
      </c>
      <c r="M4" s="182">
        <v>22661</v>
      </c>
      <c r="N4" s="183">
        <v>43989</v>
      </c>
      <c r="O4" s="204">
        <v>17</v>
      </c>
      <c r="P4" s="185">
        <v>33</v>
      </c>
      <c r="Q4" s="205">
        <v>192661</v>
      </c>
      <c r="R4" s="206">
        <v>373989</v>
      </c>
      <c r="S4" s="175"/>
    </row>
    <row r="5" spans="1:19">
      <c r="A5" s="106"/>
      <c r="B5" s="201">
        <v>2</v>
      </c>
      <c r="C5" s="201" t="s">
        <v>19</v>
      </c>
      <c r="D5" s="175" t="s">
        <v>21</v>
      </c>
      <c r="E5" s="176">
        <v>500000</v>
      </c>
      <c r="F5" s="177">
        <v>66650</v>
      </c>
      <c r="G5" s="178">
        <v>566650</v>
      </c>
      <c r="H5" s="179">
        <v>50</v>
      </c>
      <c r="I5" s="180">
        <v>11333</v>
      </c>
      <c r="J5" s="181">
        <v>1333</v>
      </c>
      <c r="K5" s="181">
        <v>10000</v>
      </c>
      <c r="L5" s="178">
        <v>66650</v>
      </c>
      <c r="M5" s="182">
        <v>26660</v>
      </c>
      <c r="N5" s="183">
        <v>39990</v>
      </c>
      <c r="O5" s="204">
        <v>20</v>
      </c>
      <c r="P5" s="185">
        <v>30</v>
      </c>
      <c r="Q5" s="205">
        <v>226660</v>
      </c>
      <c r="R5" s="206">
        <v>339990</v>
      </c>
      <c r="S5" s="175"/>
    </row>
    <row r="6" spans="1:19">
      <c r="A6" s="106"/>
      <c r="B6" s="201">
        <v>3</v>
      </c>
      <c r="C6" s="201" t="s">
        <v>19</v>
      </c>
      <c r="D6" s="175" t="s">
        <v>23</v>
      </c>
      <c r="E6" s="176">
        <v>330000</v>
      </c>
      <c r="F6" s="177">
        <v>43989</v>
      </c>
      <c r="G6" s="178">
        <v>373989</v>
      </c>
      <c r="H6" s="179">
        <v>50</v>
      </c>
      <c r="I6" s="180">
        <v>7479.78</v>
      </c>
      <c r="J6" s="181">
        <v>879.78</v>
      </c>
      <c r="K6" s="181">
        <v>6600</v>
      </c>
      <c r="L6" s="178">
        <v>43989</v>
      </c>
      <c r="M6" s="182">
        <v>14956.26</v>
      </c>
      <c r="N6" s="183">
        <v>29032.74</v>
      </c>
      <c r="O6" s="179">
        <v>17</v>
      </c>
      <c r="P6" s="185">
        <v>33</v>
      </c>
      <c r="Q6" s="180">
        <v>127156.25</v>
      </c>
      <c r="R6" s="207">
        <v>246832.74</v>
      </c>
      <c r="S6" s="175"/>
    </row>
    <row r="7" spans="1:19">
      <c r="A7" s="106"/>
      <c r="B7" s="201">
        <v>4</v>
      </c>
      <c r="C7" s="201" t="s">
        <v>19</v>
      </c>
      <c r="D7" s="175" t="s">
        <v>44</v>
      </c>
      <c r="E7" s="176">
        <v>330000</v>
      </c>
      <c r="F7" s="177">
        <v>43989</v>
      </c>
      <c r="G7" s="178">
        <v>373989</v>
      </c>
      <c r="H7" s="179">
        <v>50</v>
      </c>
      <c r="I7" s="180">
        <v>7479.78</v>
      </c>
      <c r="J7" s="181">
        <v>879.78</v>
      </c>
      <c r="K7" s="181">
        <v>6600</v>
      </c>
      <c r="L7" s="178">
        <v>43989</v>
      </c>
      <c r="M7" s="182">
        <v>7918.02</v>
      </c>
      <c r="N7" s="183">
        <v>36070.980000000003</v>
      </c>
      <c r="O7" s="179">
        <v>9</v>
      </c>
      <c r="P7" s="185">
        <v>41</v>
      </c>
      <c r="Q7" s="180">
        <v>67318.02</v>
      </c>
      <c r="R7" s="207">
        <v>306670.98</v>
      </c>
      <c r="S7" s="175"/>
    </row>
    <row r="8" spans="1:19">
      <c r="A8" s="106"/>
      <c r="B8" s="201">
        <v>5</v>
      </c>
      <c r="C8" s="201" t="s">
        <v>19</v>
      </c>
      <c r="D8" s="175" t="s">
        <v>52</v>
      </c>
      <c r="E8" s="176">
        <v>330000</v>
      </c>
      <c r="F8" s="177">
        <v>43989</v>
      </c>
      <c r="G8" s="178">
        <v>373989</v>
      </c>
      <c r="H8" s="179">
        <v>50</v>
      </c>
      <c r="I8" s="180">
        <v>7479.78</v>
      </c>
      <c r="J8" s="181">
        <v>879.78</v>
      </c>
      <c r="K8" s="181">
        <v>6600</v>
      </c>
      <c r="L8" s="178">
        <v>43989</v>
      </c>
      <c r="M8" s="182">
        <v>7038.24</v>
      </c>
      <c r="N8" s="183">
        <v>36950.76</v>
      </c>
      <c r="O8" s="179">
        <v>8</v>
      </c>
      <c r="P8" s="185">
        <v>42</v>
      </c>
      <c r="Q8" s="180">
        <v>59838.239999999998</v>
      </c>
      <c r="R8" s="207">
        <v>314150.76</v>
      </c>
      <c r="S8" s="175"/>
    </row>
    <row r="9" spans="1:19">
      <c r="A9" s="106"/>
      <c r="B9" s="201">
        <v>6</v>
      </c>
      <c r="C9" s="201" t="s">
        <v>19</v>
      </c>
      <c r="D9" s="175" t="s">
        <v>55</v>
      </c>
      <c r="E9" s="176">
        <v>330000</v>
      </c>
      <c r="F9" s="177">
        <v>43989</v>
      </c>
      <c r="G9" s="178">
        <v>373989</v>
      </c>
      <c r="H9" s="179">
        <v>50</v>
      </c>
      <c r="I9" s="180">
        <v>7479.78</v>
      </c>
      <c r="J9" s="181">
        <v>879.78</v>
      </c>
      <c r="K9" s="181">
        <v>6600</v>
      </c>
      <c r="L9" s="178">
        <v>43989</v>
      </c>
      <c r="M9" s="182">
        <v>7038.24</v>
      </c>
      <c r="N9" s="183">
        <v>36950.76</v>
      </c>
      <c r="O9" s="179">
        <v>8</v>
      </c>
      <c r="P9" s="185">
        <v>42</v>
      </c>
      <c r="Q9" s="180">
        <v>59838.239999999998</v>
      </c>
      <c r="R9" s="207">
        <v>314150.76</v>
      </c>
      <c r="S9" s="175"/>
    </row>
    <row r="10" spans="1:19">
      <c r="A10" s="106"/>
      <c r="B10" s="201">
        <v>7</v>
      </c>
      <c r="C10" s="201" t="s">
        <v>19</v>
      </c>
      <c r="D10" s="175" t="s">
        <v>24</v>
      </c>
      <c r="E10" s="176">
        <v>150000</v>
      </c>
      <c r="F10" s="177">
        <v>19989</v>
      </c>
      <c r="G10" s="178">
        <v>169995</v>
      </c>
      <c r="H10" s="179">
        <v>50</v>
      </c>
      <c r="I10" s="180">
        <v>3399.9</v>
      </c>
      <c r="J10" s="181">
        <v>399.78</v>
      </c>
      <c r="K10" s="181">
        <v>3000.12</v>
      </c>
      <c r="L10" s="178">
        <v>19995</v>
      </c>
      <c r="M10" s="182">
        <v>6796.26</v>
      </c>
      <c r="N10" s="183">
        <v>13192.74</v>
      </c>
      <c r="O10" s="204">
        <v>17</v>
      </c>
      <c r="P10" s="185">
        <v>33</v>
      </c>
      <c r="Q10" s="205">
        <v>57798.3</v>
      </c>
      <c r="R10" s="206">
        <v>112196.7</v>
      </c>
      <c r="S10" s="175"/>
    </row>
    <row r="11" spans="1:19">
      <c r="A11" s="106"/>
      <c r="B11" s="201">
        <v>8</v>
      </c>
      <c r="C11" s="201" t="s">
        <v>19</v>
      </c>
      <c r="D11" s="175" t="s">
        <v>25</v>
      </c>
      <c r="E11" s="176">
        <v>150000</v>
      </c>
      <c r="F11" s="177">
        <v>19995</v>
      </c>
      <c r="G11" s="178">
        <v>169995</v>
      </c>
      <c r="H11" s="179">
        <v>50</v>
      </c>
      <c r="I11" s="180">
        <v>3399.9</v>
      </c>
      <c r="J11" s="181">
        <v>399.78</v>
      </c>
      <c r="K11" s="181">
        <v>3000.12</v>
      </c>
      <c r="L11" s="178">
        <v>19995</v>
      </c>
      <c r="M11" s="182">
        <v>9594.7199999999993</v>
      </c>
      <c r="N11" s="183">
        <v>10394.280000000001</v>
      </c>
      <c r="O11" s="184">
        <v>24</v>
      </c>
      <c r="P11" s="185">
        <v>26</v>
      </c>
      <c r="Q11" s="180">
        <v>81597.600000000006</v>
      </c>
      <c r="R11" s="207">
        <v>88397.4</v>
      </c>
      <c r="S11" s="175"/>
    </row>
    <row r="12" spans="1:19">
      <c r="A12" s="106"/>
      <c r="B12" s="201">
        <v>9</v>
      </c>
      <c r="C12" s="201" t="s">
        <v>19</v>
      </c>
      <c r="D12" s="202" t="s">
        <v>26</v>
      </c>
      <c r="E12" s="178">
        <v>450000</v>
      </c>
      <c r="F12" s="177">
        <v>59985</v>
      </c>
      <c r="G12" s="178">
        <v>509985</v>
      </c>
      <c r="H12" s="179">
        <v>50</v>
      </c>
      <c r="I12" s="205">
        <v>10199.700000000001</v>
      </c>
      <c r="J12" s="181">
        <v>1199.7</v>
      </c>
      <c r="K12" s="181">
        <v>9000</v>
      </c>
      <c r="L12" s="178">
        <v>59985</v>
      </c>
      <c r="M12" s="182">
        <v>28792.799999999999</v>
      </c>
      <c r="N12" s="183">
        <v>31192.2</v>
      </c>
      <c r="O12" s="204">
        <v>24</v>
      </c>
      <c r="P12" s="185">
        <v>26</v>
      </c>
      <c r="Q12" s="205">
        <v>244792.8</v>
      </c>
      <c r="R12" s="206">
        <v>265192.2</v>
      </c>
      <c r="S12" s="175"/>
    </row>
    <row r="13" spans="1:19">
      <c r="A13" s="106"/>
      <c r="B13" s="201">
        <v>11</v>
      </c>
      <c r="C13" s="201" t="s">
        <v>19</v>
      </c>
      <c r="D13" s="175" t="s">
        <v>28</v>
      </c>
      <c r="E13" s="176">
        <v>500000</v>
      </c>
      <c r="F13" s="177">
        <v>66650</v>
      </c>
      <c r="G13" s="178">
        <v>566650</v>
      </c>
      <c r="H13" s="179">
        <v>50</v>
      </c>
      <c r="I13" s="180">
        <v>11333</v>
      </c>
      <c r="J13" s="181">
        <v>1333</v>
      </c>
      <c r="K13" s="181">
        <v>10000</v>
      </c>
      <c r="L13" s="178">
        <v>66650</v>
      </c>
      <c r="M13" s="182">
        <v>59985</v>
      </c>
      <c r="N13" s="183">
        <v>6665</v>
      </c>
      <c r="O13" s="204">
        <v>45</v>
      </c>
      <c r="P13" s="185">
        <v>5</v>
      </c>
      <c r="Q13" s="205">
        <v>509985</v>
      </c>
      <c r="R13" s="206">
        <v>56665</v>
      </c>
      <c r="S13" s="175"/>
    </row>
    <row r="14" spans="1:19">
      <c r="A14" s="106"/>
      <c r="B14" s="201">
        <v>12</v>
      </c>
      <c r="C14" s="201" t="s">
        <v>19</v>
      </c>
      <c r="D14" s="175" t="s">
        <v>29</v>
      </c>
      <c r="E14" s="176">
        <v>330000</v>
      </c>
      <c r="F14" s="177">
        <v>43989</v>
      </c>
      <c r="G14" s="178">
        <v>373989</v>
      </c>
      <c r="H14" s="179">
        <v>50</v>
      </c>
      <c r="I14" s="180">
        <v>7479</v>
      </c>
      <c r="J14" s="181">
        <v>879.78</v>
      </c>
      <c r="K14" s="181">
        <v>6600</v>
      </c>
      <c r="L14" s="178">
        <v>43989</v>
      </c>
      <c r="M14" s="182">
        <v>39590.1</v>
      </c>
      <c r="N14" s="183">
        <v>4398.8999999999996</v>
      </c>
      <c r="O14" s="184">
        <v>45</v>
      </c>
      <c r="P14" s="185">
        <v>5</v>
      </c>
      <c r="Q14" s="180">
        <v>336590.1</v>
      </c>
      <c r="R14" s="186">
        <v>37398.9</v>
      </c>
      <c r="S14" s="175"/>
    </row>
    <row r="15" spans="1:19">
      <c r="A15" s="106"/>
      <c r="B15" s="201">
        <v>13</v>
      </c>
      <c r="C15" s="201" t="s">
        <v>19</v>
      </c>
      <c r="D15" s="175" t="s">
        <v>30</v>
      </c>
      <c r="E15" s="176">
        <v>150000</v>
      </c>
      <c r="F15" s="177">
        <v>19995</v>
      </c>
      <c r="G15" s="178">
        <v>169995</v>
      </c>
      <c r="H15" s="179">
        <v>50</v>
      </c>
      <c r="I15" s="180">
        <v>3399.9</v>
      </c>
      <c r="J15" s="181">
        <v>399.78</v>
      </c>
      <c r="K15" s="181">
        <v>3000.12</v>
      </c>
      <c r="L15" s="178">
        <v>19995</v>
      </c>
      <c r="M15" s="182">
        <v>6396.48</v>
      </c>
      <c r="N15" s="183">
        <v>13582.52</v>
      </c>
      <c r="O15" s="184">
        <v>16</v>
      </c>
      <c r="P15" s="185">
        <v>34</v>
      </c>
      <c r="Q15" s="180">
        <v>54398.400000000001</v>
      </c>
      <c r="R15" s="207">
        <v>115596.6</v>
      </c>
      <c r="S15" s="175"/>
    </row>
    <row r="16" spans="1:19">
      <c r="A16" s="106"/>
      <c r="B16" s="201">
        <v>14</v>
      </c>
      <c r="C16" s="201" t="s">
        <v>19</v>
      </c>
      <c r="D16" s="175" t="s">
        <v>43</v>
      </c>
      <c r="E16" s="176">
        <v>150000</v>
      </c>
      <c r="F16" s="177">
        <v>19995</v>
      </c>
      <c r="G16" s="178">
        <v>169995</v>
      </c>
      <c r="H16" s="179">
        <v>50</v>
      </c>
      <c r="I16" s="180">
        <v>3399.9</v>
      </c>
      <c r="J16" s="181">
        <v>399.78</v>
      </c>
      <c r="K16" s="181">
        <v>3000.12</v>
      </c>
      <c r="L16" s="178">
        <v>19995</v>
      </c>
      <c r="M16" s="182">
        <v>3598.02</v>
      </c>
      <c r="N16" s="183">
        <v>16390.98</v>
      </c>
      <c r="O16" s="184">
        <v>9</v>
      </c>
      <c r="P16" s="185">
        <v>41</v>
      </c>
      <c r="Q16" s="180">
        <v>30599.1</v>
      </c>
      <c r="R16" s="207">
        <v>139395.9</v>
      </c>
      <c r="S16" s="175"/>
    </row>
    <row r="17" spans="1:19">
      <c r="A17" s="106"/>
      <c r="B17" s="201">
        <v>15</v>
      </c>
      <c r="C17" s="201" t="s">
        <v>19</v>
      </c>
      <c r="D17" s="175" t="s">
        <v>58</v>
      </c>
      <c r="E17" s="176">
        <v>150000</v>
      </c>
      <c r="F17" s="177">
        <v>19995</v>
      </c>
      <c r="G17" s="178">
        <v>169995</v>
      </c>
      <c r="H17" s="179">
        <v>50</v>
      </c>
      <c r="I17" s="180">
        <v>3399.9</v>
      </c>
      <c r="J17" s="181">
        <v>399.78</v>
      </c>
      <c r="K17" s="181">
        <v>3000.12</v>
      </c>
      <c r="L17" s="178">
        <v>19995</v>
      </c>
      <c r="M17" s="182">
        <v>10394.280000000001</v>
      </c>
      <c r="N17" s="183">
        <v>9594.7199999999993</v>
      </c>
      <c r="O17" s="184">
        <v>26</v>
      </c>
      <c r="P17" s="185">
        <v>24</v>
      </c>
      <c r="Q17" s="180">
        <v>88397.4</v>
      </c>
      <c r="R17" s="186">
        <v>81597.600000000006</v>
      </c>
      <c r="S17" s="175"/>
    </row>
    <row r="18" spans="1:19">
      <c r="A18" s="106"/>
      <c r="B18" s="201">
        <v>16</v>
      </c>
      <c r="C18" s="201" t="s">
        <v>19</v>
      </c>
      <c r="D18" s="175" t="s">
        <v>32</v>
      </c>
      <c r="E18" s="176">
        <v>150000</v>
      </c>
      <c r="F18" s="177">
        <v>19995</v>
      </c>
      <c r="G18" s="178">
        <v>169995</v>
      </c>
      <c r="H18" s="179">
        <v>50</v>
      </c>
      <c r="I18" s="180">
        <v>3399.9</v>
      </c>
      <c r="J18" s="181">
        <v>399.78</v>
      </c>
      <c r="K18" s="181">
        <v>3000.12</v>
      </c>
      <c r="L18" s="178">
        <v>19995</v>
      </c>
      <c r="M18" s="182">
        <v>17990.099999999999</v>
      </c>
      <c r="N18" s="183">
        <v>1998.9</v>
      </c>
      <c r="O18" s="184">
        <v>45</v>
      </c>
      <c r="P18" s="185">
        <v>5</v>
      </c>
      <c r="Q18" s="180">
        <v>152995.5</v>
      </c>
      <c r="R18" s="186">
        <v>16999.5</v>
      </c>
      <c r="S18" s="175"/>
    </row>
    <row r="19" spans="1:19">
      <c r="A19" s="106"/>
      <c r="B19" s="201">
        <v>17</v>
      </c>
      <c r="C19" s="201" t="s">
        <v>19</v>
      </c>
      <c r="D19" s="175" t="s">
        <v>33</v>
      </c>
      <c r="E19" s="180">
        <v>150000</v>
      </c>
      <c r="F19" s="177">
        <v>19995</v>
      </c>
      <c r="G19" s="178">
        <v>169995</v>
      </c>
      <c r="H19" s="179">
        <v>50</v>
      </c>
      <c r="I19" s="180">
        <v>3399.9</v>
      </c>
      <c r="J19" s="181">
        <v>399.78</v>
      </c>
      <c r="K19" s="181">
        <v>3000.12</v>
      </c>
      <c r="L19" s="178">
        <v>19995</v>
      </c>
      <c r="M19" s="182">
        <v>17990.099999999999</v>
      </c>
      <c r="N19" s="183">
        <v>1998.9</v>
      </c>
      <c r="O19" s="184">
        <v>45</v>
      </c>
      <c r="P19" s="185">
        <v>5</v>
      </c>
      <c r="Q19" s="180">
        <v>152995.5</v>
      </c>
      <c r="R19" s="186">
        <v>16999.5</v>
      </c>
      <c r="S19" s="175"/>
    </row>
    <row r="20" spans="1:19">
      <c r="A20" s="106"/>
      <c r="B20" s="201">
        <v>18</v>
      </c>
      <c r="C20" s="201" t="s">
        <v>19</v>
      </c>
      <c r="D20" s="202" t="s">
        <v>34</v>
      </c>
      <c r="E20" s="176">
        <v>150000</v>
      </c>
      <c r="F20" s="177">
        <v>19995</v>
      </c>
      <c r="G20" s="178">
        <v>169995</v>
      </c>
      <c r="H20" s="179">
        <v>50</v>
      </c>
      <c r="I20" s="180">
        <v>3399.9</v>
      </c>
      <c r="J20" s="181">
        <v>399.78</v>
      </c>
      <c r="K20" s="181">
        <v>3000.12</v>
      </c>
      <c r="L20" s="178">
        <v>19995</v>
      </c>
      <c r="M20" s="182">
        <v>17990.099999999999</v>
      </c>
      <c r="N20" s="183">
        <v>1998.9</v>
      </c>
      <c r="O20" s="184">
        <v>45</v>
      </c>
      <c r="P20" s="185">
        <v>5</v>
      </c>
      <c r="Q20" s="180">
        <v>152995.5</v>
      </c>
      <c r="R20" s="186">
        <v>16999.5</v>
      </c>
      <c r="S20" s="175"/>
    </row>
    <row r="21" spans="1:19">
      <c r="A21" s="106"/>
      <c r="B21" s="201">
        <v>19</v>
      </c>
      <c r="C21" s="201" t="s">
        <v>19</v>
      </c>
      <c r="D21" s="175" t="s">
        <v>36</v>
      </c>
      <c r="E21" s="176">
        <v>150000</v>
      </c>
      <c r="F21" s="177">
        <v>19995</v>
      </c>
      <c r="G21" s="178">
        <v>169995</v>
      </c>
      <c r="H21" s="179">
        <v>50</v>
      </c>
      <c r="I21" s="180">
        <v>3399.9</v>
      </c>
      <c r="J21" s="181">
        <v>399.78</v>
      </c>
      <c r="K21" s="181">
        <v>3000.12</v>
      </c>
      <c r="L21" s="178">
        <v>19995</v>
      </c>
      <c r="M21" s="182">
        <v>17990.099999999999</v>
      </c>
      <c r="N21" s="183">
        <v>1998.9</v>
      </c>
      <c r="O21" s="184">
        <v>45</v>
      </c>
      <c r="P21" s="185">
        <v>5</v>
      </c>
      <c r="Q21" s="180">
        <v>152995.5</v>
      </c>
      <c r="R21" s="186">
        <v>16999.5</v>
      </c>
      <c r="S21" s="175"/>
    </row>
    <row r="22" spans="1:19">
      <c r="A22" s="106"/>
      <c r="B22" s="201">
        <v>20</v>
      </c>
      <c r="C22" s="201" t="s">
        <v>19</v>
      </c>
      <c r="D22" s="175" t="s">
        <v>59</v>
      </c>
      <c r="E22" s="176">
        <v>330000</v>
      </c>
      <c r="F22" s="177">
        <v>43989</v>
      </c>
      <c r="G22" s="178">
        <v>373989</v>
      </c>
      <c r="H22" s="179">
        <v>50</v>
      </c>
      <c r="I22" s="180">
        <v>7479.78</v>
      </c>
      <c r="J22" s="181">
        <v>879.78</v>
      </c>
      <c r="K22" s="181">
        <v>6600</v>
      </c>
      <c r="L22" s="178">
        <v>43989</v>
      </c>
      <c r="M22" s="182">
        <v>36070.980000000003</v>
      </c>
      <c r="N22" s="183">
        <v>7918.02</v>
      </c>
      <c r="O22" s="184">
        <v>41</v>
      </c>
      <c r="P22" s="208">
        <v>9</v>
      </c>
      <c r="Q22" s="180" t="s">
        <v>69</v>
      </c>
      <c r="R22" s="186">
        <v>67318.02</v>
      </c>
      <c r="S22" s="175"/>
    </row>
    <row r="23" spans="1:19">
      <c r="A23" s="106"/>
      <c r="B23" s="201">
        <v>21</v>
      </c>
      <c r="C23" s="201" t="s">
        <v>19</v>
      </c>
      <c r="D23" s="175" t="s">
        <v>50</v>
      </c>
      <c r="E23" s="176">
        <v>500000</v>
      </c>
      <c r="F23" s="177">
        <v>66650</v>
      </c>
      <c r="G23" s="178">
        <v>566650</v>
      </c>
      <c r="H23" s="179">
        <v>50</v>
      </c>
      <c r="I23" s="180">
        <v>11333</v>
      </c>
      <c r="J23" s="209">
        <v>1333</v>
      </c>
      <c r="K23" s="181">
        <v>10000</v>
      </c>
      <c r="L23" s="178">
        <v>66650</v>
      </c>
      <c r="M23" s="182">
        <v>7998</v>
      </c>
      <c r="N23" s="183">
        <v>58652</v>
      </c>
      <c r="O23" s="184">
        <v>6</v>
      </c>
      <c r="P23" s="185">
        <v>44</v>
      </c>
      <c r="Q23" s="180">
        <v>67998</v>
      </c>
      <c r="R23" s="186">
        <v>498652</v>
      </c>
      <c r="S23" s="175"/>
    </row>
    <row r="24" spans="1:19">
      <c r="A24" s="106"/>
      <c r="B24" s="201">
        <v>22</v>
      </c>
      <c r="C24" s="201" t="s">
        <v>19</v>
      </c>
      <c r="D24" s="175" t="s">
        <v>49</v>
      </c>
      <c r="E24" s="176">
        <v>500000</v>
      </c>
      <c r="F24" s="177">
        <v>66650</v>
      </c>
      <c r="G24" s="178">
        <v>566650</v>
      </c>
      <c r="H24" s="179">
        <v>50</v>
      </c>
      <c r="I24" s="180">
        <v>11333</v>
      </c>
      <c r="J24" s="209">
        <v>1333</v>
      </c>
      <c r="K24" s="181">
        <v>10000</v>
      </c>
      <c r="L24" s="178">
        <v>66650</v>
      </c>
      <c r="M24" s="182">
        <v>7998</v>
      </c>
      <c r="N24" s="183">
        <v>58652</v>
      </c>
      <c r="O24" s="184">
        <v>6</v>
      </c>
      <c r="P24" s="185">
        <v>44</v>
      </c>
      <c r="Q24" s="180">
        <v>67998</v>
      </c>
      <c r="R24" s="186">
        <v>498652</v>
      </c>
      <c r="S24" s="175"/>
    </row>
    <row r="25" spans="1:19">
      <c r="A25" s="106"/>
      <c r="B25" s="201">
        <v>23</v>
      </c>
      <c r="C25" s="201" t="s">
        <v>19</v>
      </c>
      <c r="D25" s="175" t="s">
        <v>63</v>
      </c>
      <c r="E25" s="176">
        <v>250000</v>
      </c>
      <c r="F25" s="177">
        <v>33325</v>
      </c>
      <c r="G25" s="178">
        <v>283325</v>
      </c>
      <c r="H25" s="179">
        <v>60</v>
      </c>
      <c r="I25" s="180">
        <v>4722.08</v>
      </c>
      <c r="J25" s="209">
        <v>555.41999999999996</v>
      </c>
      <c r="K25" s="181">
        <v>4166.66</v>
      </c>
      <c r="L25" s="178">
        <v>33325</v>
      </c>
      <c r="M25" s="182">
        <v>1110.8399999999999</v>
      </c>
      <c r="N25" s="183">
        <v>32214.36</v>
      </c>
      <c r="O25" s="184">
        <v>2</v>
      </c>
      <c r="P25" s="185">
        <v>58</v>
      </c>
      <c r="Q25" s="180">
        <v>9444.16</v>
      </c>
      <c r="R25" s="186">
        <v>273880.64</v>
      </c>
      <c r="S25" s="175"/>
    </row>
    <row r="26" spans="1:19">
      <c r="A26" s="106"/>
      <c r="B26" s="201"/>
      <c r="C26" s="201"/>
      <c r="D26" s="202" t="s">
        <v>37</v>
      </c>
      <c r="E26" s="180">
        <f>SUM(E4:E25)</f>
        <v>6530000</v>
      </c>
      <c r="F26" s="177">
        <f>SUM(F4:F25)</f>
        <v>870443</v>
      </c>
      <c r="G26" s="221">
        <f>SUM(G4:G25)</f>
        <v>7400449</v>
      </c>
      <c r="H26" s="210"/>
      <c r="I26" s="221">
        <f t="shared" ref="I26:N26" si="0">SUM(I4:I25)</f>
        <v>147063.77999999994</v>
      </c>
      <c r="J26" s="222">
        <f t="shared" si="0"/>
        <v>17296.82</v>
      </c>
      <c r="K26" s="222">
        <f t="shared" si="0"/>
        <v>129767.73999999998</v>
      </c>
      <c r="L26" s="223">
        <f t="shared" si="0"/>
        <v>870449</v>
      </c>
      <c r="M26" s="224">
        <f t="shared" si="0"/>
        <v>376557.63999999996</v>
      </c>
      <c r="N26" s="225">
        <f t="shared" si="0"/>
        <v>493827.56000000011</v>
      </c>
      <c r="O26" s="226"/>
      <c r="P26" s="227"/>
      <c r="Q26" s="228">
        <f>SUM(Q4:Q25)</f>
        <v>2895052.61</v>
      </c>
      <c r="R26" s="228">
        <f>SUM(R4:R25)</f>
        <v>4198725.2</v>
      </c>
      <c r="S26" s="175"/>
    </row>
  </sheetData>
  <mergeCells count="1">
    <mergeCell ref="B1:S1"/>
  </mergeCells>
  <pageMargins left="0.7" right="0.7" top="0.75" bottom="0.75" header="0.3" footer="0.3"/>
  <pageSetup paperSize="5" scale="75" orientation="landscape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S29"/>
  <sheetViews>
    <sheetView topLeftCell="J1" workbookViewId="0">
      <selection activeCell="P5" sqref="P5"/>
    </sheetView>
  </sheetViews>
  <sheetFormatPr defaultRowHeight="15"/>
  <cols>
    <col min="2" max="2" width="5" customWidth="1"/>
    <col min="3" max="3" width="6.140625" customWidth="1"/>
    <col min="4" max="4" width="21.85546875" customWidth="1"/>
    <col min="5" max="5" width="14.28515625" customWidth="1"/>
    <col min="6" max="6" width="12" customWidth="1"/>
    <col min="7" max="7" width="12.5703125" customWidth="1"/>
    <col min="9" max="9" width="11.140625" customWidth="1"/>
    <col min="10" max="10" width="10.7109375" customWidth="1"/>
    <col min="11" max="11" width="11.5703125" customWidth="1"/>
    <col min="12" max="12" width="11.85546875" customWidth="1"/>
    <col min="13" max="13" width="10.85546875" customWidth="1"/>
    <col min="14" max="14" width="11.7109375" customWidth="1"/>
    <col min="17" max="17" width="12.140625" customWidth="1"/>
    <col min="18" max="18" width="12.42578125" customWidth="1"/>
  </cols>
  <sheetData>
    <row r="1" spans="1:19">
      <c r="A1" s="106"/>
      <c r="B1" s="242" t="s">
        <v>68</v>
      </c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</row>
    <row r="2" spans="1:19">
      <c r="A2" s="106"/>
      <c r="B2" s="188"/>
      <c r="C2" s="188"/>
      <c r="D2" s="188"/>
      <c r="E2" s="189"/>
      <c r="F2" s="189"/>
      <c r="G2" s="189"/>
      <c r="H2" s="190" t="s">
        <v>66</v>
      </c>
      <c r="I2" s="189"/>
      <c r="J2" s="188"/>
      <c r="K2" s="188"/>
      <c r="L2" s="188"/>
      <c r="M2" s="188"/>
      <c r="N2" s="188"/>
      <c r="O2" s="219"/>
      <c r="P2" s="219"/>
      <c r="Q2" s="189"/>
      <c r="R2" s="189"/>
      <c r="S2" s="188"/>
    </row>
    <row r="3" spans="1:19" ht="51.75">
      <c r="A3" s="106"/>
      <c r="B3" s="192" t="s">
        <v>2</v>
      </c>
      <c r="C3" s="192" t="s">
        <v>3</v>
      </c>
      <c r="D3" s="193" t="s">
        <v>4</v>
      </c>
      <c r="E3" s="193" t="s">
        <v>5</v>
      </c>
      <c r="F3" s="192" t="s">
        <v>6</v>
      </c>
      <c r="G3" s="193" t="s">
        <v>7</v>
      </c>
      <c r="H3" s="187" t="s">
        <v>8</v>
      </c>
      <c r="I3" s="193" t="s">
        <v>9</v>
      </c>
      <c r="J3" s="194" t="s">
        <v>10</v>
      </c>
      <c r="K3" s="194" t="s">
        <v>11</v>
      </c>
      <c r="L3" s="192" t="s">
        <v>6</v>
      </c>
      <c r="M3" s="195" t="s">
        <v>12</v>
      </c>
      <c r="N3" s="196" t="s">
        <v>13</v>
      </c>
      <c r="O3" s="197" t="s">
        <v>14</v>
      </c>
      <c r="P3" s="198" t="s">
        <v>15</v>
      </c>
      <c r="Q3" s="199" t="s">
        <v>16</v>
      </c>
      <c r="R3" s="199" t="s">
        <v>17</v>
      </c>
      <c r="S3" s="200" t="s">
        <v>18</v>
      </c>
    </row>
    <row r="4" spans="1:19" ht="39">
      <c r="A4" s="106"/>
      <c r="B4" s="201">
        <v>1</v>
      </c>
      <c r="C4" s="201" t="s">
        <v>19</v>
      </c>
      <c r="D4" s="202" t="s">
        <v>20</v>
      </c>
      <c r="E4" s="176">
        <v>500000</v>
      </c>
      <c r="F4" s="177">
        <v>66650</v>
      </c>
      <c r="G4" s="178">
        <v>566650</v>
      </c>
      <c r="H4" s="179">
        <v>50</v>
      </c>
      <c r="I4" s="180"/>
      <c r="J4" s="203"/>
      <c r="K4" s="181"/>
      <c r="L4" s="178"/>
      <c r="M4" s="182"/>
      <c r="N4" s="183"/>
      <c r="O4" s="204">
        <v>17</v>
      </c>
      <c r="P4" s="185">
        <v>33</v>
      </c>
      <c r="Q4" s="205">
        <v>192661</v>
      </c>
      <c r="R4" s="206">
        <v>373989</v>
      </c>
      <c r="S4" s="220" t="s">
        <v>67</v>
      </c>
    </row>
    <row r="5" spans="1:19">
      <c r="A5" s="106"/>
      <c r="B5" s="201">
        <v>2</v>
      </c>
      <c r="C5" s="201" t="s">
        <v>19</v>
      </c>
      <c r="D5" s="175" t="s">
        <v>21</v>
      </c>
      <c r="E5" s="176">
        <v>500000</v>
      </c>
      <c r="F5" s="177">
        <v>66650</v>
      </c>
      <c r="G5" s="178">
        <v>566650</v>
      </c>
      <c r="H5" s="179">
        <v>50</v>
      </c>
      <c r="I5" s="180">
        <v>11333</v>
      </c>
      <c r="J5" s="181">
        <v>1333</v>
      </c>
      <c r="K5" s="181">
        <v>10000</v>
      </c>
      <c r="L5" s="178">
        <v>66650</v>
      </c>
      <c r="M5" s="182">
        <v>27993</v>
      </c>
      <c r="N5" s="183">
        <v>38657</v>
      </c>
      <c r="O5" s="204">
        <v>21</v>
      </c>
      <c r="P5" s="185">
        <v>29</v>
      </c>
      <c r="Q5" s="205">
        <v>237993</v>
      </c>
      <c r="R5" s="206">
        <v>328657</v>
      </c>
      <c r="S5" s="175"/>
    </row>
    <row r="6" spans="1:19">
      <c r="A6" s="106"/>
      <c r="B6" s="201">
        <v>3</v>
      </c>
      <c r="C6" s="201" t="s">
        <v>19</v>
      </c>
      <c r="D6" s="175" t="s">
        <v>23</v>
      </c>
      <c r="E6" s="176">
        <v>330000</v>
      </c>
      <c r="F6" s="177">
        <v>43989</v>
      </c>
      <c r="G6" s="178">
        <v>373989</v>
      </c>
      <c r="H6" s="179">
        <v>50</v>
      </c>
      <c r="I6" s="180">
        <v>7479.78</v>
      </c>
      <c r="J6" s="181">
        <v>879.78</v>
      </c>
      <c r="K6" s="181">
        <v>6600</v>
      </c>
      <c r="L6" s="178">
        <v>43989</v>
      </c>
      <c r="M6" s="182">
        <v>15836.04</v>
      </c>
      <c r="N6" s="183">
        <v>28152.959999999999</v>
      </c>
      <c r="O6" s="179">
        <v>18</v>
      </c>
      <c r="P6" s="185">
        <v>32</v>
      </c>
      <c r="Q6" s="180">
        <v>134636.04</v>
      </c>
      <c r="R6" s="207">
        <v>239352.95999999999</v>
      </c>
      <c r="S6" s="175"/>
    </row>
    <row r="7" spans="1:19">
      <c r="A7" s="106"/>
      <c r="B7" s="201">
        <v>4</v>
      </c>
      <c r="C7" s="201" t="s">
        <v>19</v>
      </c>
      <c r="D7" s="175" t="s">
        <v>44</v>
      </c>
      <c r="E7" s="176">
        <v>330000</v>
      </c>
      <c r="F7" s="177">
        <v>43989</v>
      </c>
      <c r="G7" s="178">
        <v>373989</v>
      </c>
      <c r="H7" s="179">
        <v>50</v>
      </c>
      <c r="I7" s="180">
        <v>7479.78</v>
      </c>
      <c r="J7" s="181">
        <v>879.78</v>
      </c>
      <c r="K7" s="181">
        <v>6600</v>
      </c>
      <c r="L7" s="178">
        <v>43989</v>
      </c>
      <c r="M7" s="182">
        <v>8797.7999999999993</v>
      </c>
      <c r="N7" s="183">
        <v>35191.199999999997</v>
      </c>
      <c r="O7" s="179">
        <v>10</v>
      </c>
      <c r="P7" s="185">
        <v>40</v>
      </c>
      <c r="Q7" s="180">
        <v>74797.8</v>
      </c>
      <c r="R7" s="207">
        <v>299191.12</v>
      </c>
      <c r="S7" s="175"/>
    </row>
    <row r="8" spans="1:19">
      <c r="A8" s="106"/>
      <c r="B8" s="201">
        <v>5</v>
      </c>
      <c r="C8" s="201" t="s">
        <v>19</v>
      </c>
      <c r="D8" s="175" t="s">
        <v>52</v>
      </c>
      <c r="E8" s="176">
        <v>330000</v>
      </c>
      <c r="F8" s="177">
        <v>43989</v>
      </c>
      <c r="G8" s="178">
        <v>373989</v>
      </c>
      <c r="H8" s="179">
        <v>50</v>
      </c>
      <c r="I8" s="180">
        <v>7479.78</v>
      </c>
      <c r="J8" s="181">
        <v>879.78</v>
      </c>
      <c r="K8" s="181">
        <v>6600</v>
      </c>
      <c r="L8" s="178">
        <v>43989</v>
      </c>
      <c r="M8" s="182">
        <v>7918.02</v>
      </c>
      <c r="N8" s="183">
        <v>36070.980000000003</v>
      </c>
      <c r="O8" s="179">
        <v>9</v>
      </c>
      <c r="P8" s="185">
        <v>41</v>
      </c>
      <c r="Q8" s="180">
        <v>67318.02</v>
      </c>
      <c r="R8" s="207">
        <v>306670.98</v>
      </c>
      <c r="S8" s="175"/>
    </row>
    <row r="9" spans="1:19">
      <c r="A9" s="106"/>
      <c r="B9" s="201">
        <v>6</v>
      </c>
      <c r="C9" s="201" t="s">
        <v>19</v>
      </c>
      <c r="D9" s="175" t="s">
        <v>55</v>
      </c>
      <c r="E9" s="176">
        <v>330000</v>
      </c>
      <c r="F9" s="177">
        <v>43989</v>
      </c>
      <c r="G9" s="178">
        <v>373989</v>
      </c>
      <c r="H9" s="179">
        <v>50</v>
      </c>
      <c r="I9" s="180">
        <v>7479.78</v>
      </c>
      <c r="J9" s="181">
        <v>879.78</v>
      </c>
      <c r="K9" s="181">
        <v>6600</v>
      </c>
      <c r="L9" s="178">
        <v>43989</v>
      </c>
      <c r="M9" s="182">
        <v>7918.02</v>
      </c>
      <c r="N9" s="183">
        <v>36070.980000000003</v>
      </c>
      <c r="O9" s="179">
        <v>9</v>
      </c>
      <c r="P9" s="185">
        <v>41</v>
      </c>
      <c r="Q9" s="180">
        <v>67318.02</v>
      </c>
      <c r="R9" s="207">
        <v>306670.98</v>
      </c>
      <c r="S9" s="175"/>
    </row>
    <row r="10" spans="1:19">
      <c r="A10" s="106"/>
      <c r="B10" s="201">
        <v>7</v>
      </c>
      <c r="C10" s="201" t="s">
        <v>19</v>
      </c>
      <c r="D10" s="175" t="s">
        <v>24</v>
      </c>
      <c r="E10" s="176">
        <v>150000</v>
      </c>
      <c r="F10" s="177">
        <v>19989</v>
      </c>
      <c r="G10" s="178">
        <v>169995</v>
      </c>
      <c r="H10" s="179">
        <v>50</v>
      </c>
      <c r="I10" s="180">
        <v>3399.9</v>
      </c>
      <c r="J10" s="181">
        <v>399.78</v>
      </c>
      <c r="K10" s="181">
        <v>3000.12</v>
      </c>
      <c r="L10" s="178">
        <v>19995</v>
      </c>
      <c r="M10" s="182">
        <v>7196.04</v>
      </c>
      <c r="N10" s="183">
        <v>12792.96</v>
      </c>
      <c r="O10" s="204">
        <v>18</v>
      </c>
      <c r="P10" s="185">
        <v>32</v>
      </c>
      <c r="Q10" s="205">
        <v>61198.2</v>
      </c>
      <c r="R10" s="206">
        <v>108796.8</v>
      </c>
      <c r="S10" s="175"/>
    </row>
    <row r="11" spans="1:19">
      <c r="A11" s="106"/>
      <c r="B11" s="201">
        <v>8</v>
      </c>
      <c r="C11" s="201" t="s">
        <v>19</v>
      </c>
      <c r="D11" s="175" t="s">
        <v>25</v>
      </c>
      <c r="E11" s="176">
        <v>150000</v>
      </c>
      <c r="F11" s="177">
        <v>19995</v>
      </c>
      <c r="G11" s="178">
        <v>169995</v>
      </c>
      <c r="H11" s="179">
        <v>50</v>
      </c>
      <c r="I11" s="180">
        <v>3399.9</v>
      </c>
      <c r="J11" s="181">
        <v>399.78</v>
      </c>
      <c r="K11" s="181">
        <v>3000.12</v>
      </c>
      <c r="L11" s="178">
        <v>19995</v>
      </c>
      <c r="M11" s="182">
        <v>9994.5</v>
      </c>
      <c r="N11" s="183">
        <v>9994.5</v>
      </c>
      <c r="O11" s="184">
        <v>25</v>
      </c>
      <c r="P11" s="185">
        <v>25</v>
      </c>
      <c r="Q11" s="180">
        <v>84997.5</v>
      </c>
      <c r="R11" s="207">
        <v>84997.5</v>
      </c>
      <c r="S11" s="175"/>
    </row>
    <row r="12" spans="1:19">
      <c r="A12" s="106"/>
      <c r="B12" s="201">
        <v>9</v>
      </c>
      <c r="C12" s="201" t="s">
        <v>19</v>
      </c>
      <c r="D12" s="202" t="s">
        <v>26</v>
      </c>
      <c r="E12" s="178">
        <v>450000</v>
      </c>
      <c r="F12" s="177">
        <v>59985</v>
      </c>
      <c r="G12" s="178">
        <v>509985</v>
      </c>
      <c r="H12" s="179">
        <v>50</v>
      </c>
      <c r="I12" s="205">
        <v>10199.700000000001</v>
      </c>
      <c r="J12" s="181">
        <v>1199.7</v>
      </c>
      <c r="K12" s="181">
        <v>9000</v>
      </c>
      <c r="L12" s="178">
        <v>59985</v>
      </c>
      <c r="M12" s="182">
        <v>29992.5</v>
      </c>
      <c r="N12" s="183">
        <v>29992.5</v>
      </c>
      <c r="O12" s="204">
        <v>25</v>
      </c>
      <c r="P12" s="185">
        <v>25</v>
      </c>
      <c r="Q12" s="205">
        <v>254992.5</v>
      </c>
      <c r="R12" s="206">
        <v>254992.5</v>
      </c>
      <c r="S12" s="175"/>
    </row>
    <row r="13" spans="1:19">
      <c r="A13" s="106"/>
      <c r="B13" s="201">
        <v>11</v>
      </c>
      <c r="C13" s="201" t="s">
        <v>19</v>
      </c>
      <c r="D13" s="175" t="s">
        <v>28</v>
      </c>
      <c r="E13" s="176">
        <v>500000</v>
      </c>
      <c r="F13" s="177">
        <v>66650</v>
      </c>
      <c r="G13" s="178">
        <v>566650</v>
      </c>
      <c r="H13" s="179">
        <v>50</v>
      </c>
      <c r="I13" s="180">
        <v>11333</v>
      </c>
      <c r="J13" s="181">
        <v>1333</v>
      </c>
      <c r="K13" s="181">
        <v>10000</v>
      </c>
      <c r="L13" s="178">
        <v>66650</v>
      </c>
      <c r="M13" s="182">
        <v>61318</v>
      </c>
      <c r="N13" s="183">
        <v>5332</v>
      </c>
      <c r="O13" s="204">
        <v>46</v>
      </c>
      <c r="P13" s="185">
        <v>4</v>
      </c>
      <c r="Q13" s="205">
        <v>521318</v>
      </c>
      <c r="R13" s="206">
        <v>45332</v>
      </c>
      <c r="S13" s="175"/>
    </row>
    <row r="14" spans="1:19">
      <c r="A14" s="106"/>
      <c r="B14" s="201">
        <v>12</v>
      </c>
      <c r="C14" s="201" t="s">
        <v>19</v>
      </c>
      <c r="D14" s="175" t="s">
        <v>29</v>
      </c>
      <c r="E14" s="176">
        <v>330000</v>
      </c>
      <c r="F14" s="177">
        <v>43989</v>
      </c>
      <c r="G14" s="178">
        <v>373989</v>
      </c>
      <c r="H14" s="179">
        <v>50</v>
      </c>
      <c r="I14" s="180">
        <v>7479</v>
      </c>
      <c r="J14" s="181">
        <v>879.78</v>
      </c>
      <c r="K14" s="181">
        <v>6600</v>
      </c>
      <c r="L14" s="178">
        <v>43989</v>
      </c>
      <c r="M14" s="182">
        <v>40469.879999999997</v>
      </c>
      <c r="N14" s="183">
        <v>3519.12</v>
      </c>
      <c r="O14" s="184">
        <v>46</v>
      </c>
      <c r="P14" s="185">
        <v>4</v>
      </c>
      <c r="Q14" s="180">
        <v>344069.88</v>
      </c>
      <c r="R14" s="186">
        <v>29919.119999999999</v>
      </c>
      <c r="S14" s="175"/>
    </row>
    <row r="15" spans="1:19">
      <c r="A15" s="106"/>
      <c r="B15" s="201">
        <v>13</v>
      </c>
      <c r="C15" s="201" t="s">
        <v>19</v>
      </c>
      <c r="D15" s="175" t="s">
        <v>30</v>
      </c>
      <c r="E15" s="176">
        <v>150000</v>
      </c>
      <c r="F15" s="177">
        <v>19995</v>
      </c>
      <c r="G15" s="178">
        <v>169995</v>
      </c>
      <c r="H15" s="179">
        <v>50</v>
      </c>
      <c r="I15" s="180">
        <v>3399.9</v>
      </c>
      <c r="J15" s="181">
        <v>399.78</v>
      </c>
      <c r="K15" s="181">
        <v>3000.12</v>
      </c>
      <c r="L15" s="178">
        <v>19995</v>
      </c>
      <c r="M15" s="182">
        <v>6796.26</v>
      </c>
      <c r="N15" s="183">
        <v>13192.74</v>
      </c>
      <c r="O15" s="184">
        <v>17</v>
      </c>
      <c r="P15" s="185">
        <v>33</v>
      </c>
      <c r="Q15" s="180">
        <v>57798.3</v>
      </c>
      <c r="R15" s="207">
        <v>112196.7</v>
      </c>
      <c r="S15" s="175"/>
    </row>
    <row r="16" spans="1:19">
      <c r="A16" s="106"/>
      <c r="B16" s="201">
        <v>14</v>
      </c>
      <c r="C16" s="201" t="s">
        <v>19</v>
      </c>
      <c r="D16" s="175" t="s">
        <v>43</v>
      </c>
      <c r="E16" s="176">
        <v>150000</v>
      </c>
      <c r="F16" s="177">
        <v>19995</v>
      </c>
      <c r="G16" s="178">
        <v>169995</v>
      </c>
      <c r="H16" s="179">
        <v>50</v>
      </c>
      <c r="I16" s="180">
        <v>3399.9</v>
      </c>
      <c r="J16" s="181">
        <v>399.78</v>
      </c>
      <c r="K16" s="181">
        <v>3000.12</v>
      </c>
      <c r="L16" s="178">
        <v>19995</v>
      </c>
      <c r="M16" s="182">
        <v>3997.8</v>
      </c>
      <c r="N16" s="183">
        <v>15991.2</v>
      </c>
      <c r="O16" s="184">
        <v>10</v>
      </c>
      <c r="P16" s="185">
        <v>40</v>
      </c>
      <c r="Q16" s="180">
        <v>33999</v>
      </c>
      <c r="R16" s="207">
        <v>135996</v>
      </c>
      <c r="S16" s="175"/>
    </row>
    <row r="17" spans="1:19">
      <c r="A17" s="106"/>
      <c r="B17" s="201">
        <v>15</v>
      </c>
      <c r="C17" s="201" t="s">
        <v>19</v>
      </c>
      <c r="D17" s="175" t="s">
        <v>58</v>
      </c>
      <c r="E17" s="176">
        <v>150000</v>
      </c>
      <c r="F17" s="177">
        <v>19995</v>
      </c>
      <c r="G17" s="178">
        <v>169995</v>
      </c>
      <c r="H17" s="179">
        <v>50</v>
      </c>
      <c r="I17" s="180">
        <v>3399.9</v>
      </c>
      <c r="J17" s="181">
        <v>399.78</v>
      </c>
      <c r="K17" s="181">
        <v>3000.12</v>
      </c>
      <c r="L17" s="178">
        <v>19995</v>
      </c>
      <c r="M17" s="182">
        <v>10794.06</v>
      </c>
      <c r="N17" s="183">
        <v>9194.94</v>
      </c>
      <c r="O17" s="184">
        <v>27</v>
      </c>
      <c r="P17" s="185">
        <v>23</v>
      </c>
      <c r="Q17" s="180">
        <v>91797.3</v>
      </c>
      <c r="R17" s="186">
        <v>78197.7</v>
      </c>
      <c r="S17" s="175"/>
    </row>
    <row r="18" spans="1:19">
      <c r="A18" s="106"/>
      <c r="B18" s="201">
        <v>16</v>
      </c>
      <c r="C18" s="201" t="s">
        <v>19</v>
      </c>
      <c r="D18" s="175" t="s">
        <v>32</v>
      </c>
      <c r="E18" s="176">
        <v>150000</v>
      </c>
      <c r="F18" s="177">
        <v>19995</v>
      </c>
      <c r="G18" s="178">
        <v>169995</v>
      </c>
      <c r="H18" s="179">
        <v>50</v>
      </c>
      <c r="I18" s="180">
        <v>3399.9</v>
      </c>
      <c r="J18" s="181">
        <v>399.78</v>
      </c>
      <c r="K18" s="181">
        <v>3000.12</v>
      </c>
      <c r="L18" s="178">
        <v>19995</v>
      </c>
      <c r="M18" s="182">
        <v>18389.88</v>
      </c>
      <c r="N18" s="183">
        <v>1599.12</v>
      </c>
      <c r="O18" s="184">
        <v>46</v>
      </c>
      <c r="P18" s="185">
        <v>4</v>
      </c>
      <c r="Q18" s="180">
        <v>156395.4</v>
      </c>
      <c r="R18" s="186">
        <v>13599.6</v>
      </c>
      <c r="S18" s="175"/>
    </row>
    <row r="19" spans="1:19">
      <c r="A19" s="106"/>
      <c r="B19" s="201">
        <v>17</v>
      </c>
      <c r="C19" s="201" t="s">
        <v>19</v>
      </c>
      <c r="D19" s="175" t="s">
        <v>33</v>
      </c>
      <c r="E19" s="180">
        <v>150000</v>
      </c>
      <c r="F19" s="177">
        <v>19995</v>
      </c>
      <c r="G19" s="178">
        <v>169995</v>
      </c>
      <c r="H19" s="179">
        <v>50</v>
      </c>
      <c r="I19" s="180">
        <v>3399.9</v>
      </c>
      <c r="J19" s="181">
        <v>399.78</v>
      </c>
      <c r="K19" s="181">
        <v>3000.12</v>
      </c>
      <c r="L19" s="178">
        <v>19995</v>
      </c>
      <c r="M19" s="182">
        <v>18389.88</v>
      </c>
      <c r="N19" s="183">
        <v>1599.12</v>
      </c>
      <c r="O19" s="184">
        <v>46</v>
      </c>
      <c r="P19" s="185">
        <v>4</v>
      </c>
      <c r="Q19" s="180">
        <v>156395.4</v>
      </c>
      <c r="R19" s="186">
        <v>13599.6</v>
      </c>
      <c r="S19" s="175"/>
    </row>
    <row r="20" spans="1:19">
      <c r="A20" s="106"/>
      <c r="B20" s="201">
        <v>18</v>
      </c>
      <c r="C20" s="201" t="s">
        <v>19</v>
      </c>
      <c r="D20" s="202" t="s">
        <v>34</v>
      </c>
      <c r="E20" s="176">
        <v>150000</v>
      </c>
      <c r="F20" s="177">
        <v>19995</v>
      </c>
      <c r="G20" s="178">
        <v>169995</v>
      </c>
      <c r="H20" s="179">
        <v>50</v>
      </c>
      <c r="I20" s="180">
        <v>3399.9</v>
      </c>
      <c r="J20" s="181">
        <v>399.78</v>
      </c>
      <c r="K20" s="181">
        <v>3000.12</v>
      </c>
      <c r="L20" s="178">
        <v>19995</v>
      </c>
      <c r="M20" s="182">
        <v>18389.88</v>
      </c>
      <c r="N20" s="183">
        <v>1599.12</v>
      </c>
      <c r="O20" s="184">
        <v>46</v>
      </c>
      <c r="P20" s="185">
        <v>4</v>
      </c>
      <c r="Q20" s="180">
        <v>156395.4</v>
      </c>
      <c r="R20" s="186">
        <v>13599.6</v>
      </c>
      <c r="S20" s="175"/>
    </row>
    <row r="21" spans="1:19">
      <c r="A21" s="106"/>
      <c r="B21" s="201">
        <v>19</v>
      </c>
      <c r="C21" s="201" t="s">
        <v>19</v>
      </c>
      <c r="D21" s="175" t="s">
        <v>36</v>
      </c>
      <c r="E21" s="176">
        <v>150000</v>
      </c>
      <c r="F21" s="177">
        <v>19995</v>
      </c>
      <c r="G21" s="178">
        <v>169995</v>
      </c>
      <c r="H21" s="179">
        <v>50</v>
      </c>
      <c r="I21" s="180">
        <v>3399.9</v>
      </c>
      <c r="J21" s="181">
        <v>399.78</v>
      </c>
      <c r="K21" s="181">
        <v>3000.12</v>
      </c>
      <c r="L21" s="178">
        <v>19995</v>
      </c>
      <c r="M21" s="182">
        <v>18389.88</v>
      </c>
      <c r="N21" s="183">
        <v>1599.12</v>
      </c>
      <c r="O21" s="184">
        <v>46</v>
      </c>
      <c r="P21" s="185">
        <v>4</v>
      </c>
      <c r="Q21" s="180">
        <v>156395.4</v>
      </c>
      <c r="R21" s="186">
        <v>13599.6</v>
      </c>
      <c r="S21" s="175"/>
    </row>
    <row r="22" spans="1:19">
      <c r="A22" s="106"/>
      <c r="B22" s="201">
        <v>20</v>
      </c>
      <c r="C22" s="201" t="s">
        <v>19</v>
      </c>
      <c r="D22" s="175" t="s">
        <v>59</v>
      </c>
      <c r="E22" s="176">
        <v>330000</v>
      </c>
      <c r="F22" s="177">
        <v>43989</v>
      </c>
      <c r="G22" s="178">
        <v>373989</v>
      </c>
      <c r="H22" s="179">
        <v>50</v>
      </c>
      <c r="I22" s="180">
        <v>7479.78</v>
      </c>
      <c r="J22" s="181">
        <v>879.78</v>
      </c>
      <c r="K22" s="181">
        <v>6600</v>
      </c>
      <c r="L22" s="178">
        <v>43989</v>
      </c>
      <c r="M22" s="182">
        <v>36950.76</v>
      </c>
      <c r="N22" s="183">
        <v>7038.24</v>
      </c>
      <c r="O22" s="184">
        <v>42</v>
      </c>
      <c r="P22" s="208">
        <v>8</v>
      </c>
      <c r="Q22" s="180">
        <v>314150.76</v>
      </c>
      <c r="R22" s="186">
        <v>59838.239999999998</v>
      </c>
      <c r="S22" s="175"/>
    </row>
    <row r="23" spans="1:19">
      <c r="A23" s="106"/>
      <c r="B23" s="201">
        <v>21</v>
      </c>
      <c r="C23" s="201" t="s">
        <v>19</v>
      </c>
      <c r="D23" s="175" t="s">
        <v>50</v>
      </c>
      <c r="E23" s="176">
        <v>500000</v>
      </c>
      <c r="F23" s="177">
        <v>66650</v>
      </c>
      <c r="G23" s="178">
        <v>566650</v>
      </c>
      <c r="H23" s="179">
        <v>50</v>
      </c>
      <c r="I23" s="180">
        <v>11333</v>
      </c>
      <c r="J23" s="209">
        <v>1333</v>
      </c>
      <c r="K23" s="181">
        <v>10000</v>
      </c>
      <c r="L23" s="178">
        <v>66650</v>
      </c>
      <c r="M23" s="182">
        <v>9331</v>
      </c>
      <c r="N23" s="183">
        <v>57319</v>
      </c>
      <c r="O23" s="184">
        <v>7</v>
      </c>
      <c r="P23" s="185">
        <v>43</v>
      </c>
      <c r="Q23" s="180">
        <v>79331</v>
      </c>
      <c r="R23" s="186">
        <v>487319</v>
      </c>
      <c r="S23" s="175"/>
    </row>
    <row r="24" spans="1:19">
      <c r="A24" s="106"/>
      <c r="B24" s="201">
        <v>22</v>
      </c>
      <c r="C24" s="201" t="s">
        <v>19</v>
      </c>
      <c r="D24" s="175" t="s">
        <v>49</v>
      </c>
      <c r="E24" s="176">
        <v>500000</v>
      </c>
      <c r="F24" s="177">
        <v>66650</v>
      </c>
      <c r="G24" s="178">
        <v>566650</v>
      </c>
      <c r="H24" s="179">
        <v>50</v>
      </c>
      <c r="I24" s="180">
        <v>11333</v>
      </c>
      <c r="J24" s="209">
        <v>1333</v>
      </c>
      <c r="K24" s="181">
        <v>10000</v>
      </c>
      <c r="L24" s="178">
        <v>66650</v>
      </c>
      <c r="M24" s="182">
        <v>9331</v>
      </c>
      <c r="N24" s="183">
        <v>57319</v>
      </c>
      <c r="O24" s="184">
        <v>7</v>
      </c>
      <c r="P24" s="185">
        <v>43</v>
      </c>
      <c r="Q24" s="180">
        <v>79331</v>
      </c>
      <c r="R24" s="186">
        <v>487319</v>
      </c>
      <c r="S24" s="175"/>
    </row>
    <row r="25" spans="1:19">
      <c r="A25" s="106"/>
      <c r="B25" s="201">
        <v>23</v>
      </c>
      <c r="C25" s="201" t="s">
        <v>19</v>
      </c>
      <c r="D25" s="175" t="s">
        <v>63</v>
      </c>
      <c r="E25" s="176">
        <v>250000</v>
      </c>
      <c r="F25" s="177">
        <v>33325</v>
      </c>
      <c r="G25" s="178">
        <v>283325</v>
      </c>
      <c r="H25" s="179">
        <v>60</v>
      </c>
      <c r="I25" s="180">
        <v>4722.08</v>
      </c>
      <c r="J25" s="209">
        <v>555.41999999999996</v>
      </c>
      <c r="K25" s="181">
        <v>4166.66</v>
      </c>
      <c r="L25" s="178">
        <v>33325</v>
      </c>
      <c r="M25" s="182">
        <v>1666.26</v>
      </c>
      <c r="N25" s="183">
        <v>31658.94</v>
      </c>
      <c r="O25" s="184">
        <v>3</v>
      </c>
      <c r="P25" s="185">
        <v>57</v>
      </c>
      <c r="Q25" s="180">
        <v>14166.24</v>
      </c>
      <c r="R25" s="186">
        <v>269158.56</v>
      </c>
      <c r="S25" s="175"/>
    </row>
    <row r="26" spans="1:19">
      <c r="A26" s="106"/>
      <c r="B26" s="201"/>
      <c r="C26" s="201"/>
      <c r="D26" s="230" t="s">
        <v>37</v>
      </c>
      <c r="E26" s="180">
        <f>SUM(E4:E25)</f>
        <v>6530000</v>
      </c>
      <c r="F26" s="177">
        <f>SUM(F4:F25)</f>
        <v>870443</v>
      </c>
      <c r="G26" s="180">
        <f>SUM(G4:G25)</f>
        <v>7400449</v>
      </c>
      <c r="H26" s="210"/>
      <c r="I26" s="180">
        <f t="shared" ref="I26:N26" si="0">SUM(I4:I25)</f>
        <v>135730.77999999994</v>
      </c>
      <c r="J26" s="181">
        <f t="shared" si="0"/>
        <v>15963.820000000003</v>
      </c>
      <c r="K26" s="181">
        <f t="shared" si="0"/>
        <v>119767.73999999998</v>
      </c>
      <c r="L26" s="178">
        <f t="shared" si="0"/>
        <v>803799</v>
      </c>
      <c r="M26" s="211">
        <f t="shared" si="0"/>
        <v>369860.46</v>
      </c>
      <c r="N26" s="183">
        <f t="shared" si="0"/>
        <v>433884.73999999993</v>
      </c>
      <c r="O26" s="184"/>
      <c r="P26" s="185"/>
      <c r="Q26" s="186">
        <f>SUM(Q4:Q25)</f>
        <v>3337455.1599999992</v>
      </c>
      <c r="R26" s="186">
        <f>SUM(R4:R25)</f>
        <v>4062993.560000001</v>
      </c>
      <c r="S26" s="175"/>
    </row>
    <row r="29" spans="1:19">
      <c r="E29" s="229"/>
    </row>
  </sheetData>
  <mergeCells count="1">
    <mergeCell ref="B1:S1"/>
  </mergeCells>
  <pageMargins left="0.7" right="0.7" top="0.75" bottom="0.75" header="0.3" footer="0.3"/>
  <pageSetup paperSize="5" scale="75" orientation="landscape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R25"/>
  <sheetViews>
    <sheetView tabSelected="1" topLeftCell="I1" workbookViewId="0">
      <selection activeCell="L7" sqref="L7"/>
    </sheetView>
  </sheetViews>
  <sheetFormatPr defaultRowHeight="15"/>
  <cols>
    <col min="1" max="1" width="4" bestFit="1" customWidth="1"/>
    <col min="2" max="2" width="6.28515625" customWidth="1"/>
    <col min="3" max="3" width="29" bestFit="1" customWidth="1"/>
    <col min="4" max="4" width="14.28515625" customWidth="1"/>
    <col min="5" max="5" width="13.7109375" bestFit="1" customWidth="1"/>
    <col min="6" max="6" width="14.85546875" customWidth="1"/>
    <col min="8" max="8" width="12.7109375" bestFit="1" customWidth="1"/>
    <col min="9" max="9" width="11.5703125" bestFit="1" customWidth="1"/>
    <col min="10" max="12" width="12.7109375" bestFit="1" customWidth="1"/>
    <col min="13" max="13" width="13.140625" customWidth="1"/>
    <col min="16" max="17" width="14.5703125" bestFit="1" customWidth="1"/>
  </cols>
  <sheetData>
    <row r="1" spans="1:18" ht="15.75">
      <c r="A1" s="243" t="s">
        <v>70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</row>
    <row r="2" spans="1:18" ht="15.75">
      <c r="A2" s="107"/>
      <c r="B2" s="107"/>
      <c r="C2" s="107"/>
      <c r="D2" s="108"/>
      <c r="E2" s="108"/>
      <c r="F2" s="108"/>
      <c r="G2" s="232" t="s">
        <v>66</v>
      </c>
      <c r="H2" s="108"/>
      <c r="I2" s="107"/>
      <c r="J2" s="107"/>
      <c r="K2" s="107"/>
      <c r="L2" s="107"/>
      <c r="M2" s="107"/>
      <c r="N2" s="110"/>
      <c r="O2" s="110"/>
      <c r="P2" s="108"/>
      <c r="Q2" s="108"/>
      <c r="R2" s="107"/>
    </row>
    <row r="3" spans="1:18" ht="63">
      <c r="A3" s="233" t="s">
        <v>2</v>
      </c>
      <c r="B3" s="233" t="s">
        <v>3</v>
      </c>
      <c r="C3" s="234" t="s">
        <v>4</v>
      </c>
      <c r="D3" s="234" t="s">
        <v>5</v>
      </c>
      <c r="E3" s="233" t="s">
        <v>6</v>
      </c>
      <c r="F3" s="234" t="s">
        <v>7</v>
      </c>
      <c r="G3" s="233" t="s">
        <v>8</v>
      </c>
      <c r="H3" s="234" t="s">
        <v>9</v>
      </c>
      <c r="I3" s="235" t="s">
        <v>10</v>
      </c>
      <c r="J3" s="235" t="s">
        <v>11</v>
      </c>
      <c r="K3" s="233" t="s">
        <v>6</v>
      </c>
      <c r="L3" s="236" t="s">
        <v>12</v>
      </c>
      <c r="M3" s="237" t="s">
        <v>13</v>
      </c>
      <c r="N3" s="238" t="s">
        <v>14</v>
      </c>
      <c r="O3" s="239" t="s">
        <v>15</v>
      </c>
      <c r="P3" s="35" t="s">
        <v>16</v>
      </c>
      <c r="Q3" s="35" t="s">
        <v>17</v>
      </c>
      <c r="R3" s="34" t="s">
        <v>18</v>
      </c>
    </row>
    <row r="4" spans="1:18" ht="23.25" customHeight="1">
      <c r="A4" s="119">
        <v>1</v>
      </c>
      <c r="B4" s="119" t="s">
        <v>19</v>
      </c>
      <c r="C4" s="129" t="s">
        <v>21</v>
      </c>
      <c r="D4" s="135">
        <v>500000</v>
      </c>
      <c r="E4" s="142">
        <v>66650</v>
      </c>
      <c r="F4" s="126">
        <v>566650</v>
      </c>
      <c r="G4" s="130">
        <v>50</v>
      </c>
      <c r="H4" s="133">
        <v>11333</v>
      </c>
      <c r="I4" s="125">
        <v>1333</v>
      </c>
      <c r="J4" s="125">
        <v>10000</v>
      </c>
      <c r="K4" s="126">
        <v>66650</v>
      </c>
      <c r="L4" s="140">
        <v>29326</v>
      </c>
      <c r="M4" s="138">
        <v>37324</v>
      </c>
      <c r="N4" s="127">
        <v>22</v>
      </c>
      <c r="O4" s="128">
        <v>28</v>
      </c>
      <c r="P4" s="136">
        <v>249326</v>
      </c>
      <c r="Q4" s="122">
        <v>317324</v>
      </c>
      <c r="R4" s="129"/>
    </row>
    <row r="5" spans="1:18" ht="20.25" customHeight="1">
      <c r="A5" s="119">
        <v>2</v>
      </c>
      <c r="B5" s="119" t="s">
        <v>19</v>
      </c>
      <c r="C5" s="129" t="s">
        <v>23</v>
      </c>
      <c r="D5" s="135">
        <v>330000</v>
      </c>
      <c r="E5" s="142">
        <v>43989</v>
      </c>
      <c r="F5" s="126">
        <v>373989</v>
      </c>
      <c r="G5" s="130">
        <v>50</v>
      </c>
      <c r="H5" s="133">
        <v>7479.78</v>
      </c>
      <c r="I5" s="125">
        <v>879.78</v>
      </c>
      <c r="J5" s="125">
        <v>6600</v>
      </c>
      <c r="K5" s="126">
        <v>43989</v>
      </c>
      <c r="L5" s="140">
        <v>16715.82</v>
      </c>
      <c r="M5" s="138">
        <v>27273.18</v>
      </c>
      <c r="N5" s="130">
        <v>19</v>
      </c>
      <c r="O5" s="128">
        <v>31</v>
      </c>
      <c r="P5" s="133">
        <v>142115.82</v>
      </c>
      <c r="Q5" s="121">
        <v>231873.18</v>
      </c>
      <c r="R5" s="129"/>
    </row>
    <row r="6" spans="1:18" ht="20.25" customHeight="1">
      <c r="A6" s="119">
        <v>3</v>
      </c>
      <c r="B6" s="119" t="s">
        <v>19</v>
      </c>
      <c r="C6" s="129" t="s">
        <v>44</v>
      </c>
      <c r="D6" s="135">
        <v>330000</v>
      </c>
      <c r="E6" s="142">
        <v>43989</v>
      </c>
      <c r="F6" s="126">
        <v>373989</v>
      </c>
      <c r="G6" s="130">
        <v>50</v>
      </c>
      <c r="H6" s="133">
        <v>7479.78</v>
      </c>
      <c r="I6" s="125">
        <v>879.78</v>
      </c>
      <c r="J6" s="125">
        <v>6600</v>
      </c>
      <c r="K6" s="126">
        <v>43989</v>
      </c>
      <c r="L6" s="140">
        <v>9677.58</v>
      </c>
      <c r="M6" s="138">
        <v>34311.42</v>
      </c>
      <c r="N6" s="130">
        <v>11</v>
      </c>
      <c r="O6" s="128">
        <v>39</v>
      </c>
      <c r="P6" s="133">
        <v>82277.58</v>
      </c>
      <c r="Q6" s="121">
        <v>291711.42</v>
      </c>
      <c r="R6" s="129"/>
    </row>
    <row r="7" spans="1:18" ht="21.75" customHeight="1">
      <c r="A7" s="119">
        <v>4</v>
      </c>
      <c r="B7" s="119" t="s">
        <v>19</v>
      </c>
      <c r="C7" s="129" t="s">
        <v>52</v>
      </c>
      <c r="D7" s="135">
        <v>330000</v>
      </c>
      <c r="E7" s="142">
        <v>43989</v>
      </c>
      <c r="F7" s="126">
        <v>373989</v>
      </c>
      <c r="G7" s="130">
        <v>50</v>
      </c>
      <c r="H7" s="133">
        <v>7479.78</v>
      </c>
      <c r="I7" s="125">
        <v>879.78</v>
      </c>
      <c r="J7" s="125">
        <v>6600</v>
      </c>
      <c r="K7" s="126">
        <v>43989</v>
      </c>
      <c r="L7" s="140">
        <v>8797.7999999999993</v>
      </c>
      <c r="M7" s="138">
        <v>35191.199999999997</v>
      </c>
      <c r="N7" s="130">
        <v>10</v>
      </c>
      <c r="O7" s="128">
        <v>40</v>
      </c>
      <c r="P7" s="133">
        <v>74797.8</v>
      </c>
      <c r="Q7" s="121">
        <v>299191.2</v>
      </c>
      <c r="R7" s="129"/>
    </row>
    <row r="8" spans="1:18" ht="20.25" customHeight="1">
      <c r="A8" s="119">
        <v>5</v>
      </c>
      <c r="B8" s="119" t="s">
        <v>19</v>
      </c>
      <c r="C8" s="129" t="s">
        <v>55</v>
      </c>
      <c r="D8" s="135">
        <v>330000</v>
      </c>
      <c r="E8" s="142">
        <v>43989</v>
      </c>
      <c r="F8" s="126">
        <v>373989</v>
      </c>
      <c r="G8" s="130">
        <v>50</v>
      </c>
      <c r="H8" s="133">
        <v>7479.78</v>
      </c>
      <c r="I8" s="125">
        <v>879.78</v>
      </c>
      <c r="J8" s="125">
        <v>6600</v>
      </c>
      <c r="K8" s="126">
        <v>43989</v>
      </c>
      <c r="L8" s="140">
        <v>8797.7999999999993</v>
      </c>
      <c r="M8" s="138">
        <v>35191.199999999997</v>
      </c>
      <c r="N8" s="130">
        <v>10</v>
      </c>
      <c r="O8" s="128">
        <v>40</v>
      </c>
      <c r="P8" s="133">
        <v>74797.8</v>
      </c>
      <c r="Q8" s="121">
        <v>299191.2</v>
      </c>
      <c r="R8" s="129"/>
    </row>
    <row r="9" spans="1:18" ht="16.5" customHeight="1">
      <c r="A9" s="119">
        <v>6</v>
      </c>
      <c r="B9" s="119" t="s">
        <v>19</v>
      </c>
      <c r="C9" s="129" t="s">
        <v>24</v>
      </c>
      <c r="D9" s="135">
        <v>150000</v>
      </c>
      <c r="E9" s="142">
        <v>19989</v>
      </c>
      <c r="F9" s="126">
        <v>169995</v>
      </c>
      <c r="G9" s="130">
        <v>50</v>
      </c>
      <c r="H9" s="133">
        <v>3399.9</v>
      </c>
      <c r="I9" s="125">
        <v>399.78</v>
      </c>
      <c r="J9" s="125">
        <v>3000.12</v>
      </c>
      <c r="K9" s="126">
        <v>19995</v>
      </c>
      <c r="L9" s="140">
        <v>7595.82</v>
      </c>
      <c r="M9" s="138">
        <v>12303.18</v>
      </c>
      <c r="N9" s="127">
        <v>19</v>
      </c>
      <c r="O9" s="128">
        <v>31</v>
      </c>
      <c r="P9" s="136">
        <v>64598.1</v>
      </c>
      <c r="Q9" s="122">
        <v>105396.9</v>
      </c>
      <c r="R9" s="129"/>
    </row>
    <row r="10" spans="1:18" ht="21.75" customHeight="1">
      <c r="A10" s="119">
        <v>7</v>
      </c>
      <c r="B10" s="119" t="s">
        <v>19</v>
      </c>
      <c r="C10" s="129" t="s">
        <v>25</v>
      </c>
      <c r="D10" s="135">
        <v>150000</v>
      </c>
      <c r="E10" s="142">
        <v>19995</v>
      </c>
      <c r="F10" s="126">
        <v>169995</v>
      </c>
      <c r="G10" s="130">
        <v>50</v>
      </c>
      <c r="H10" s="133">
        <v>3399.9</v>
      </c>
      <c r="I10" s="125">
        <v>399.78</v>
      </c>
      <c r="J10" s="125">
        <v>3000.12</v>
      </c>
      <c r="K10" s="126">
        <v>19995</v>
      </c>
      <c r="L10" s="140">
        <v>10394.280000000001</v>
      </c>
      <c r="M10" s="138">
        <v>9594.7199999999993</v>
      </c>
      <c r="N10" s="131">
        <v>26</v>
      </c>
      <c r="O10" s="128">
        <v>24</v>
      </c>
      <c r="P10" s="133">
        <v>88397.4</v>
      </c>
      <c r="Q10" s="121">
        <v>81597.600000000006</v>
      </c>
      <c r="R10" s="129"/>
    </row>
    <row r="11" spans="1:18" ht="21.75" customHeight="1">
      <c r="A11" s="119">
        <v>8</v>
      </c>
      <c r="B11" s="119" t="s">
        <v>19</v>
      </c>
      <c r="C11" s="120" t="s">
        <v>26</v>
      </c>
      <c r="D11" s="126">
        <v>450000</v>
      </c>
      <c r="E11" s="142">
        <v>59985</v>
      </c>
      <c r="F11" s="126">
        <v>509985</v>
      </c>
      <c r="G11" s="130">
        <v>50</v>
      </c>
      <c r="H11" s="136">
        <v>10199.700000000001</v>
      </c>
      <c r="I11" s="125">
        <v>1199.7</v>
      </c>
      <c r="J11" s="125">
        <v>9000</v>
      </c>
      <c r="K11" s="126">
        <v>59985</v>
      </c>
      <c r="L11" s="140">
        <v>31192.2</v>
      </c>
      <c r="M11" s="138">
        <v>28792.799999999999</v>
      </c>
      <c r="N11" s="127">
        <v>26</v>
      </c>
      <c r="O11" s="128">
        <v>24</v>
      </c>
      <c r="P11" s="136">
        <v>265192.2</v>
      </c>
      <c r="Q11" s="122">
        <v>244792.8</v>
      </c>
      <c r="R11" s="129"/>
    </row>
    <row r="12" spans="1:18" ht="23.25" customHeight="1">
      <c r="A12" s="119">
        <v>9</v>
      </c>
      <c r="B12" s="119" t="s">
        <v>19</v>
      </c>
      <c r="C12" s="129" t="s">
        <v>28</v>
      </c>
      <c r="D12" s="135">
        <v>500000</v>
      </c>
      <c r="E12" s="142">
        <v>66650</v>
      </c>
      <c r="F12" s="126">
        <v>566650</v>
      </c>
      <c r="G12" s="130">
        <v>50</v>
      </c>
      <c r="H12" s="133">
        <v>11333</v>
      </c>
      <c r="I12" s="125">
        <v>1333</v>
      </c>
      <c r="J12" s="125">
        <v>10000</v>
      </c>
      <c r="K12" s="126">
        <v>66650</v>
      </c>
      <c r="L12" s="140">
        <v>62651</v>
      </c>
      <c r="M12" s="138">
        <v>3999</v>
      </c>
      <c r="N12" s="127">
        <v>47</v>
      </c>
      <c r="O12" s="128">
        <v>3</v>
      </c>
      <c r="P12" s="136">
        <v>532651</v>
      </c>
      <c r="Q12" s="122">
        <v>33999</v>
      </c>
      <c r="R12" s="129"/>
    </row>
    <row r="13" spans="1:18" ht="20.25" customHeight="1">
      <c r="A13" s="119">
        <v>10</v>
      </c>
      <c r="B13" s="119" t="s">
        <v>19</v>
      </c>
      <c r="C13" s="129" t="s">
        <v>29</v>
      </c>
      <c r="D13" s="135">
        <v>330000</v>
      </c>
      <c r="E13" s="142">
        <v>43989</v>
      </c>
      <c r="F13" s="126">
        <v>373989</v>
      </c>
      <c r="G13" s="130">
        <v>50</v>
      </c>
      <c r="H13" s="133">
        <v>7479</v>
      </c>
      <c r="I13" s="125">
        <v>879.78</v>
      </c>
      <c r="J13" s="125">
        <v>6600</v>
      </c>
      <c r="K13" s="126">
        <v>43989</v>
      </c>
      <c r="L13" s="140">
        <v>41349.660000000003</v>
      </c>
      <c r="M13" s="138">
        <v>2639.34</v>
      </c>
      <c r="N13" s="131">
        <v>47</v>
      </c>
      <c r="O13" s="128">
        <v>3</v>
      </c>
      <c r="P13" s="133">
        <v>351549.66</v>
      </c>
      <c r="Q13" s="123">
        <v>22439.34</v>
      </c>
      <c r="R13" s="129"/>
    </row>
    <row r="14" spans="1:18" ht="26.25" customHeight="1">
      <c r="A14" s="119">
        <v>11</v>
      </c>
      <c r="B14" s="119" t="s">
        <v>19</v>
      </c>
      <c r="C14" s="129" t="s">
        <v>30</v>
      </c>
      <c r="D14" s="135">
        <v>150000</v>
      </c>
      <c r="E14" s="142">
        <v>19995</v>
      </c>
      <c r="F14" s="126">
        <v>169995</v>
      </c>
      <c r="G14" s="130">
        <v>50</v>
      </c>
      <c r="H14" s="133">
        <v>3399.9</v>
      </c>
      <c r="I14" s="125">
        <v>399.78</v>
      </c>
      <c r="J14" s="125">
        <v>3000.12</v>
      </c>
      <c r="K14" s="126">
        <v>19995</v>
      </c>
      <c r="L14" s="140">
        <v>7196.04</v>
      </c>
      <c r="M14" s="138">
        <v>12792.96</v>
      </c>
      <c r="N14" s="131">
        <v>18</v>
      </c>
      <c r="O14" s="128">
        <v>32</v>
      </c>
      <c r="P14" s="133">
        <v>61198.2</v>
      </c>
      <c r="Q14" s="121">
        <v>108796.8</v>
      </c>
      <c r="R14" s="129"/>
    </row>
    <row r="15" spans="1:18" ht="27" customHeight="1">
      <c r="A15" s="119">
        <v>12</v>
      </c>
      <c r="B15" s="119" t="s">
        <v>19</v>
      </c>
      <c r="C15" s="129" t="s">
        <v>43</v>
      </c>
      <c r="D15" s="135">
        <v>150000</v>
      </c>
      <c r="E15" s="142">
        <v>19995</v>
      </c>
      <c r="F15" s="126">
        <v>169995</v>
      </c>
      <c r="G15" s="130">
        <v>50</v>
      </c>
      <c r="H15" s="133">
        <v>3399.9</v>
      </c>
      <c r="I15" s="125">
        <v>399.78</v>
      </c>
      <c r="J15" s="125">
        <v>3000.12</v>
      </c>
      <c r="K15" s="126">
        <v>19995</v>
      </c>
      <c r="L15" s="140">
        <v>4397.58</v>
      </c>
      <c r="M15" s="138">
        <v>15591.42</v>
      </c>
      <c r="N15" s="131">
        <v>11</v>
      </c>
      <c r="O15" s="128">
        <v>39</v>
      </c>
      <c r="P15" s="133">
        <v>37398.9</v>
      </c>
      <c r="Q15" s="121">
        <v>132596.1</v>
      </c>
      <c r="R15" s="129"/>
    </row>
    <row r="16" spans="1:18" ht="24.75" customHeight="1">
      <c r="A16" s="119">
        <v>13</v>
      </c>
      <c r="B16" s="119" t="s">
        <v>19</v>
      </c>
      <c r="C16" s="129" t="s">
        <v>58</v>
      </c>
      <c r="D16" s="135">
        <v>150000</v>
      </c>
      <c r="E16" s="142">
        <v>19995</v>
      </c>
      <c r="F16" s="126">
        <v>169995</v>
      </c>
      <c r="G16" s="130">
        <v>50</v>
      </c>
      <c r="H16" s="133">
        <v>3399.9</v>
      </c>
      <c r="I16" s="125">
        <v>399.78</v>
      </c>
      <c r="J16" s="125">
        <v>3000.12</v>
      </c>
      <c r="K16" s="126">
        <v>19995</v>
      </c>
      <c r="L16" s="140">
        <v>11193.84</v>
      </c>
      <c r="M16" s="138">
        <v>8795.16</v>
      </c>
      <c r="N16" s="131">
        <v>28</v>
      </c>
      <c r="O16" s="128">
        <v>22</v>
      </c>
      <c r="P16" s="133">
        <v>95197.2</v>
      </c>
      <c r="Q16" s="123">
        <v>74797.8</v>
      </c>
      <c r="R16" s="129"/>
    </row>
    <row r="17" spans="1:18" ht="23.25" customHeight="1">
      <c r="A17" s="119">
        <v>14</v>
      </c>
      <c r="B17" s="119" t="s">
        <v>19</v>
      </c>
      <c r="C17" s="129" t="s">
        <v>32</v>
      </c>
      <c r="D17" s="135">
        <v>150000</v>
      </c>
      <c r="E17" s="142">
        <v>19995</v>
      </c>
      <c r="F17" s="126">
        <v>169995</v>
      </c>
      <c r="G17" s="130">
        <v>50</v>
      </c>
      <c r="H17" s="133">
        <v>3399.9</v>
      </c>
      <c r="I17" s="125">
        <v>399.78</v>
      </c>
      <c r="J17" s="125">
        <v>3000.12</v>
      </c>
      <c r="K17" s="126">
        <v>19995</v>
      </c>
      <c r="L17" s="140">
        <v>18789.66</v>
      </c>
      <c r="M17" s="138">
        <v>1199.3399999999999</v>
      </c>
      <c r="N17" s="131">
        <v>47</v>
      </c>
      <c r="O17" s="128">
        <v>3</v>
      </c>
      <c r="P17" s="133">
        <v>159795.29999999999</v>
      </c>
      <c r="Q17" s="123">
        <v>10199.700000000001</v>
      </c>
      <c r="R17" s="129"/>
    </row>
    <row r="18" spans="1:18" ht="24" customHeight="1">
      <c r="A18" s="119">
        <v>15</v>
      </c>
      <c r="B18" s="119" t="s">
        <v>19</v>
      </c>
      <c r="C18" s="129" t="s">
        <v>33</v>
      </c>
      <c r="D18" s="133">
        <v>150000</v>
      </c>
      <c r="E18" s="142">
        <v>19995</v>
      </c>
      <c r="F18" s="126">
        <v>169995</v>
      </c>
      <c r="G18" s="130">
        <v>50</v>
      </c>
      <c r="H18" s="133">
        <v>3399.9</v>
      </c>
      <c r="I18" s="125">
        <v>399.78</v>
      </c>
      <c r="J18" s="125">
        <v>3000.12</v>
      </c>
      <c r="K18" s="126">
        <v>19995</v>
      </c>
      <c r="L18" s="140">
        <v>18789.66</v>
      </c>
      <c r="M18" s="138">
        <v>1199.3399999999999</v>
      </c>
      <c r="N18" s="131">
        <v>47</v>
      </c>
      <c r="O18" s="128">
        <v>3</v>
      </c>
      <c r="P18" s="133">
        <v>159795.29999999999</v>
      </c>
      <c r="Q18" s="123">
        <v>10199.700000000001</v>
      </c>
      <c r="R18" s="129"/>
    </row>
    <row r="19" spans="1:18" ht="24.75" customHeight="1">
      <c r="A19" s="119">
        <v>16</v>
      </c>
      <c r="B19" s="119" t="s">
        <v>19</v>
      </c>
      <c r="C19" s="120" t="s">
        <v>34</v>
      </c>
      <c r="D19" s="135">
        <v>150000</v>
      </c>
      <c r="E19" s="142">
        <v>19995</v>
      </c>
      <c r="F19" s="126">
        <v>169995</v>
      </c>
      <c r="G19" s="130">
        <v>50</v>
      </c>
      <c r="H19" s="133">
        <v>3399.9</v>
      </c>
      <c r="I19" s="125">
        <v>399.78</v>
      </c>
      <c r="J19" s="125">
        <v>3000.12</v>
      </c>
      <c r="K19" s="126">
        <v>19995</v>
      </c>
      <c r="L19" s="140">
        <v>18789.66</v>
      </c>
      <c r="M19" s="138">
        <v>1199.3399999999999</v>
      </c>
      <c r="N19" s="131">
        <v>47</v>
      </c>
      <c r="O19" s="128">
        <v>3</v>
      </c>
      <c r="P19" s="133">
        <v>159795.29999999999</v>
      </c>
      <c r="Q19" s="123">
        <v>10199.700000000001</v>
      </c>
      <c r="R19" s="129"/>
    </row>
    <row r="20" spans="1:18" ht="23.25" customHeight="1">
      <c r="A20" s="119">
        <v>17</v>
      </c>
      <c r="B20" s="119" t="s">
        <v>19</v>
      </c>
      <c r="C20" s="129" t="s">
        <v>36</v>
      </c>
      <c r="D20" s="135">
        <v>150000</v>
      </c>
      <c r="E20" s="142">
        <v>19995</v>
      </c>
      <c r="F20" s="126">
        <v>169995</v>
      </c>
      <c r="G20" s="130">
        <v>50</v>
      </c>
      <c r="H20" s="133">
        <v>3399.9</v>
      </c>
      <c r="I20" s="125">
        <v>399.78</v>
      </c>
      <c r="J20" s="125">
        <v>3000.12</v>
      </c>
      <c r="K20" s="126">
        <v>19995</v>
      </c>
      <c r="L20" s="140">
        <v>18789.66</v>
      </c>
      <c r="M20" s="138">
        <v>1199.3399999999999</v>
      </c>
      <c r="N20" s="131">
        <v>47</v>
      </c>
      <c r="O20" s="128">
        <v>3</v>
      </c>
      <c r="P20" s="133">
        <v>159795.29999999999</v>
      </c>
      <c r="Q20" s="123">
        <v>10199.700000000001</v>
      </c>
      <c r="R20" s="129"/>
    </row>
    <row r="21" spans="1:18" ht="25.5" customHeight="1">
      <c r="A21" s="119">
        <v>18</v>
      </c>
      <c r="B21" s="119" t="s">
        <v>19</v>
      </c>
      <c r="C21" s="129" t="s">
        <v>59</v>
      </c>
      <c r="D21" s="135">
        <v>330000</v>
      </c>
      <c r="E21" s="142">
        <v>43989</v>
      </c>
      <c r="F21" s="126">
        <v>373989</v>
      </c>
      <c r="G21" s="130">
        <v>50</v>
      </c>
      <c r="H21" s="133">
        <v>7479.78</v>
      </c>
      <c r="I21" s="125">
        <v>879.78</v>
      </c>
      <c r="J21" s="125">
        <v>6600</v>
      </c>
      <c r="K21" s="126">
        <v>43989</v>
      </c>
      <c r="L21" s="140">
        <v>37830.54</v>
      </c>
      <c r="M21" s="138">
        <v>6158.46</v>
      </c>
      <c r="N21" s="131">
        <v>43</v>
      </c>
      <c r="O21" s="147">
        <v>7</v>
      </c>
      <c r="P21" s="133">
        <v>321630.53999999998</v>
      </c>
      <c r="Q21" s="123">
        <v>52358.46</v>
      </c>
      <c r="R21" s="129"/>
    </row>
    <row r="22" spans="1:18" ht="20.25" customHeight="1">
      <c r="A22" s="119">
        <v>19</v>
      </c>
      <c r="B22" s="119" t="s">
        <v>19</v>
      </c>
      <c r="C22" s="129" t="s">
        <v>50</v>
      </c>
      <c r="D22" s="135">
        <v>500000</v>
      </c>
      <c r="E22" s="142">
        <v>66650</v>
      </c>
      <c r="F22" s="126">
        <v>566650</v>
      </c>
      <c r="G22" s="130">
        <v>50</v>
      </c>
      <c r="H22" s="133">
        <v>11333</v>
      </c>
      <c r="I22" s="139">
        <v>1333</v>
      </c>
      <c r="J22" s="125">
        <v>10000</v>
      </c>
      <c r="K22" s="126">
        <v>66650</v>
      </c>
      <c r="L22" s="140">
        <v>10664</v>
      </c>
      <c r="M22" s="138">
        <v>55986</v>
      </c>
      <c r="N22" s="131">
        <v>8</v>
      </c>
      <c r="O22" s="128">
        <v>42</v>
      </c>
      <c r="P22" s="133">
        <v>90664</v>
      </c>
      <c r="Q22" s="123">
        <v>475986</v>
      </c>
      <c r="R22" s="129"/>
    </row>
    <row r="23" spans="1:18" ht="21" customHeight="1">
      <c r="A23" s="119">
        <v>20</v>
      </c>
      <c r="B23" s="119" t="s">
        <v>19</v>
      </c>
      <c r="C23" s="129" t="s">
        <v>49</v>
      </c>
      <c r="D23" s="135">
        <v>500000</v>
      </c>
      <c r="E23" s="142">
        <v>66650</v>
      </c>
      <c r="F23" s="126">
        <v>566650</v>
      </c>
      <c r="G23" s="130">
        <v>50</v>
      </c>
      <c r="H23" s="133">
        <v>11333</v>
      </c>
      <c r="I23" s="139">
        <v>1333</v>
      </c>
      <c r="J23" s="125">
        <v>10000</v>
      </c>
      <c r="K23" s="126">
        <v>66650</v>
      </c>
      <c r="L23" s="140">
        <v>10664</v>
      </c>
      <c r="M23" s="138">
        <v>55986</v>
      </c>
      <c r="N23" s="131">
        <v>8</v>
      </c>
      <c r="O23" s="128">
        <v>42</v>
      </c>
      <c r="P23" s="133">
        <v>90664</v>
      </c>
      <c r="Q23" s="123">
        <v>475986</v>
      </c>
      <c r="R23" s="129"/>
    </row>
    <row r="24" spans="1:18" ht="24.75" customHeight="1">
      <c r="A24" s="119">
        <v>21</v>
      </c>
      <c r="B24" s="119" t="s">
        <v>19</v>
      </c>
      <c r="C24" s="129" t="s">
        <v>63</v>
      </c>
      <c r="D24" s="135">
        <v>250000</v>
      </c>
      <c r="E24" s="142">
        <v>33325</v>
      </c>
      <c r="F24" s="126">
        <v>283325</v>
      </c>
      <c r="G24" s="130">
        <v>60</v>
      </c>
      <c r="H24" s="133">
        <v>4722.08</v>
      </c>
      <c r="I24" s="139">
        <v>555.41999999999996</v>
      </c>
      <c r="J24" s="125">
        <v>4166.66</v>
      </c>
      <c r="K24" s="126">
        <v>33325</v>
      </c>
      <c r="L24" s="140">
        <v>2221.6799999999998</v>
      </c>
      <c r="M24" s="138">
        <v>31103.52</v>
      </c>
      <c r="N24" s="131">
        <v>4</v>
      </c>
      <c r="O24" s="128">
        <v>56</v>
      </c>
      <c r="P24" s="133">
        <v>18888.32</v>
      </c>
      <c r="Q24" s="123">
        <v>264436.47999999998</v>
      </c>
      <c r="R24" s="129"/>
    </row>
    <row r="25" spans="1:18" ht="27.75" customHeight="1">
      <c r="A25" s="119"/>
      <c r="B25" s="119"/>
      <c r="C25" s="120" t="s">
        <v>37</v>
      </c>
      <c r="D25" s="133">
        <f>SUM(D4:D24)</f>
        <v>6030000</v>
      </c>
      <c r="E25" s="142">
        <f>SUM(E4:E24)</f>
        <v>803793</v>
      </c>
      <c r="F25" s="133">
        <f>SUM(F4:F24)</f>
        <v>6833799</v>
      </c>
      <c r="G25" s="124"/>
      <c r="H25" s="133">
        <f t="shared" ref="H25:M25" si="0">SUM(H4:H24)</f>
        <v>135730.77999999994</v>
      </c>
      <c r="I25" s="125">
        <f t="shared" si="0"/>
        <v>15963.820000000003</v>
      </c>
      <c r="J25" s="125">
        <f t="shared" si="0"/>
        <v>119767.73999999998</v>
      </c>
      <c r="K25" s="126">
        <f t="shared" si="0"/>
        <v>803799</v>
      </c>
      <c r="L25" s="137">
        <f t="shared" si="0"/>
        <v>385824.27999999985</v>
      </c>
      <c r="M25" s="138">
        <f t="shared" si="0"/>
        <v>417830.9200000001</v>
      </c>
      <c r="N25" s="131"/>
      <c r="O25" s="128"/>
      <c r="P25" s="123">
        <f>SUM(P4:P24)</f>
        <v>3280525.7199999993</v>
      </c>
      <c r="Q25" s="123">
        <f>SUM(Q4:Q24)</f>
        <v>3553273.0800000005</v>
      </c>
      <c r="R25" s="129"/>
    </row>
  </sheetData>
  <mergeCells count="1">
    <mergeCell ref="A1:R1"/>
  </mergeCells>
  <pageMargins left="1.82" right="0.7" top="0.75" bottom="0.75" header="0.25" footer="0.3"/>
  <pageSetup paperSize="5" scale="60" orientation="landscape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25"/>
  <sheetViews>
    <sheetView topLeftCell="E1" workbookViewId="0">
      <selection activeCell="J3" sqref="J3:J4"/>
    </sheetView>
  </sheetViews>
  <sheetFormatPr defaultRowHeight="15"/>
  <cols>
    <col min="1" max="1" width="3.42578125" customWidth="1"/>
    <col min="2" max="2" width="5.28515625" customWidth="1"/>
    <col min="3" max="3" width="27.85546875" customWidth="1"/>
    <col min="4" max="4" width="14.5703125" customWidth="1"/>
    <col min="5" max="5" width="12.85546875" customWidth="1"/>
    <col min="6" max="6" width="14.5703125" customWidth="1"/>
    <col min="7" max="7" width="8.140625" customWidth="1"/>
    <col min="8" max="8" width="12.7109375" bestFit="1" customWidth="1"/>
    <col min="9" max="9" width="11.28515625" customWidth="1"/>
    <col min="10" max="10" width="12.7109375" bestFit="1" customWidth="1"/>
    <col min="11" max="11" width="12.42578125" customWidth="1"/>
    <col min="12" max="12" width="12.85546875" customWidth="1"/>
    <col min="13" max="13" width="12.42578125" customWidth="1"/>
    <col min="14" max="14" width="8.140625" customWidth="1"/>
    <col min="15" max="15" width="7.5703125" customWidth="1"/>
    <col min="16" max="16" width="14.5703125" bestFit="1" customWidth="1"/>
    <col min="17" max="17" width="14.140625" customWidth="1"/>
    <col min="18" max="18" width="7.140625" customWidth="1"/>
  </cols>
  <sheetData>
    <row r="1" spans="1:18" ht="15.75">
      <c r="A1" s="243" t="s">
        <v>71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</row>
    <row r="2" spans="1:18" ht="15.75">
      <c r="A2" s="107"/>
      <c r="B2" s="107"/>
      <c r="C2" s="107"/>
      <c r="D2" s="108"/>
      <c r="E2" s="108"/>
      <c r="F2" s="108"/>
      <c r="G2" s="232" t="s">
        <v>66</v>
      </c>
      <c r="H2" s="108"/>
      <c r="I2" s="107"/>
      <c r="J2" s="107"/>
      <c r="K2" s="107"/>
      <c r="L2" s="107"/>
      <c r="M2" s="107"/>
      <c r="N2" s="231"/>
      <c r="O2" s="231"/>
      <c r="P2" s="108"/>
      <c r="Q2" s="108"/>
      <c r="R2" s="107"/>
    </row>
    <row r="3" spans="1:18" ht="63">
      <c r="A3" s="233" t="s">
        <v>2</v>
      </c>
      <c r="B3" s="233" t="s">
        <v>3</v>
      </c>
      <c r="C3" s="234" t="s">
        <v>4</v>
      </c>
      <c r="D3" s="234" t="s">
        <v>5</v>
      </c>
      <c r="E3" s="233" t="s">
        <v>6</v>
      </c>
      <c r="F3" s="234" t="s">
        <v>7</v>
      </c>
      <c r="G3" s="233" t="s">
        <v>8</v>
      </c>
      <c r="H3" s="234" t="s">
        <v>9</v>
      </c>
      <c r="I3" s="235" t="s">
        <v>10</v>
      </c>
      <c r="J3" s="235" t="s">
        <v>11</v>
      </c>
      <c r="K3" s="233" t="s">
        <v>6</v>
      </c>
      <c r="L3" s="236" t="s">
        <v>12</v>
      </c>
      <c r="M3" s="237" t="s">
        <v>13</v>
      </c>
      <c r="N3" s="238" t="s">
        <v>14</v>
      </c>
      <c r="O3" s="239" t="s">
        <v>15</v>
      </c>
      <c r="P3" s="35" t="s">
        <v>16</v>
      </c>
      <c r="Q3" s="35" t="s">
        <v>17</v>
      </c>
      <c r="R3" s="34" t="s">
        <v>18</v>
      </c>
    </row>
    <row r="4" spans="1:18" ht="21.75" customHeight="1">
      <c r="A4" s="119">
        <v>1</v>
      </c>
      <c r="B4" s="119" t="s">
        <v>19</v>
      </c>
      <c r="C4" s="129" t="s">
        <v>21</v>
      </c>
      <c r="D4" s="135">
        <v>500000</v>
      </c>
      <c r="E4" s="142">
        <v>66650</v>
      </c>
      <c r="F4" s="126">
        <v>566650</v>
      </c>
      <c r="G4" s="130">
        <v>50</v>
      </c>
      <c r="H4" s="133">
        <v>11333</v>
      </c>
      <c r="I4" s="125">
        <v>1333</v>
      </c>
      <c r="J4" s="125">
        <v>10000</v>
      </c>
      <c r="K4" s="126">
        <v>66650</v>
      </c>
      <c r="L4" s="140">
        <v>30659</v>
      </c>
      <c r="M4" s="138">
        <v>35991</v>
      </c>
      <c r="N4" s="127">
        <v>23</v>
      </c>
      <c r="O4" s="128">
        <v>27</v>
      </c>
      <c r="P4" s="136">
        <v>260659</v>
      </c>
      <c r="Q4" s="122">
        <v>305991</v>
      </c>
      <c r="R4" s="129"/>
    </row>
    <row r="5" spans="1:18" ht="22.5" customHeight="1">
      <c r="A5" s="119">
        <v>2</v>
      </c>
      <c r="B5" s="119" t="s">
        <v>19</v>
      </c>
      <c r="C5" s="129" t="s">
        <v>23</v>
      </c>
      <c r="D5" s="135">
        <v>330000</v>
      </c>
      <c r="E5" s="142">
        <v>43989</v>
      </c>
      <c r="F5" s="126">
        <v>373989</v>
      </c>
      <c r="G5" s="130">
        <v>50</v>
      </c>
      <c r="H5" s="133">
        <v>7479.78</v>
      </c>
      <c r="I5" s="125">
        <v>879.78</v>
      </c>
      <c r="J5" s="125">
        <v>6600</v>
      </c>
      <c r="K5" s="126">
        <v>43989</v>
      </c>
      <c r="L5" s="140">
        <v>17595.599999999999</v>
      </c>
      <c r="M5" s="138">
        <v>26393.4</v>
      </c>
      <c r="N5" s="130">
        <v>20</v>
      </c>
      <c r="O5" s="128">
        <v>30</v>
      </c>
      <c r="P5" s="133">
        <v>149595.6</v>
      </c>
      <c r="Q5" s="121">
        <v>224393.4</v>
      </c>
      <c r="R5" s="129"/>
    </row>
    <row r="6" spans="1:18" ht="23.25" customHeight="1">
      <c r="A6" s="119">
        <v>3</v>
      </c>
      <c r="B6" s="119" t="s">
        <v>19</v>
      </c>
      <c r="C6" s="129" t="s">
        <v>44</v>
      </c>
      <c r="D6" s="135">
        <v>330000</v>
      </c>
      <c r="E6" s="142">
        <v>43989</v>
      </c>
      <c r="F6" s="126">
        <v>373989</v>
      </c>
      <c r="G6" s="130">
        <v>50</v>
      </c>
      <c r="H6" s="133">
        <v>7479.78</v>
      </c>
      <c r="I6" s="125">
        <v>879.78</v>
      </c>
      <c r="J6" s="125">
        <v>6600</v>
      </c>
      <c r="K6" s="126">
        <v>43989</v>
      </c>
      <c r="L6" s="140">
        <v>10557.36</v>
      </c>
      <c r="M6" s="138">
        <v>33431.64</v>
      </c>
      <c r="N6" s="130">
        <v>12</v>
      </c>
      <c r="O6" s="128">
        <v>38</v>
      </c>
      <c r="P6" s="133">
        <v>89757.36</v>
      </c>
      <c r="Q6" s="121">
        <v>284231.64</v>
      </c>
      <c r="R6" s="129"/>
    </row>
    <row r="7" spans="1:18" ht="18" customHeight="1">
      <c r="A7" s="119">
        <v>4</v>
      </c>
      <c r="B7" s="119" t="s">
        <v>19</v>
      </c>
      <c r="C7" s="129" t="s">
        <v>52</v>
      </c>
      <c r="D7" s="135">
        <v>330000</v>
      </c>
      <c r="E7" s="142">
        <v>43989</v>
      </c>
      <c r="F7" s="126">
        <v>373989</v>
      </c>
      <c r="G7" s="130">
        <v>50</v>
      </c>
      <c r="H7" s="133">
        <v>7479.78</v>
      </c>
      <c r="I7" s="125">
        <v>879.78</v>
      </c>
      <c r="J7" s="125">
        <v>6600</v>
      </c>
      <c r="K7" s="126">
        <v>43989</v>
      </c>
      <c r="L7" s="140">
        <v>9677.58</v>
      </c>
      <c r="M7" s="138">
        <v>34311.42</v>
      </c>
      <c r="N7" s="130">
        <v>11</v>
      </c>
      <c r="O7" s="128">
        <v>39</v>
      </c>
      <c r="P7" s="133">
        <v>82277.58</v>
      </c>
      <c r="Q7" s="121">
        <v>291711.42</v>
      </c>
      <c r="R7" s="129"/>
    </row>
    <row r="8" spans="1:18" ht="22.5" customHeight="1">
      <c r="A8" s="119">
        <v>5</v>
      </c>
      <c r="B8" s="119" t="s">
        <v>19</v>
      </c>
      <c r="C8" s="129" t="s">
        <v>55</v>
      </c>
      <c r="D8" s="135">
        <v>330000</v>
      </c>
      <c r="E8" s="142">
        <v>43989</v>
      </c>
      <c r="F8" s="126">
        <v>373989</v>
      </c>
      <c r="G8" s="130">
        <v>50</v>
      </c>
      <c r="H8" s="133">
        <v>7479.78</v>
      </c>
      <c r="I8" s="125">
        <v>879.78</v>
      </c>
      <c r="J8" s="125">
        <v>6600</v>
      </c>
      <c r="K8" s="126">
        <v>43989</v>
      </c>
      <c r="L8" s="140">
        <v>9677.58</v>
      </c>
      <c r="M8" s="138">
        <v>34311.42</v>
      </c>
      <c r="N8" s="130">
        <v>11</v>
      </c>
      <c r="O8" s="128">
        <v>39</v>
      </c>
      <c r="P8" s="133">
        <v>82277.58</v>
      </c>
      <c r="Q8" s="121">
        <v>291711.42</v>
      </c>
      <c r="R8" s="129"/>
    </row>
    <row r="9" spans="1:18" ht="24.75" customHeight="1">
      <c r="A9" s="119">
        <v>6</v>
      </c>
      <c r="B9" s="119" t="s">
        <v>19</v>
      </c>
      <c r="C9" s="129" t="s">
        <v>24</v>
      </c>
      <c r="D9" s="135">
        <v>150000</v>
      </c>
      <c r="E9" s="142">
        <v>19989</v>
      </c>
      <c r="F9" s="126">
        <v>169995</v>
      </c>
      <c r="G9" s="130">
        <v>50</v>
      </c>
      <c r="H9" s="133">
        <v>3399.9</v>
      </c>
      <c r="I9" s="125">
        <v>399.78</v>
      </c>
      <c r="J9" s="125">
        <v>3000.12</v>
      </c>
      <c r="K9" s="126">
        <v>19995</v>
      </c>
      <c r="L9" s="140">
        <v>7995.6</v>
      </c>
      <c r="M9" s="138">
        <v>11993.4</v>
      </c>
      <c r="N9" s="127">
        <v>20</v>
      </c>
      <c r="O9" s="128">
        <v>30</v>
      </c>
      <c r="P9" s="136">
        <v>67998</v>
      </c>
      <c r="Q9" s="122">
        <v>101997</v>
      </c>
      <c r="R9" s="129"/>
    </row>
    <row r="10" spans="1:18" ht="19.5" customHeight="1">
      <c r="A10" s="119">
        <v>7</v>
      </c>
      <c r="B10" s="119" t="s">
        <v>19</v>
      </c>
      <c r="C10" s="129" t="s">
        <v>25</v>
      </c>
      <c r="D10" s="135">
        <v>150000</v>
      </c>
      <c r="E10" s="142">
        <v>19995</v>
      </c>
      <c r="F10" s="126">
        <v>169995</v>
      </c>
      <c r="G10" s="130">
        <v>50</v>
      </c>
      <c r="H10" s="133">
        <v>3399.9</v>
      </c>
      <c r="I10" s="125">
        <v>399.78</v>
      </c>
      <c r="J10" s="125">
        <v>3000.12</v>
      </c>
      <c r="K10" s="126">
        <v>19995</v>
      </c>
      <c r="L10" s="140">
        <v>10794.06</v>
      </c>
      <c r="M10" s="138">
        <v>9194.94</v>
      </c>
      <c r="N10" s="131">
        <v>27</v>
      </c>
      <c r="O10" s="128">
        <v>23</v>
      </c>
      <c r="P10" s="133">
        <v>91797.3</v>
      </c>
      <c r="Q10" s="121">
        <v>78197.7</v>
      </c>
      <c r="R10" s="129"/>
    </row>
    <row r="11" spans="1:18" ht="24.75" customHeight="1">
      <c r="A11" s="119">
        <v>8</v>
      </c>
      <c r="B11" s="119" t="s">
        <v>19</v>
      </c>
      <c r="C11" s="120" t="s">
        <v>26</v>
      </c>
      <c r="D11" s="126">
        <v>450000</v>
      </c>
      <c r="E11" s="142">
        <v>59985</v>
      </c>
      <c r="F11" s="126">
        <v>509985</v>
      </c>
      <c r="G11" s="130">
        <v>50</v>
      </c>
      <c r="H11" s="136">
        <v>10199.700000000001</v>
      </c>
      <c r="I11" s="125">
        <v>1199.7</v>
      </c>
      <c r="J11" s="125">
        <v>9000</v>
      </c>
      <c r="K11" s="126">
        <v>59985</v>
      </c>
      <c r="L11" s="140">
        <v>32391.9</v>
      </c>
      <c r="M11" s="138">
        <v>27593.1</v>
      </c>
      <c r="N11" s="127">
        <v>27</v>
      </c>
      <c r="O11" s="128">
        <v>23</v>
      </c>
      <c r="P11" s="136">
        <v>275391.90000000002</v>
      </c>
      <c r="Q11" s="122">
        <v>234593.1</v>
      </c>
      <c r="R11" s="129"/>
    </row>
    <row r="12" spans="1:18" ht="21.75" customHeight="1">
      <c r="A12" s="119">
        <v>9</v>
      </c>
      <c r="B12" s="119" t="s">
        <v>19</v>
      </c>
      <c r="C12" s="129" t="s">
        <v>28</v>
      </c>
      <c r="D12" s="135">
        <v>500000</v>
      </c>
      <c r="E12" s="142">
        <v>66650</v>
      </c>
      <c r="F12" s="126">
        <v>566650</v>
      </c>
      <c r="G12" s="130">
        <v>50</v>
      </c>
      <c r="H12" s="133">
        <v>11333</v>
      </c>
      <c r="I12" s="125">
        <v>1333</v>
      </c>
      <c r="J12" s="125">
        <v>10000</v>
      </c>
      <c r="K12" s="126">
        <v>66650</v>
      </c>
      <c r="L12" s="140">
        <v>63984</v>
      </c>
      <c r="M12" s="138">
        <v>2666</v>
      </c>
      <c r="N12" s="127">
        <v>48</v>
      </c>
      <c r="O12" s="128">
        <v>2</v>
      </c>
      <c r="P12" s="136">
        <v>543984</v>
      </c>
      <c r="Q12" s="122">
        <v>22666</v>
      </c>
      <c r="R12" s="129"/>
    </row>
    <row r="13" spans="1:18" ht="21" customHeight="1">
      <c r="A13" s="119">
        <v>10</v>
      </c>
      <c r="B13" s="119" t="s">
        <v>19</v>
      </c>
      <c r="C13" s="129" t="s">
        <v>29</v>
      </c>
      <c r="D13" s="135">
        <v>330000</v>
      </c>
      <c r="E13" s="142">
        <v>43989</v>
      </c>
      <c r="F13" s="126">
        <v>373989</v>
      </c>
      <c r="G13" s="130">
        <v>50</v>
      </c>
      <c r="H13" s="133">
        <v>7479</v>
      </c>
      <c r="I13" s="125">
        <v>879.78</v>
      </c>
      <c r="J13" s="125">
        <v>6600</v>
      </c>
      <c r="K13" s="126">
        <v>43989</v>
      </c>
      <c r="L13" s="140">
        <v>42229.440000000002</v>
      </c>
      <c r="M13" s="138">
        <v>1759.56</v>
      </c>
      <c r="N13" s="131">
        <v>48</v>
      </c>
      <c r="O13" s="128">
        <v>2</v>
      </c>
      <c r="P13" s="133">
        <v>359029.44</v>
      </c>
      <c r="Q13" s="123">
        <v>14959.56</v>
      </c>
      <c r="R13" s="129"/>
    </row>
    <row r="14" spans="1:18" ht="20.25" customHeight="1">
      <c r="A14" s="119">
        <v>11</v>
      </c>
      <c r="B14" s="119" t="s">
        <v>19</v>
      </c>
      <c r="C14" s="129" t="s">
        <v>30</v>
      </c>
      <c r="D14" s="135">
        <v>150000</v>
      </c>
      <c r="E14" s="142">
        <v>19995</v>
      </c>
      <c r="F14" s="126">
        <v>169995</v>
      </c>
      <c r="G14" s="130">
        <v>50</v>
      </c>
      <c r="H14" s="133">
        <v>3399.9</v>
      </c>
      <c r="I14" s="125">
        <v>399.78</v>
      </c>
      <c r="J14" s="125">
        <v>3000.12</v>
      </c>
      <c r="K14" s="126">
        <v>19995</v>
      </c>
      <c r="L14" s="140">
        <v>7595.82</v>
      </c>
      <c r="M14" s="138">
        <v>12393.18</v>
      </c>
      <c r="N14" s="131">
        <v>19</v>
      </c>
      <c r="O14" s="128">
        <v>31</v>
      </c>
      <c r="P14" s="133">
        <v>64598.1</v>
      </c>
      <c r="Q14" s="121">
        <v>105396.9</v>
      </c>
      <c r="R14" s="129"/>
    </row>
    <row r="15" spans="1:18" ht="19.5" customHeight="1">
      <c r="A15" s="119">
        <v>12</v>
      </c>
      <c r="B15" s="119" t="s">
        <v>19</v>
      </c>
      <c r="C15" s="129" t="s">
        <v>43</v>
      </c>
      <c r="D15" s="135">
        <v>150000</v>
      </c>
      <c r="E15" s="142">
        <v>19995</v>
      </c>
      <c r="F15" s="126">
        <v>169995</v>
      </c>
      <c r="G15" s="130">
        <v>50</v>
      </c>
      <c r="H15" s="133">
        <v>3399.9</v>
      </c>
      <c r="I15" s="125">
        <v>399.78</v>
      </c>
      <c r="J15" s="125">
        <v>3000.12</v>
      </c>
      <c r="K15" s="126">
        <v>19995</v>
      </c>
      <c r="L15" s="140">
        <v>4797.3599999999997</v>
      </c>
      <c r="M15" s="138">
        <v>15191.64</v>
      </c>
      <c r="N15" s="131">
        <v>12</v>
      </c>
      <c r="O15" s="128">
        <v>38</v>
      </c>
      <c r="P15" s="133">
        <v>40798.800000000003</v>
      </c>
      <c r="Q15" s="121">
        <v>129196.2</v>
      </c>
      <c r="R15" s="129"/>
    </row>
    <row r="16" spans="1:18" ht="21.75" customHeight="1">
      <c r="A16" s="119">
        <v>13</v>
      </c>
      <c r="B16" s="119" t="s">
        <v>19</v>
      </c>
      <c r="C16" s="129" t="s">
        <v>58</v>
      </c>
      <c r="D16" s="135">
        <v>150000</v>
      </c>
      <c r="E16" s="142">
        <v>19995</v>
      </c>
      <c r="F16" s="126">
        <v>169995</v>
      </c>
      <c r="G16" s="130">
        <v>50</v>
      </c>
      <c r="H16" s="133">
        <v>3399.9</v>
      </c>
      <c r="I16" s="125">
        <v>399.78</v>
      </c>
      <c r="J16" s="125">
        <v>3000.12</v>
      </c>
      <c r="K16" s="126">
        <v>19995</v>
      </c>
      <c r="L16" s="140">
        <v>11593.62</v>
      </c>
      <c r="M16" s="138">
        <v>8395.3799999999992</v>
      </c>
      <c r="N16" s="131">
        <v>29</v>
      </c>
      <c r="O16" s="128">
        <v>21</v>
      </c>
      <c r="P16" s="133">
        <v>98597.1</v>
      </c>
      <c r="Q16" s="123">
        <v>71397.7</v>
      </c>
      <c r="R16" s="129"/>
    </row>
    <row r="17" spans="1:18" ht="22.5" customHeight="1">
      <c r="A17" s="119">
        <v>14</v>
      </c>
      <c r="B17" s="119" t="s">
        <v>19</v>
      </c>
      <c r="C17" s="129" t="s">
        <v>32</v>
      </c>
      <c r="D17" s="135">
        <v>150000</v>
      </c>
      <c r="E17" s="142">
        <v>19995</v>
      </c>
      <c r="F17" s="126">
        <v>169995</v>
      </c>
      <c r="G17" s="130">
        <v>50</v>
      </c>
      <c r="H17" s="133">
        <v>3399.9</v>
      </c>
      <c r="I17" s="125">
        <v>399.78</v>
      </c>
      <c r="J17" s="125">
        <v>3000.12</v>
      </c>
      <c r="K17" s="126">
        <v>19995</v>
      </c>
      <c r="L17" s="140">
        <v>19189.439999999999</v>
      </c>
      <c r="M17" s="138">
        <v>799.56</v>
      </c>
      <c r="N17" s="131">
        <v>48</v>
      </c>
      <c r="O17" s="128">
        <v>2</v>
      </c>
      <c r="P17" s="133">
        <v>163195.20000000001</v>
      </c>
      <c r="Q17" s="123">
        <v>6799.8</v>
      </c>
      <c r="R17" s="129"/>
    </row>
    <row r="18" spans="1:18" ht="21.75" customHeight="1">
      <c r="A18" s="119">
        <v>15</v>
      </c>
      <c r="B18" s="119" t="s">
        <v>19</v>
      </c>
      <c r="C18" s="129" t="s">
        <v>33</v>
      </c>
      <c r="D18" s="133">
        <v>150000</v>
      </c>
      <c r="E18" s="142">
        <v>19995</v>
      </c>
      <c r="F18" s="126">
        <v>169995</v>
      </c>
      <c r="G18" s="130">
        <v>50</v>
      </c>
      <c r="H18" s="133">
        <v>3399.9</v>
      </c>
      <c r="I18" s="125">
        <v>399.78</v>
      </c>
      <c r="J18" s="125">
        <v>3000.12</v>
      </c>
      <c r="K18" s="126">
        <v>19995</v>
      </c>
      <c r="L18" s="140">
        <v>19189.439999999999</v>
      </c>
      <c r="M18" s="138">
        <v>799.56</v>
      </c>
      <c r="N18" s="131">
        <v>48</v>
      </c>
      <c r="O18" s="128">
        <v>2</v>
      </c>
      <c r="P18" s="133">
        <v>163195.20000000001</v>
      </c>
      <c r="Q18" s="123">
        <v>6799.8</v>
      </c>
      <c r="R18" s="129"/>
    </row>
    <row r="19" spans="1:18" ht="22.5" customHeight="1">
      <c r="A19" s="119">
        <v>16</v>
      </c>
      <c r="B19" s="119" t="s">
        <v>19</v>
      </c>
      <c r="C19" s="120" t="s">
        <v>34</v>
      </c>
      <c r="D19" s="135">
        <v>150000</v>
      </c>
      <c r="E19" s="142">
        <v>19995</v>
      </c>
      <c r="F19" s="126">
        <v>169995</v>
      </c>
      <c r="G19" s="130">
        <v>50</v>
      </c>
      <c r="H19" s="133">
        <v>3399.9</v>
      </c>
      <c r="I19" s="125">
        <v>399.78</v>
      </c>
      <c r="J19" s="125">
        <v>3000.12</v>
      </c>
      <c r="K19" s="126">
        <v>19995</v>
      </c>
      <c r="L19" s="140">
        <v>19189.439999999999</v>
      </c>
      <c r="M19" s="138">
        <v>799.56</v>
      </c>
      <c r="N19" s="131">
        <v>48</v>
      </c>
      <c r="O19" s="128">
        <v>2</v>
      </c>
      <c r="P19" s="133">
        <v>163195.20000000001</v>
      </c>
      <c r="Q19" s="123">
        <v>6799.8</v>
      </c>
      <c r="R19" s="129"/>
    </row>
    <row r="20" spans="1:18" ht="25.5" customHeight="1">
      <c r="A20" s="119">
        <v>17</v>
      </c>
      <c r="B20" s="119" t="s">
        <v>19</v>
      </c>
      <c r="C20" s="129" t="s">
        <v>36</v>
      </c>
      <c r="D20" s="135">
        <v>150000</v>
      </c>
      <c r="E20" s="142">
        <v>19995</v>
      </c>
      <c r="F20" s="126">
        <v>169995</v>
      </c>
      <c r="G20" s="130">
        <v>50</v>
      </c>
      <c r="H20" s="133">
        <v>3399.9</v>
      </c>
      <c r="I20" s="125">
        <v>399.78</v>
      </c>
      <c r="J20" s="125">
        <v>3000.12</v>
      </c>
      <c r="K20" s="126">
        <v>19995</v>
      </c>
      <c r="L20" s="140">
        <v>19189.439999999999</v>
      </c>
      <c r="M20" s="138">
        <v>799.56</v>
      </c>
      <c r="N20" s="131">
        <v>48</v>
      </c>
      <c r="O20" s="128">
        <v>2</v>
      </c>
      <c r="P20" s="133">
        <v>163195.20000000001</v>
      </c>
      <c r="Q20" s="123">
        <v>6799.8</v>
      </c>
      <c r="R20" s="129"/>
    </row>
    <row r="21" spans="1:18" ht="21" customHeight="1">
      <c r="A21" s="119">
        <v>18</v>
      </c>
      <c r="B21" s="119" t="s">
        <v>19</v>
      </c>
      <c r="C21" s="129" t="s">
        <v>59</v>
      </c>
      <c r="D21" s="135">
        <v>330000</v>
      </c>
      <c r="E21" s="142">
        <v>43989</v>
      </c>
      <c r="F21" s="126">
        <v>373989</v>
      </c>
      <c r="G21" s="130">
        <v>50</v>
      </c>
      <c r="H21" s="133">
        <v>7479.78</v>
      </c>
      <c r="I21" s="125">
        <v>879.78</v>
      </c>
      <c r="J21" s="125">
        <v>6600</v>
      </c>
      <c r="K21" s="126">
        <v>43989</v>
      </c>
      <c r="L21" s="140">
        <v>38710.32</v>
      </c>
      <c r="M21" s="138">
        <v>5278.68</v>
      </c>
      <c r="N21" s="131">
        <v>44</v>
      </c>
      <c r="O21" s="147">
        <v>6</v>
      </c>
      <c r="P21" s="133">
        <v>329110.32</v>
      </c>
      <c r="Q21" s="123">
        <v>44878.68</v>
      </c>
      <c r="R21" s="129"/>
    </row>
    <row r="22" spans="1:18" ht="21.75" customHeight="1">
      <c r="A22" s="119">
        <v>19</v>
      </c>
      <c r="B22" s="119" t="s">
        <v>19</v>
      </c>
      <c r="C22" s="129" t="s">
        <v>50</v>
      </c>
      <c r="D22" s="135">
        <v>500000</v>
      </c>
      <c r="E22" s="142">
        <v>66650</v>
      </c>
      <c r="F22" s="126">
        <v>566650</v>
      </c>
      <c r="G22" s="130">
        <v>50</v>
      </c>
      <c r="H22" s="133">
        <v>11333</v>
      </c>
      <c r="I22" s="139">
        <v>1333</v>
      </c>
      <c r="J22" s="125">
        <v>10000</v>
      </c>
      <c r="K22" s="126">
        <v>66650</v>
      </c>
      <c r="L22" s="140">
        <v>11997</v>
      </c>
      <c r="M22" s="138">
        <v>54653</v>
      </c>
      <c r="N22" s="131">
        <v>9</v>
      </c>
      <c r="O22" s="128">
        <v>41</v>
      </c>
      <c r="P22" s="133">
        <v>101997</v>
      </c>
      <c r="Q22" s="123">
        <v>464653</v>
      </c>
      <c r="R22" s="129"/>
    </row>
    <row r="23" spans="1:18" ht="24" customHeight="1">
      <c r="A23" s="119">
        <v>20</v>
      </c>
      <c r="B23" s="119" t="s">
        <v>19</v>
      </c>
      <c r="C23" s="129" t="s">
        <v>49</v>
      </c>
      <c r="D23" s="135">
        <v>500000</v>
      </c>
      <c r="E23" s="142">
        <v>66650</v>
      </c>
      <c r="F23" s="126">
        <v>566650</v>
      </c>
      <c r="G23" s="130">
        <v>50</v>
      </c>
      <c r="H23" s="133">
        <v>11333</v>
      </c>
      <c r="I23" s="139">
        <v>1333</v>
      </c>
      <c r="J23" s="125">
        <v>10000</v>
      </c>
      <c r="K23" s="126">
        <v>66650</v>
      </c>
      <c r="L23" s="140">
        <v>11997</v>
      </c>
      <c r="M23" s="138">
        <v>54653</v>
      </c>
      <c r="N23" s="131">
        <v>9</v>
      </c>
      <c r="O23" s="128">
        <v>41</v>
      </c>
      <c r="P23" s="133">
        <v>101997</v>
      </c>
      <c r="Q23" s="123">
        <v>464653</v>
      </c>
      <c r="R23" s="129"/>
    </row>
    <row r="24" spans="1:18" ht="24" customHeight="1">
      <c r="A24" s="119">
        <v>21</v>
      </c>
      <c r="B24" s="119" t="s">
        <v>19</v>
      </c>
      <c r="C24" s="129" t="s">
        <v>63</v>
      </c>
      <c r="D24" s="135">
        <v>250000</v>
      </c>
      <c r="E24" s="142">
        <v>33325</v>
      </c>
      <c r="F24" s="126">
        <v>283325</v>
      </c>
      <c r="G24" s="130">
        <v>60</v>
      </c>
      <c r="H24" s="133">
        <v>4722.08</v>
      </c>
      <c r="I24" s="139">
        <v>555.41999999999996</v>
      </c>
      <c r="J24" s="125">
        <v>4166.66</v>
      </c>
      <c r="K24" s="126">
        <v>33325</v>
      </c>
      <c r="L24" s="140">
        <v>2777.1</v>
      </c>
      <c r="M24" s="138">
        <v>30548.1</v>
      </c>
      <c r="N24" s="131">
        <v>5</v>
      </c>
      <c r="O24" s="128">
        <v>55</v>
      </c>
      <c r="P24" s="133">
        <v>23610.400000000001</v>
      </c>
      <c r="Q24" s="123">
        <v>259714.4</v>
      </c>
      <c r="R24" s="129"/>
    </row>
    <row r="25" spans="1:18" ht="25.5" customHeight="1">
      <c r="A25" s="119"/>
      <c r="B25" s="119"/>
      <c r="C25" s="120" t="s">
        <v>37</v>
      </c>
      <c r="D25" s="133">
        <f>SUM(D4:D24)</f>
        <v>6030000</v>
      </c>
      <c r="E25" s="142">
        <f>SUM(E4:E24)</f>
        <v>803793</v>
      </c>
      <c r="F25" s="133">
        <f>SUM(F4:F24)</f>
        <v>6833799</v>
      </c>
      <c r="G25" s="124"/>
      <c r="H25" s="133">
        <f t="shared" ref="H25:M25" si="0">SUM(H4:H24)</f>
        <v>135730.77999999994</v>
      </c>
      <c r="I25" s="125">
        <f t="shared" si="0"/>
        <v>15963.820000000003</v>
      </c>
      <c r="J25" s="125">
        <f t="shared" si="0"/>
        <v>119767.73999999998</v>
      </c>
      <c r="K25" s="126">
        <f t="shared" si="0"/>
        <v>803799</v>
      </c>
      <c r="L25" s="137">
        <f t="shared" si="0"/>
        <v>401788.1</v>
      </c>
      <c r="M25" s="138">
        <f t="shared" si="0"/>
        <v>401957.1</v>
      </c>
      <c r="N25" s="131"/>
      <c r="O25" s="128"/>
      <c r="P25" s="123">
        <f>SUM(P4:P24)</f>
        <v>3416257.2800000003</v>
      </c>
      <c r="Q25" s="123">
        <f>SUM(Q4:Q24)</f>
        <v>3417541.3199999994</v>
      </c>
      <c r="R25" s="129"/>
    </row>
  </sheetData>
  <mergeCells count="1">
    <mergeCell ref="A1:R1"/>
  </mergeCells>
  <pageMargins left="0.7" right="0.7" top="0.75" bottom="0.75" header="0.3" footer="0.3"/>
  <pageSetup scale="55" fitToHeight="4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APRIL</vt:lpstr>
      <vt:lpstr>MAY</vt:lpstr>
      <vt:lpstr>JUNE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secretary</dc:creator>
  <cp:lastModifiedBy>secretary</cp:lastModifiedBy>
  <cp:lastPrinted>2004-04-08T05:26:07Z</cp:lastPrinted>
  <dcterms:created xsi:type="dcterms:W3CDTF">2004-01-01T09:24:19Z</dcterms:created>
  <dcterms:modified xsi:type="dcterms:W3CDTF">2004-04-08T06:14:30Z</dcterms:modified>
</cp:coreProperties>
</file>