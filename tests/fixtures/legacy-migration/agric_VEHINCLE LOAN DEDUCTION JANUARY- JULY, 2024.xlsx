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9440" windowHeight="7950"/>
  </bookViews>
  <sheets>
    <sheet name="AUG 2024" sheetId="25" r:id="rId1"/>
    <sheet name="SEPTEMBER 2024" sheetId="26" r:id="rId2"/>
    <sheet name="OCTOBER 2024" sheetId="27" r:id="rId3"/>
    <sheet name="NOVEMBER 2024" sheetId="28" r:id="rId4"/>
    <sheet name="DECEMBER 2024" sheetId="29" r:id="rId5"/>
    <sheet name="Sheet1" sheetId="30" r:id="rId6"/>
    <sheet name="Sheet7" sheetId="36" r:id="rId7"/>
  </sheets>
  <definedNames>
    <definedName name="_xlnm.Print_Area" localSheetId="0">'AUG 2024'!$A$1:$S$158</definedName>
    <definedName name="_xlnm.Print_Area" localSheetId="4">'DECEMBER 2024'!$A$1:$S$145</definedName>
    <definedName name="_xlnm.Print_Area" localSheetId="3">'NOVEMBER 2024'!$A$2:$S$168</definedName>
    <definedName name="_xlnm.Print_Area" localSheetId="2">'OCTOBER 2024'!$A$2:$S$142</definedName>
    <definedName name="_xlnm.Print_Area" localSheetId="1">'SEPTEMBER 2024'!$A$1:$S$164</definedName>
  </definedNames>
  <calcPr calcId="152511"/>
</workbook>
</file>

<file path=xl/calcChain.xml><?xml version="1.0" encoding="utf-8"?>
<calcChain xmlns="http://schemas.openxmlformats.org/spreadsheetml/2006/main">
  <c r="F164" i="26" l="1"/>
  <c r="I164" i="26"/>
  <c r="J164" i="26"/>
  <c r="K164" i="26"/>
  <c r="N164" i="26"/>
  <c r="P164" i="26" s="1"/>
  <c r="O164" i="26"/>
  <c r="H156" i="26"/>
  <c r="E156" i="26"/>
  <c r="D156" i="26"/>
  <c r="N155" i="26"/>
  <c r="P155" i="26" s="1"/>
  <c r="O155" i="26"/>
  <c r="J155" i="26"/>
  <c r="I155" i="26"/>
  <c r="L155" i="26" s="1"/>
  <c r="F155" i="26"/>
  <c r="N154" i="26"/>
  <c r="P154" i="26" s="1"/>
  <c r="O154" i="26"/>
  <c r="J154" i="26"/>
  <c r="I154" i="26"/>
  <c r="F154" i="26"/>
  <c r="N153" i="26"/>
  <c r="P153" i="26" s="1"/>
  <c r="O153" i="26"/>
  <c r="J153" i="26"/>
  <c r="I153" i="26"/>
  <c r="K153" i="26" s="1"/>
  <c r="F153" i="26"/>
  <c r="N152" i="26"/>
  <c r="P152" i="26" s="1"/>
  <c r="O152" i="26"/>
  <c r="J152" i="26"/>
  <c r="I152" i="26"/>
  <c r="K152" i="26" s="1"/>
  <c r="F152" i="26"/>
  <c r="N151" i="26"/>
  <c r="P151" i="26" s="1"/>
  <c r="O151" i="26"/>
  <c r="J151" i="26"/>
  <c r="I151" i="26"/>
  <c r="K151" i="26" s="1"/>
  <c r="F151" i="26"/>
  <c r="N150" i="26"/>
  <c r="P150" i="26" s="1"/>
  <c r="O150" i="26"/>
  <c r="J150" i="26"/>
  <c r="I150" i="26"/>
  <c r="K150" i="26" s="1"/>
  <c r="F150" i="26"/>
  <c r="N149" i="26"/>
  <c r="P149" i="26" s="1"/>
  <c r="O149" i="26"/>
  <c r="J149" i="26"/>
  <c r="I149" i="26"/>
  <c r="K149" i="26" s="1"/>
  <c r="F149" i="26"/>
  <c r="N148" i="26"/>
  <c r="P148" i="26" s="1"/>
  <c r="L148" i="26"/>
  <c r="O148" i="26"/>
  <c r="J148" i="26"/>
  <c r="I148" i="26"/>
  <c r="K148" i="26" s="1"/>
  <c r="K147" i="26"/>
  <c r="N147" i="26"/>
  <c r="P147" i="26" s="1"/>
  <c r="O147" i="26"/>
  <c r="J147" i="26"/>
  <c r="I147" i="26"/>
  <c r="L147" i="26" s="1"/>
  <c r="F147" i="26"/>
  <c r="O146" i="26"/>
  <c r="N146" i="26"/>
  <c r="P146" i="26" s="1"/>
  <c r="J146" i="26"/>
  <c r="I146" i="26"/>
  <c r="K146" i="26" s="1"/>
  <c r="F146" i="26"/>
  <c r="O145" i="26"/>
  <c r="N145" i="26"/>
  <c r="P145" i="26" s="1"/>
  <c r="J145" i="26"/>
  <c r="I145" i="26"/>
  <c r="K145" i="26" s="1"/>
  <c r="O144" i="26"/>
  <c r="N144" i="26"/>
  <c r="P144" i="26" s="1"/>
  <c r="J144" i="26"/>
  <c r="I144" i="26"/>
  <c r="F144" i="26"/>
  <c r="O143" i="26"/>
  <c r="N143" i="26"/>
  <c r="P143" i="26" s="1"/>
  <c r="J143" i="26"/>
  <c r="I143" i="26"/>
  <c r="O142" i="26"/>
  <c r="N142" i="26"/>
  <c r="P142" i="26" s="1"/>
  <c r="J142" i="26"/>
  <c r="I142" i="26"/>
  <c r="F142" i="26"/>
  <c r="O141" i="26"/>
  <c r="N141" i="26"/>
  <c r="P141" i="26" s="1"/>
  <c r="J141" i="26"/>
  <c r="I141" i="26"/>
  <c r="K141" i="26" s="1"/>
  <c r="O140" i="26"/>
  <c r="N140" i="26"/>
  <c r="P140" i="26" s="1"/>
  <c r="J140" i="26"/>
  <c r="I140" i="26"/>
  <c r="F140" i="26"/>
  <c r="O139" i="26"/>
  <c r="N139" i="26"/>
  <c r="P139" i="26" s="1"/>
  <c r="J139" i="26"/>
  <c r="I139" i="26"/>
  <c r="O138" i="26"/>
  <c r="N138" i="26"/>
  <c r="P138" i="26" s="1"/>
  <c r="J138" i="26"/>
  <c r="I138" i="26"/>
  <c r="K138" i="26" s="1"/>
  <c r="F138" i="26"/>
  <c r="O137" i="26"/>
  <c r="N137" i="26"/>
  <c r="P137" i="26" s="1"/>
  <c r="J137" i="26"/>
  <c r="I137" i="26"/>
  <c r="K137" i="26" s="1"/>
  <c r="F137" i="26"/>
  <c r="O136" i="26"/>
  <c r="N136" i="26"/>
  <c r="P136" i="26" s="1"/>
  <c r="J136" i="26"/>
  <c r="I136" i="26"/>
  <c r="K136" i="26" s="1"/>
  <c r="F136" i="26"/>
  <c r="O135" i="26"/>
  <c r="N135" i="26"/>
  <c r="P135" i="26" s="1"/>
  <c r="J135" i="26"/>
  <c r="I135" i="26"/>
  <c r="K135" i="26" s="1"/>
  <c r="O134" i="26"/>
  <c r="N134" i="26"/>
  <c r="P134" i="26" s="1"/>
  <c r="J134" i="26"/>
  <c r="I134" i="26"/>
  <c r="F134" i="26"/>
  <c r="O133" i="26"/>
  <c r="N133" i="26"/>
  <c r="P133" i="26" s="1"/>
  <c r="J133" i="26"/>
  <c r="I133" i="26"/>
  <c r="O132" i="26"/>
  <c r="N132" i="26"/>
  <c r="P132" i="26" s="1"/>
  <c r="J132" i="26"/>
  <c r="I132" i="26"/>
  <c r="F132" i="26"/>
  <c r="O131" i="26"/>
  <c r="N131" i="26"/>
  <c r="P131" i="26" s="1"/>
  <c r="J131" i="26"/>
  <c r="I131" i="26"/>
  <c r="O130" i="26"/>
  <c r="N130" i="26"/>
  <c r="P130" i="26" s="1"/>
  <c r="J130" i="26"/>
  <c r="I130" i="26"/>
  <c r="O129" i="26"/>
  <c r="N129" i="26"/>
  <c r="P129" i="26" s="1"/>
  <c r="J129" i="26"/>
  <c r="I129" i="26"/>
  <c r="K129" i="26" s="1"/>
  <c r="F129" i="26"/>
  <c r="O128" i="26"/>
  <c r="N128" i="26"/>
  <c r="P128" i="26" s="1"/>
  <c r="J128" i="26"/>
  <c r="I128" i="26"/>
  <c r="K128" i="26" s="1"/>
  <c r="F128" i="26"/>
  <c r="O127" i="26"/>
  <c r="N127" i="26"/>
  <c r="P127" i="26" s="1"/>
  <c r="J127" i="26"/>
  <c r="I127" i="26"/>
  <c r="K127" i="26" s="1"/>
  <c r="F127" i="26"/>
  <c r="O126" i="26"/>
  <c r="N126" i="26"/>
  <c r="P126" i="26" s="1"/>
  <c r="J126" i="26"/>
  <c r="I126" i="26"/>
  <c r="K126" i="26" s="1"/>
  <c r="F126" i="26"/>
  <c r="O125" i="26"/>
  <c r="N125" i="26"/>
  <c r="P125" i="26" s="1"/>
  <c r="J125" i="26"/>
  <c r="I125" i="26"/>
  <c r="K125" i="26" s="1"/>
  <c r="O124" i="26"/>
  <c r="N124" i="26"/>
  <c r="P124" i="26" s="1"/>
  <c r="J124" i="26"/>
  <c r="I124" i="26"/>
  <c r="F124" i="26"/>
  <c r="O123" i="26"/>
  <c r="N123" i="26"/>
  <c r="P123" i="26" s="1"/>
  <c r="J123" i="26"/>
  <c r="I123" i="26"/>
  <c r="K123" i="26" s="1"/>
  <c r="F123" i="26"/>
  <c r="O122" i="26"/>
  <c r="N122" i="26"/>
  <c r="P122" i="26" s="1"/>
  <c r="J122" i="26"/>
  <c r="I122" i="26"/>
  <c r="F122" i="26"/>
  <c r="O121" i="26"/>
  <c r="N121" i="26"/>
  <c r="P121" i="26" s="1"/>
  <c r="J121" i="26"/>
  <c r="I121" i="26"/>
  <c r="F121" i="26"/>
  <c r="O120" i="26"/>
  <c r="N120" i="26"/>
  <c r="P120" i="26" s="1"/>
  <c r="J120" i="26"/>
  <c r="I120" i="26"/>
  <c r="F120" i="26"/>
  <c r="O119" i="26"/>
  <c r="N119" i="26"/>
  <c r="P119" i="26" s="1"/>
  <c r="J119" i="26"/>
  <c r="I119" i="26"/>
  <c r="K119" i="26" s="1"/>
  <c r="F119" i="26"/>
  <c r="O118" i="26"/>
  <c r="N118" i="26"/>
  <c r="P118" i="26" s="1"/>
  <c r="J118" i="26"/>
  <c r="I118" i="26"/>
  <c r="F118" i="26"/>
  <c r="O117" i="26"/>
  <c r="N117" i="26"/>
  <c r="P117" i="26" s="1"/>
  <c r="J117" i="26"/>
  <c r="I117" i="26"/>
  <c r="K117" i="26" s="1"/>
  <c r="O116" i="26"/>
  <c r="N116" i="26"/>
  <c r="P116" i="26" s="1"/>
  <c r="J116" i="26"/>
  <c r="I116" i="26"/>
  <c r="K116" i="26" s="1"/>
  <c r="F116" i="26"/>
  <c r="O115" i="26"/>
  <c r="N115" i="26"/>
  <c r="P115" i="26" s="1"/>
  <c r="J115" i="26"/>
  <c r="I115" i="26"/>
  <c r="K115" i="26" s="1"/>
  <c r="F115" i="26"/>
  <c r="O114" i="26"/>
  <c r="N114" i="26"/>
  <c r="P114" i="26" s="1"/>
  <c r="J114" i="26"/>
  <c r="I114" i="26"/>
  <c r="K114" i="26" s="1"/>
  <c r="O113" i="26"/>
  <c r="N113" i="26"/>
  <c r="P113" i="26" s="1"/>
  <c r="J113" i="26"/>
  <c r="I113" i="26"/>
  <c r="F113" i="26"/>
  <c r="O112" i="26"/>
  <c r="N112" i="26"/>
  <c r="P112" i="26" s="1"/>
  <c r="J112" i="26"/>
  <c r="I112" i="26"/>
  <c r="K112" i="26" s="1"/>
  <c r="O111" i="26"/>
  <c r="N111" i="26"/>
  <c r="P111" i="26" s="1"/>
  <c r="J111" i="26"/>
  <c r="I111" i="26"/>
  <c r="K111" i="26" s="1"/>
  <c r="F111" i="26"/>
  <c r="O110" i="26"/>
  <c r="N110" i="26"/>
  <c r="P110" i="26" s="1"/>
  <c r="J110" i="26"/>
  <c r="I110" i="26"/>
  <c r="K110" i="26" s="1"/>
  <c r="O109" i="26"/>
  <c r="N109" i="26"/>
  <c r="P109" i="26" s="1"/>
  <c r="J109" i="26"/>
  <c r="I109" i="26"/>
  <c r="F109" i="26"/>
  <c r="O108" i="26"/>
  <c r="N108" i="26"/>
  <c r="P108" i="26" s="1"/>
  <c r="J108" i="26"/>
  <c r="I108" i="26"/>
  <c r="K108" i="26" s="1"/>
  <c r="O107" i="26"/>
  <c r="N107" i="26"/>
  <c r="P107" i="26" s="1"/>
  <c r="J107" i="26"/>
  <c r="I107" i="26"/>
  <c r="F107" i="26"/>
  <c r="O106" i="26"/>
  <c r="N106" i="26"/>
  <c r="P106" i="26" s="1"/>
  <c r="J106" i="26"/>
  <c r="I106" i="26"/>
  <c r="K106" i="26" s="1"/>
  <c r="F106" i="26"/>
  <c r="O105" i="26"/>
  <c r="N105" i="26"/>
  <c r="P105" i="26" s="1"/>
  <c r="J105" i="26"/>
  <c r="I105" i="26"/>
  <c r="F105" i="26"/>
  <c r="O104" i="26"/>
  <c r="N104" i="26"/>
  <c r="P104" i="26" s="1"/>
  <c r="J104" i="26"/>
  <c r="I104" i="26"/>
  <c r="F104" i="26"/>
  <c r="O103" i="26"/>
  <c r="N103" i="26"/>
  <c r="P103" i="26" s="1"/>
  <c r="J103" i="26"/>
  <c r="I103" i="26"/>
  <c r="F103" i="26"/>
  <c r="O102" i="26"/>
  <c r="N102" i="26"/>
  <c r="P102" i="26" s="1"/>
  <c r="J102" i="26"/>
  <c r="I102" i="26"/>
  <c r="K102" i="26" s="1"/>
  <c r="O101" i="26"/>
  <c r="N101" i="26"/>
  <c r="P101" i="26" s="1"/>
  <c r="J101" i="26"/>
  <c r="I101" i="26"/>
  <c r="F101" i="26"/>
  <c r="O100" i="26"/>
  <c r="N100" i="26"/>
  <c r="P100" i="26" s="1"/>
  <c r="J100" i="26"/>
  <c r="I100" i="26"/>
  <c r="K100" i="26" s="1"/>
  <c r="O99" i="26"/>
  <c r="N99" i="26"/>
  <c r="P99" i="26" s="1"/>
  <c r="J99" i="26"/>
  <c r="I99" i="26"/>
  <c r="K99" i="26" s="1"/>
  <c r="O98" i="26"/>
  <c r="N98" i="26"/>
  <c r="P98" i="26" s="1"/>
  <c r="J98" i="26"/>
  <c r="I98" i="26"/>
  <c r="K98" i="26" s="1"/>
  <c r="O97" i="26"/>
  <c r="N97" i="26"/>
  <c r="P97" i="26" s="1"/>
  <c r="J97" i="26"/>
  <c r="I97" i="26"/>
  <c r="K97" i="26" s="1"/>
  <c r="O96" i="26"/>
  <c r="N96" i="26"/>
  <c r="P96" i="26" s="1"/>
  <c r="J96" i="26"/>
  <c r="I96" i="26"/>
  <c r="K96" i="26" s="1"/>
  <c r="O95" i="26"/>
  <c r="N95" i="26"/>
  <c r="P95" i="26" s="1"/>
  <c r="J95" i="26"/>
  <c r="I95" i="26"/>
  <c r="K95" i="26" s="1"/>
  <c r="O94" i="26"/>
  <c r="N94" i="26"/>
  <c r="P94" i="26" s="1"/>
  <c r="J94" i="26"/>
  <c r="I94" i="26"/>
  <c r="K94" i="26" s="1"/>
  <c r="F94" i="26"/>
  <c r="O93" i="26"/>
  <c r="N93" i="26"/>
  <c r="P93" i="26" s="1"/>
  <c r="J93" i="26"/>
  <c r="I93" i="26"/>
  <c r="K93" i="26" s="1"/>
  <c r="F93" i="26"/>
  <c r="O92" i="26"/>
  <c r="N92" i="26"/>
  <c r="P92" i="26" s="1"/>
  <c r="J92" i="26"/>
  <c r="I92" i="26"/>
  <c r="F92" i="26"/>
  <c r="O91" i="26"/>
  <c r="N91" i="26"/>
  <c r="P91" i="26" s="1"/>
  <c r="J91" i="26"/>
  <c r="I91" i="26"/>
  <c r="K91" i="26" s="1"/>
  <c r="F91" i="26"/>
  <c r="O90" i="26"/>
  <c r="N90" i="26"/>
  <c r="P90" i="26" s="1"/>
  <c r="J90" i="26"/>
  <c r="I90" i="26"/>
  <c r="K90" i="26" s="1"/>
  <c r="F90" i="26"/>
  <c r="O89" i="26"/>
  <c r="N89" i="26"/>
  <c r="P89" i="26" s="1"/>
  <c r="J89" i="26"/>
  <c r="I89" i="26"/>
  <c r="K89" i="26" s="1"/>
  <c r="F89" i="26"/>
  <c r="O88" i="26"/>
  <c r="N88" i="26"/>
  <c r="P88" i="26" s="1"/>
  <c r="J88" i="26"/>
  <c r="I88" i="26"/>
  <c r="O87" i="26"/>
  <c r="N87" i="26"/>
  <c r="P87" i="26" s="1"/>
  <c r="J87" i="26"/>
  <c r="I87" i="26"/>
  <c r="K87" i="26" s="1"/>
  <c r="F87" i="26"/>
  <c r="O86" i="26"/>
  <c r="N86" i="26"/>
  <c r="P86" i="26" s="1"/>
  <c r="J86" i="26"/>
  <c r="I86" i="26"/>
  <c r="K86" i="26" s="1"/>
  <c r="O85" i="26"/>
  <c r="N85" i="26"/>
  <c r="P85" i="26" s="1"/>
  <c r="J85" i="26"/>
  <c r="I85" i="26"/>
  <c r="K85" i="26" s="1"/>
  <c r="O84" i="26"/>
  <c r="N84" i="26"/>
  <c r="P84" i="26" s="1"/>
  <c r="J84" i="26"/>
  <c r="I84" i="26"/>
  <c r="K84" i="26" s="1"/>
  <c r="F84" i="26"/>
  <c r="O83" i="26"/>
  <c r="N83" i="26"/>
  <c r="P83" i="26" s="1"/>
  <c r="J83" i="26"/>
  <c r="I83" i="26"/>
  <c r="K83" i="26" s="1"/>
  <c r="F83" i="26"/>
  <c r="O82" i="26"/>
  <c r="N82" i="26"/>
  <c r="P82" i="26" s="1"/>
  <c r="J82" i="26"/>
  <c r="I82" i="26"/>
  <c r="K82" i="26" s="1"/>
  <c r="F82" i="26"/>
  <c r="O81" i="26"/>
  <c r="N81" i="26"/>
  <c r="P81" i="26" s="1"/>
  <c r="J81" i="26"/>
  <c r="I81" i="26"/>
  <c r="K81" i="26" s="1"/>
  <c r="F81" i="26"/>
  <c r="O80" i="26"/>
  <c r="N80" i="26"/>
  <c r="P80" i="26" s="1"/>
  <c r="J80" i="26"/>
  <c r="I80" i="26"/>
  <c r="K80" i="26" s="1"/>
  <c r="F80" i="26"/>
  <c r="O79" i="26"/>
  <c r="N79" i="26"/>
  <c r="P79" i="26" s="1"/>
  <c r="J79" i="26"/>
  <c r="I79" i="26"/>
  <c r="K79" i="26" s="1"/>
  <c r="F79" i="26"/>
  <c r="O78" i="26"/>
  <c r="N78" i="26"/>
  <c r="P78" i="26" s="1"/>
  <c r="J78" i="26"/>
  <c r="I78" i="26"/>
  <c r="K78" i="26" s="1"/>
  <c r="F78" i="26"/>
  <c r="O77" i="26"/>
  <c r="N77" i="26"/>
  <c r="P77" i="26" s="1"/>
  <c r="J77" i="26"/>
  <c r="I77" i="26"/>
  <c r="K77" i="26" s="1"/>
  <c r="F77" i="26"/>
  <c r="O76" i="26"/>
  <c r="N76" i="26"/>
  <c r="P76" i="26" s="1"/>
  <c r="J76" i="26"/>
  <c r="I76" i="26"/>
  <c r="K76" i="26" s="1"/>
  <c r="F76" i="26"/>
  <c r="O75" i="26"/>
  <c r="N75" i="26"/>
  <c r="P75" i="26" s="1"/>
  <c r="J75" i="26"/>
  <c r="I75" i="26"/>
  <c r="K75" i="26" s="1"/>
  <c r="F75" i="26"/>
  <c r="O74" i="26"/>
  <c r="N74" i="26"/>
  <c r="P74" i="26" s="1"/>
  <c r="J74" i="26"/>
  <c r="I74" i="26"/>
  <c r="K74" i="26" s="1"/>
  <c r="F74" i="26"/>
  <c r="O73" i="26"/>
  <c r="N73" i="26"/>
  <c r="P73" i="26" s="1"/>
  <c r="J73" i="26"/>
  <c r="I73" i="26"/>
  <c r="K73" i="26" s="1"/>
  <c r="F73" i="26"/>
  <c r="O72" i="26"/>
  <c r="N72" i="26"/>
  <c r="P72" i="26" s="1"/>
  <c r="J72" i="26"/>
  <c r="I72" i="26"/>
  <c r="K72" i="26" s="1"/>
  <c r="F72" i="26"/>
  <c r="O71" i="26"/>
  <c r="N71" i="26"/>
  <c r="P71" i="26" s="1"/>
  <c r="J71" i="26"/>
  <c r="I71" i="26"/>
  <c r="K71" i="26" s="1"/>
  <c r="O70" i="26"/>
  <c r="N70" i="26"/>
  <c r="P70" i="26" s="1"/>
  <c r="J70" i="26"/>
  <c r="I70" i="26"/>
  <c r="F70" i="26"/>
  <c r="O69" i="26"/>
  <c r="N69" i="26"/>
  <c r="P69" i="26" s="1"/>
  <c r="J69" i="26"/>
  <c r="I69" i="26"/>
  <c r="K69" i="26" s="1"/>
  <c r="O68" i="26"/>
  <c r="N68" i="26"/>
  <c r="P68" i="26" s="1"/>
  <c r="J68" i="26"/>
  <c r="I68" i="26"/>
  <c r="K68" i="26" s="1"/>
  <c r="F68" i="26"/>
  <c r="O67" i="26"/>
  <c r="N67" i="26"/>
  <c r="P67" i="26" s="1"/>
  <c r="J67" i="26"/>
  <c r="I67" i="26"/>
  <c r="F67" i="26"/>
  <c r="O66" i="26"/>
  <c r="N66" i="26"/>
  <c r="P66" i="26" s="1"/>
  <c r="J66" i="26"/>
  <c r="I66" i="26"/>
  <c r="F66" i="26"/>
  <c r="O65" i="26"/>
  <c r="N65" i="26"/>
  <c r="P65" i="26" s="1"/>
  <c r="J65" i="26"/>
  <c r="I65" i="26"/>
  <c r="O64" i="26"/>
  <c r="N64" i="26"/>
  <c r="P64" i="26" s="1"/>
  <c r="J64" i="26"/>
  <c r="I64" i="26"/>
  <c r="K64" i="26" s="1"/>
  <c r="O63" i="26"/>
  <c r="N63" i="26"/>
  <c r="P63" i="26" s="1"/>
  <c r="J63" i="26"/>
  <c r="I63" i="26"/>
  <c r="K63" i="26" s="1"/>
  <c r="F63" i="26"/>
  <c r="O62" i="26"/>
  <c r="N62" i="26"/>
  <c r="P62" i="26" s="1"/>
  <c r="J62" i="26"/>
  <c r="I62" i="26"/>
  <c r="F62" i="26"/>
  <c r="O61" i="26"/>
  <c r="N61" i="26"/>
  <c r="P61" i="26" s="1"/>
  <c r="J61" i="26"/>
  <c r="I61" i="26"/>
  <c r="K61" i="26" s="1"/>
  <c r="F61" i="26"/>
  <c r="O60" i="26"/>
  <c r="N60" i="26"/>
  <c r="P60" i="26" s="1"/>
  <c r="J60" i="26"/>
  <c r="I60" i="26"/>
  <c r="O59" i="26"/>
  <c r="N59" i="26"/>
  <c r="P59" i="26" s="1"/>
  <c r="J59" i="26"/>
  <c r="I59" i="26"/>
  <c r="K59" i="26" s="1"/>
  <c r="O58" i="26"/>
  <c r="N58" i="26"/>
  <c r="P58" i="26" s="1"/>
  <c r="J58" i="26"/>
  <c r="I58" i="26"/>
  <c r="K58" i="26" s="1"/>
  <c r="F58" i="26"/>
  <c r="O57" i="26"/>
  <c r="N57" i="26"/>
  <c r="P57" i="26" s="1"/>
  <c r="J57" i="26"/>
  <c r="I57" i="26"/>
  <c r="O56" i="26"/>
  <c r="N56" i="26"/>
  <c r="P56" i="26" s="1"/>
  <c r="J56" i="26"/>
  <c r="I56" i="26"/>
  <c r="K56" i="26" s="1"/>
  <c r="O55" i="26"/>
  <c r="N55" i="26"/>
  <c r="P55" i="26" s="1"/>
  <c r="J55" i="26"/>
  <c r="I55" i="26"/>
  <c r="K55" i="26" s="1"/>
  <c r="F55" i="26"/>
  <c r="O54" i="26"/>
  <c r="N54" i="26"/>
  <c r="P54" i="26" s="1"/>
  <c r="J54" i="26"/>
  <c r="I54" i="26"/>
  <c r="F54" i="26"/>
  <c r="O53" i="26"/>
  <c r="N53" i="26"/>
  <c r="P53" i="26" s="1"/>
  <c r="J53" i="26"/>
  <c r="I53" i="26"/>
  <c r="K53" i="26" s="1"/>
  <c r="F53" i="26"/>
  <c r="O52" i="26"/>
  <c r="N52" i="26"/>
  <c r="P52" i="26" s="1"/>
  <c r="J52" i="26"/>
  <c r="I52" i="26"/>
  <c r="F52" i="26"/>
  <c r="O51" i="26"/>
  <c r="N51" i="26"/>
  <c r="P51" i="26" s="1"/>
  <c r="J51" i="26"/>
  <c r="I51" i="26"/>
  <c r="F51" i="26"/>
  <c r="J50" i="26"/>
  <c r="I50" i="26"/>
  <c r="K50" i="26" s="1"/>
  <c r="F50" i="26"/>
  <c r="O49" i="26"/>
  <c r="N49" i="26"/>
  <c r="P49" i="26" s="1"/>
  <c r="J49" i="26"/>
  <c r="I49" i="26"/>
  <c r="K49" i="26" s="1"/>
  <c r="F49" i="26"/>
  <c r="O48" i="26"/>
  <c r="N48" i="26"/>
  <c r="P48" i="26" s="1"/>
  <c r="J48" i="26"/>
  <c r="I48" i="26"/>
  <c r="K48" i="26" s="1"/>
  <c r="F48" i="26"/>
  <c r="O47" i="26"/>
  <c r="N47" i="26"/>
  <c r="P47" i="26" s="1"/>
  <c r="J47" i="26"/>
  <c r="I47" i="26"/>
  <c r="K47" i="26" s="1"/>
  <c r="F47" i="26"/>
  <c r="O46" i="26"/>
  <c r="N46" i="26"/>
  <c r="P46" i="26" s="1"/>
  <c r="J46" i="26"/>
  <c r="I46" i="26"/>
  <c r="K46" i="26" s="1"/>
  <c r="O45" i="26"/>
  <c r="N45" i="26"/>
  <c r="P45" i="26" s="1"/>
  <c r="J45" i="26"/>
  <c r="I45" i="26"/>
  <c r="K45" i="26" s="1"/>
  <c r="F45" i="26"/>
  <c r="O44" i="26"/>
  <c r="N44" i="26"/>
  <c r="P44" i="26" s="1"/>
  <c r="J44" i="26"/>
  <c r="I44" i="26"/>
  <c r="O43" i="26"/>
  <c r="N43" i="26"/>
  <c r="P43" i="26" s="1"/>
  <c r="J43" i="26"/>
  <c r="I43" i="26"/>
  <c r="F43" i="26"/>
  <c r="O42" i="26"/>
  <c r="N42" i="26"/>
  <c r="P42" i="26" s="1"/>
  <c r="J42" i="26"/>
  <c r="I42" i="26"/>
  <c r="F42" i="26"/>
  <c r="O41" i="26"/>
  <c r="N41" i="26"/>
  <c r="P41" i="26" s="1"/>
  <c r="J41" i="26"/>
  <c r="I41" i="26"/>
  <c r="K41" i="26" s="1"/>
  <c r="F41" i="26"/>
  <c r="O40" i="26"/>
  <c r="N40" i="26"/>
  <c r="P40" i="26" s="1"/>
  <c r="J40" i="26"/>
  <c r="I40" i="26"/>
  <c r="K40" i="26" s="1"/>
  <c r="F40" i="26"/>
  <c r="O39" i="26"/>
  <c r="N39" i="26"/>
  <c r="P39" i="26" s="1"/>
  <c r="J39" i="26"/>
  <c r="I39" i="26"/>
  <c r="F39" i="26"/>
  <c r="O38" i="26"/>
  <c r="N38" i="26"/>
  <c r="P38" i="26" s="1"/>
  <c r="J38" i="26"/>
  <c r="I38" i="26"/>
  <c r="F38" i="26"/>
  <c r="O37" i="26"/>
  <c r="N37" i="26"/>
  <c r="P37" i="26" s="1"/>
  <c r="J37" i="26"/>
  <c r="I37" i="26"/>
  <c r="K37" i="26" s="1"/>
  <c r="F37" i="26"/>
  <c r="O36" i="26"/>
  <c r="N36" i="26"/>
  <c r="P36" i="26" s="1"/>
  <c r="J36" i="26"/>
  <c r="I36" i="26"/>
  <c r="K36" i="26" s="1"/>
  <c r="F36" i="26"/>
  <c r="O35" i="26"/>
  <c r="N35" i="26"/>
  <c r="P35" i="26" s="1"/>
  <c r="J35" i="26"/>
  <c r="I35" i="26"/>
  <c r="F35" i="26"/>
  <c r="O34" i="26"/>
  <c r="N34" i="26"/>
  <c r="P34" i="26" s="1"/>
  <c r="J34" i="26"/>
  <c r="I34" i="26"/>
  <c r="F34" i="26"/>
  <c r="O33" i="26"/>
  <c r="N33" i="26"/>
  <c r="P33" i="26" s="1"/>
  <c r="J33" i="26"/>
  <c r="I33" i="26"/>
  <c r="K33" i="26" s="1"/>
  <c r="F33" i="26"/>
  <c r="O32" i="26"/>
  <c r="N32" i="26"/>
  <c r="P32" i="26" s="1"/>
  <c r="J32" i="26"/>
  <c r="I32" i="26"/>
  <c r="K32" i="26" s="1"/>
  <c r="F32" i="26"/>
  <c r="O31" i="26"/>
  <c r="N31" i="26"/>
  <c r="P31" i="26" s="1"/>
  <c r="J31" i="26"/>
  <c r="I31" i="26"/>
  <c r="F31" i="26"/>
  <c r="O30" i="26"/>
  <c r="N30" i="26"/>
  <c r="P30" i="26" s="1"/>
  <c r="J30" i="26"/>
  <c r="I30" i="26"/>
  <c r="F30" i="26"/>
  <c r="O29" i="26"/>
  <c r="N29" i="26"/>
  <c r="P29" i="26" s="1"/>
  <c r="J29" i="26"/>
  <c r="I29" i="26"/>
  <c r="K29" i="26" s="1"/>
  <c r="F29" i="26"/>
  <c r="O28" i="26"/>
  <c r="N28" i="26"/>
  <c r="P28" i="26" s="1"/>
  <c r="J28" i="26"/>
  <c r="I28" i="26"/>
  <c r="K28" i="26" s="1"/>
  <c r="F28" i="26"/>
  <c r="O27" i="26"/>
  <c r="N27" i="26"/>
  <c r="P27" i="26" s="1"/>
  <c r="J27" i="26"/>
  <c r="I27" i="26"/>
  <c r="F27" i="26"/>
  <c r="O26" i="26"/>
  <c r="N26" i="26"/>
  <c r="P26" i="26" s="1"/>
  <c r="J26" i="26"/>
  <c r="I26" i="26"/>
  <c r="F26" i="26"/>
  <c r="O25" i="26"/>
  <c r="N25" i="26"/>
  <c r="P25" i="26" s="1"/>
  <c r="J25" i="26"/>
  <c r="I25" i="26"/>
  <c r="K25" i="26" s="1"/>
  <c r="F25" i="26"/>
  <c r="O24" i="26"/>
  <c r="N24" i="26"/>
  <c r="P24" i="26" s="1"/>
  <c r="J24" i="26"/>
  <c r="I24" i="26"/>
  <c r="K24" i="26" s="1"/>
  <c r="F24" i="26"/>
  <c r="O23" i="26"/>
  <c r="N23" i="26"/>
  <c r="P23" i="26" s="1"/>
  <c r="J23" i="26"/>
  <c r="I23" i="26"/>
  <c r="F23" i="26"/>
  <c r="O22" i="26"/>
  <c r="N22" i="26"/>
  <c r="P22" i="26" s="1"/>
  <c r="J22" i="26"/>
  <c r="I22" i="26"/>
  <c r="F22" i="26"/>
  <c r="O21" i="26"/>
  <c r="N21" i="26"/>
  <c r="P21" i="26" s="1"/>
  <c r="J21" i="26"/>
  <c r="I21" i="26"/>
  <c r="K21" i="26" s="1"/>
  <c r="F21" i="26"/>
  <c r="O20" i="26"/>
  <c r="N20" i="26"/>
  <c r="P20" i="26" s="1"/>
  <c r="J20" i="26"/>
  <c r="I20" i="26"/>
  <c r="K20" i="26" s="1"/>
  <c r="F20" i="26"/>
  <c r="O19" i="26"/>
  <c r="N19" i="26"/>
  <c r="P19" i="26" s="1"/>
  <c r="J19" i="26"/>
  <c r="I19" i="26"/>
  <c r="F19" i="26"/>
  <c r="O18" i="26"/>
  <c r="N18" i="26"/>
  <c r="P18" i="26" s="1"/>
  <c r="J18" i="26"/>
  <c r="I18" i="26"/>
  <c r="F18" i="26"/>
  <c r="O17" i="26"/>
  <c r="N17" i="26"/>
  <c r="P17" i="26" s="1"/>
  <c r="J17" i="26"/>
  <c r="I17" i="26"/>
  <c r="K17" i="26" s="1"/>
  <c r="F17" i="26"/>
  <c r="O16" i="26"/>
  <c r="N16" i="26"/>
  <c r="P16" i="26" s="1"/>
  <c r="J16" i="26"/>
  <c r="I16" i="26"/>
  <c r="K16" i="26" s="1"/>
  <c r="F16" i="26"/>
  <c r="O15" i="26"/>
  <c r="N15" i="26"/>
  <c r="P15" i="26" s="1"/>
  <c r="J15" i="26"/>
  <c r="I15" i="26"/>
  <c r="F15" i="26"/>
  <c r="O14" i="26"/>
  <c r="N14" i="26"/>
  <c r="P14" i="26" s="1"/>
  <c r="J14" i="26"/>
  <c r="I14" i="26"/>
  <c r="F14" i="26"/>
  <c r="O13" i="26"/>
  <c r="N13" i="26"/>
  <c r="P13" i="26" s="1"/>
  <c r="J13" i="26"/>
  <c r="I13" i="26"/>
  <c r="K13" i="26" s="1"/>
  <c r="F13" i="26"/>
  <c r="O12" i="26"/>
  <c r="N12" i="26"/>
  <c r="P12" i="26" s="1"/>
  <c r="J12" i="26"/>
  <c r="I12" i="26"/>
  <c r="K12" i="26" s="1"/>
  <c r="F12" i="26"/>
  <c r="O11" i="26"/>
  <c r="N11" i="26"/>
  <c r="P11" i="26" s="1"/>
  <c r="J11" i="26"/>
  <c r="I11" i="26"/>
  <c r="F11" i="26"/>
  <c r="O10" i="26"/>
  <c r="N10" i="26"/>
  <c r="P10" i="26" s="1"/>
  <c r="J10" i="26"/>
  <c r="I10" i="26"/>
  <c r="F10" i="26"/>
  <c r="O9" i="26"/>
  <c r="N9" i="26"/>
  <c r="P9" i="26" s="1"/>
  <c r="J9" i="26"/>
  <c r="I9" i="26"/>
  <c r="K9" i="26" s="1"/>
  <c r="F9" i="26"/>
  <c r="O8" i="26"/>
  <c r="N8" i="26"/>
  <c r="P8" i="26" s="1"/>
  <c r="J8" i="26"/>
  <c r="I8" i="26"/>
  <c r="K8" i="26" s="1"/>
  <c r="F8" i="26"/>
  <c r="O7" i="26"/>
  <c r="N7" i="26"/>
  <c r="P7" i="26" s="1"/>
  <c r="J7" i="26"/>
  <c r="I7" i="26"/>
  <c r="F7" i="26"/>
  <c r="O6" i="26"/>
  <c r="N6" i="26"/>
  <c r="P6" i="26" s="1"/>
  <c r="J6" i="26"/>
  <c r="I6" i="26"/>
  <c r="F6" i="26"/>
  <c r="O5" i="26"/>
  <c r="N5" i="26"/>
  <c r="P5" i="26" s="1"/>
  <c r="J5" i="26"/>
  <c r="I5" i="26"/>
  <c r="K5" i="26" s="1"/>
  <c r="F5" i="26"/>
  <c r="F156" i="26" l="1"/>
  <c r="J156" i="26"/>
  <c r="L154" i="26"/>
  <c r="L153" i="26"/>
  <c r="L164" i="26"/>
  <c r="P156" i="26"/>
  <c r="L149" i="26"/>
  <c r="L150" i="26"/>
  <c r="L151" i="26"/>
  <c r="L152" i="26"/>
  <c r="K155" i="26"/>
  <c r="K154" i="26"/>
  <c r="O156" i="26"/>
  <c r="I156" i="26"/>
  <c r="L66" i="26"/>
  <c r="L15" i="26"/>
  <c r="L31" i="26"/>
  <c r="L67" i="26"/>
  <c r="L142" i="26"/>
  <c r="L7" i="26"/>
  <c r="L23" i="26"/>
  <c r="L39" i="26"/>
  <c r="L60" i="26"/>
  <c r="L62" i="26"/>
  <c r="K66" i="26"/>
  <c r="K67" i="26"/>
  <c r="L70" i="26"/>
  <c r="L86" i="26"/>
  <c r="L105" i="26"/>
  <c r="L115" i="26"/>
  <c r="L11" i="26"/>
  <c r="L19" i="26"/>
  <c r="L27" i="26"/>
  <c r="L35" i="26"/>
  <c r="L43" i="26"/>
  <c r="L111" i="26"/>
  <c r="L104" i="26"/>
  <c r="K105" i="26"/>
  <c r="L72" i="26"/>
  <c r="L127" i="26"/>
  <c r="L8" i="26"/>
  <c r="L12" i="26"/>
  <c r="L16" i="26"/>
  <c r="L20" i="26"/>
  <c r="L24" i="26"/>
  <c r="L28" i="26"/>
  <c r="L32" i="26"/>
  <c r="L36" i="26"/>
  <c r="L40" i="26"/>
  <c r="L59" i="26"/>
  <c r="L68" i="26"/>
  <c r="L82" i="26"/>
  <c r="L94" i="26"/>
  <c r="L109" i="26"/>
  <c r="L113" i="26"/>
  <c r="L125" i="26"/>
  <c r="K142" i="26"/>
  <c r="L145" i="26"/>
  <c r="L49" i="26"/>
  <c r="L80" i="26"/>
  <c r="L88" i="26"/>
  <c r="L92" i="26"/>
  <c r="L132" i="26"/>
  <c r="L133" i="26"/>
  <c r="L136" i="26"/>
  <c r="L141" i="26"/>
  <c r="L74" i="26"/>
  <c r="K133" i="26"/>
  <c r="L18" i="26"/>
  <c r="L38" i="26"/>
  <c r="L5" i="26"/>
  <c r="K7" i="26"/>
  <c r="L9" i="26"/>
  <c r="K11" i="26"/>
  <c r="L13" i="26"/>
  <c r="K15" i="26"/>
  <c r="L17" i="26"/>
  <c r="K19" i="26"/>
  <c r="L21" i="26"/>
  <c r="K23" i="26"/>
  <c r="L25" i="26"/>
  <c r="K27" i="26"/>
  <c r="L29" i="26"/>
  <c r="K31" i="26"/>
  <c r="L33" i="26"/>
  <c r="K35" i="26"/>
  <c r="L37" i="26"/>
  <c r="K39" i="26"/>
  <c r="L41" i="26"/>
  <c r="K43" i="26"/>
  <c r="L47" i="26"/>
  <c r="L65" i="26"/>
  <c r="K70" i="26"/>
  <c r="L78" i="26"/>
  <c r="L97" i="26"/>
  <c r="L102" i="26"/>
  <c r="K104" i="26"/>
  <c r="L106" i="26"/>
  <c r="L131" i="26"/>
  <c r="L139" i="26"/>
  <c r="L143" i="26"/>
  <c r="L6" i="26"/>
  <c r="L10" i="26"/>
  <c r="L14" i="26"/>
  <c r="L22" i="26"/>
  <c r="L26" i="26"/>
  <c r="L30" i="26"/>
  <c r="L34" i="26"/>
  <c r="L42" i="26"/>
  <c r="L103" i="26"/>
  <c r="L107" i="26"/>
  <c r="K6" i="26"/>
  <c r="K10" i="26"/>
  <c r="K14" i="26"/>
  <c r="K18" i="26"/>
  <c r="K22" i="26"/>
  <c r="K26" i="26"/>
  <c r="K30" i="26"/>
  <c r="K34" i="26"/>
  <c r="K38" i="26"/>
  <c r="K42" i="26"/>
  <c r="L64" i="26"/>
  <c r="L76" i="26"/>
  <c r="L84" i="26"/>
  <c r="L87" i="26"/>
  <c r="L90" i="26"/>
  <c r="K103" i="26"/>
  <c r="K107" i="26"/>
  <c r="L114" i="26"/>
  <c r="L116" i="26"/>
  <c r="L122" i="26"/>
  <c r="L129" i="26"/>
  <c r="L138" i="26"/>
  <c r="L52" i="26"/>
  <c r="L57" i="26"/>
  <c r="L120" i="26"/>
  <c r="L124" i="26"/>
  <c r="K131" i="26"/>
  <c r="K132" i="26"/>
  <c r="K139" i="26"/>
  <c r="L44" i="26"/>
  <c r="L46" i="26"/>
  <c r="L48" i="26"/>
  <c r="L50" i="26"/>
  <c r="L51" i="26"/>
  <c r="L54" i="26"/>
  <c r="L56" i="26"/>
  <c r="K60" i="26"/>
  <c r="K65" i="26"/>
  <c r="L98" i="26"/>
  <c r="L99" i="26"/>
  <c r="L110" i="26"/>
  <c r="L118" i="26"/>
  <c r="L126" i="26"/>
  <c r="L128" i="26"/>
  <c r="L135" i="26"/>
  <c r="L137" i="26"/>
  <c r="K143" i="26"/>
  <c r="L146" i="26"/>
  <c r="K52" i="26"/>
  <c r="K57" i="26"/>
  <c r="L71" i="26"/>
  <c r="L73" i="26"/>
  <c r="L75" i="26"/>
  <c r="L77" i="26"/>
  <c r="L79" i="26"/>
  <c r="L81" i="26"/>
  <c r="L83" i="26"/>
  <c r="L95" i="26"/>
  <c r="L101" i="26"/>
  <c r="K120" i="26"/>
  <c r="K124" i="26"/>
  <c r="L53" i="26"/>
  <c r="L58" i="26"/>
  <c r="L61" i="26"/>
  <c r="L91" i="26"/>
  <c r="L96" i="26"/>
  <c r="L100" i="26"/>
  <c r="L108" i="26"/>
  <c r="L112" i="26"/>
  <c r="L117" i="26"/>
  <c r="L121" i="26"/>
  <c r="L130" i="26"/>
  <c r="L134" i="26"/>
  <c r="L140" i="26"/>
  <c r="L144" i="26"/>
  <c r="K44" i="26"/>
  <c r="K51" i="26"/>
  <c r="K54" i="26"/>
  <c r="K62" i="26"/>
  <c r="K88" i="26"/>
  <c r="K92" i="26"/>
  <c r="K101" i="26"/>
  <c r="K109" i="26"/>
  <c r="K113" i="26"/>
  <c r="K118" i="26"/>
  <c r="K122" i="26"/>
  <c r="L45" i="26"/>
  <c r="L55" i="26"/>
  <c r="L63" i="26"/>
  <c r="L69" i="26"/>
  <c r="L85" i="26"/>
  <c r="L89" i="26"/>
  <c r="L93" i="26"/>
  <c r="L119" i="26"/>
  <c r="K121" i="26"/>
  <c r="L123" i="26"/>
  <c r="K130" i="26"/>
  <c r="K134" i="26"/>
  <c r="K140" i="26"/>
  <c r="K144" i="26"/>
  <c r="O163" i="26"/>
  <c r="N163" i="26"/>
  <c r="P163" i="26" s="1"/>
  <c r="J163" i="26"/>
  <c r="I163" i="26"/>
  <c r="K163" i="26" s="1"/>
  <c r="O162" i="26"/>
  <c r="N162" i="26"/>
  <c r="P162" i="26" s="1"/>
  <c r="J162" i="26"/>
  <c r="I162" i="26"/>
  <c r="K162" i="26" s="1"/>
  <c r="F162" i="26"/>
  <c r="O161" i="26"/>
  <c r="N161" i="26"/>
  <c r="P161" i="26" s="1"/>
  <c r="J161" i="26"/>
  <c r="I161" i="26"/>
  <c r="K161" i="26" s="1"/>
  <c r="F161" i="26"/>
  <c r="O160" i="26"/>
  <c r="N160" i="26"/>
  <c r="P160" i="26" s="1"/>
  <c r="J160" i="26"/>
  <c r="I160" i="26"/>
  <c r="K160" i="26" s="1"/>
  <c r="F160" i="26"/>
  <c r="O159" i="26"/>
  <c r="N159" i="26"/>
  <c r="P159" i="26" s="1"/>
  <c r="J159" i="26"/>
  <c r="I159" i="26"/>
  <c r="F159" i="26"/>
  <c r="K156" i="26" l="1"/>
  <c r="L156" i="26"/>
  <c r="L163" i="26"/>
  <c r="L162" i="26"/>
  <c r="L159" i="26"/>
  <c r="L161" i="26"/>
  <c r="L160" i="26"/>
  <c r="K159" i="26"/>
  <c r="H188" i="26" l="1"/>
  <c r="E188" i="26"/>
  <c r="D188" i="26"/>
  <c r="O187" i="26"/>
  <c r="N187" i="26"/>
  <c r="P187" i="26" s="1"/>
  <c r="J187" i="26"/>
  <c r="I187" i="26"/>
  <c r="F187" i="26"/>
  <c r="O186" i="26"/>
  <c r="N186" i="26"/>
  <c r="P186" i="26" s="1"/>
  <c r="J186" i="26"/>
  <c r="I186" i="26"/>
  <c r="O185" i="26"/>
  <c r="N185" i="26"/>
  <c r="P185" i="26" s="1"/>
  <c r="J185" i="26"/>
  <c r="I185" i="26"/>
  <c r="K185" i="26" s="1"/>
  <c r="F185" i="26"/>
  <c r="O184" i="26"/>
  <c r="N184" i="26"/>
  <c r="P184" i="26" s="1"/>
  <c r="J184" i="26"/>
  <c r="I184" i="26"/>
  <c r="K184" i="26" s="1"/>
  <c r="F184" i="26"/>
  <c r="O183" i="26"/>
  <c r="N183" i="26"/>
  <c r="P183" i="26" s="1"/>
  <c r="J183" i="26"/>
  <c r="I183" i="26"/>
  <c r="O182" i="26"/>
  <c r="N182" i="26"/>
  <c r="P182" i="26" s="1"/>
  <c r="J182" i="26"/>
  <c r="I182" i="26"/>
  <c r="F182" i="26"/>
  <c r="O181" i="26"/>
  <c r="N181" i="26"/>
  <c r="P181" i="26" s="1"/>
  <c r="J181" i="26"/>
  <c r="I181" i="26"/>
  <c r="F181" i="26"/>
  <c r="O180" i="26"/>
  <c r="N180" i="26"/>
  <c r="P180" i="26" s="1"/>
  <c r="J180" i="26"/>
  <c r="I180" i="26"/>
  <c r="F180" i="26"/>
  <c r="O179" i="26"/>
  <c r="N179" i="26"/>
  <c r="P179" i="26" s="1"/>
  <c r="J179" i="26"/>
  <c r="I179" i="26"/>
  <c r="F179" i="26"/>
  <c r="O178" i="26"/>
  <c r="N178" i="26"/>
  <c r="P178" i="26" s="1"/>
  <c r="J178" i="26"/>
  <c r="I178" i="26"/>
  <c r="F178" i="26"/>
  <c r="O177" i="26"/>
  <c r="N177" i="26"/>
  <c r="P177" i="26" s="1"/>
  <c r="J177" i="26"/>
  <c r="I177" i="26"/>
  <c r="F177" i="26"/>
  <c r="O176" i="26"/>
  <c r="N176" i="26"/>
  <c r="P176" i="26" s="1"/>
  <c r="J176" i="26"/>
  <c r="I176" i="26"/>
  <c r="F176" i="26"/>
  <c r="O175" i="26"/>
  <c r="N175" i="26"/>
  <c r="P175" i="26" s="1"/>
  <c r="J175" i="26"/>
  <c r="I175" i="26"/>
  <c r="F175" i="26"/>
  <c r="O174" i="26"/>
  <c r="N174" i="26"/>
  <c r="P174" i="26" s="1"/>
  <c r="J174" i="26"/>
  <c r="I174" i="26"/>
  <c r="F174" i="26"/>
  <c r="O173" i="26"/>
  <c r="N173" i="26"/>
  <c r="P173" i="26" s="1"/>
  <c r="J173" i="26"/>
  <c r="I173" i="26"/>
  <c r="F173" i="26"/>
  <c r="O172" i="26"/>
  <c r="N172" i="26"/>
  <c r="P172" i="26" s="1"/>
  <c r="J172" i="26"/>
  <c r="I172" i="26"/>
  <c r="K172" i="26" s="1"/>
  <c r="F172" i="26"/>
  <c r="O171" i="26"/>
  <c r="N171" i="26"/>
  <c r="P171" i="26" s="1"/>
  <c r="J171" i="26"/>
  <c r="I171" i="26"/>
  <c r="K171" i="26" s="1"/>
  <c r="F171" i="26"/>
  <c r="O170" i="26"/>
  <c r="N170" i="26"/>
  <c r="P170" i="26" s="1"/>
  <c r="J170" i="26"/>
  <c r="I170" i="26"/>
  <c r="F170" i="26"/>
  <c r="O169" i="26"/>
  <c r="N169" i="26"/>
  <c r="P169" i="26" s="1"/>
  <c r="J169" i="26"/>
  <c r="I169" i="26"/>
  <c r="K169" i="26" s="1"/>
  <c r="F169" i="26"/>
  <c r="L174" i="26" l="1"/>
  <c r="L182" i="26"/>
  <c r="L183" i="26"/>
  <c r="L170" i="26"/>
  <c r="L173" i="26"/>
  <c r="L177" i="26"/>
  <c r="L172" i="26"/>
  <c r="F188" i="26"/>
  <c r="L176" i="26"/>
  <c r="L181" i="26"/>
  <c r="K170" i="26"/>
  <c r="L175" i="26"/>
  <c r="L179" i="26"/>
  <c r="L171" i="26"/>
  <c r="L180" i="26"/>
  <c r="L169" i="26"/>
  <c r="L178" i="26"/>
  <c r="L185" i="26"/>
  <c r="P188" i="26"/>
  <c r="K173" i="26"/>
  <c r="K174" i="26"/>
  <c r="K175" i="26"/>
  <c r="K176" i="26"/>
  <c r="K177" i="26"/>
  <c r="K178" i="26"/>
  <c r="K179" i="26"/>
  <c r="K180" i="26"/>
  <c r="K181" i="26"/>
  <c r="K182" i="26"/>
  <c r="J188" i="26"/>
  <c r="L187" i="26"/>
  <c r="K187" i="26"/>
  <c r="L186" i="26"/>
  <c r="K186" i="26"/>
  <c r="O188" i="26"/>
  <c r="I188" i="26"/>
  <c r="K183" i="26"/>
  <c r="L184" i="26"/>
  <c r="K185" i="25"/>
  <c r="J185" i="25"/>
  <c r="I185" i="25"/>
  <c r="H185" i="25"/>
  <c r="F185" i="25"/>
  <c r="E185" i="25"/>
  <c r="D185" i="25"/>
  <c r="K184" i="25"/>
  <c r="N184" i="25"/>
  <c r="P184" i="25" s="1"/>
  <c r="P185" i="25" s="1"/>
  <c r="L184" i="25"/>
  <c r="L185" i="25"/>
  <c r="O184" i="25"/>
  <c r="O185" i="25"/>
  <c r="J184" i="25"/>
  <c r="I184" i="25"/>
  <c r="F184" i="25"/>
  <c r="O158" i="25"/>
  <c r="N158" i="25"/>
  <c r="L158" i="25" s="1"/>
  <c r="K158" i="25"/>
  <c r="J158" i="25"/>
  <c r="I158" i="25"/>
  <c r="F158" i="25"/>
  <c r="L188" i="26" l="1"/>
  <c r="K188" i="26"/>
  <c r="P158" i="25"/>
  <c r="H153" i="25"/>
  <c r="E153" i="25"/>
  <c r="D153" i="25"/>
  <c r="K152" i="25"/>
  <c r="N152" i="25"/>
  <c r="P152" i="25" s="1"/>
  <c r="O152" i="25"/>
  <c r="J152" i="25"/>
  <c r="I152" i="25"/>
  <c r="L152" i="25" s="1"/>
  <c r="F152" i="25"/>
  <c r="N151" i="25"/>
  <c r="P151" i="25" s="1"/>
  <c r="O151" i="25"/>
  <c r="I151" i="25"/>
  <c r="L151" i="25" s="1"/>
  <c r="J151" i="25"/>
  <c r="N150" i="25"/>
  <c r="P150" i="25"/>
  <c r="O150" i="25"/>
  <c r="J150" i="25"/>
  <c r="I150" i="25"/>
  <c r="K150" i="25" s="1"/>
  <c r="F150" i="25"/>
  <c r="N149" i="25"/>
  <c r="L149" i="25"/>
  <c r="P149" i="25"/>
  <c r="O149" i="25"/>
  <c r="I149" i="25"/>
  <c r="K149" i="25" s="1"/>
  <c r="J149" i="25"/>
  <c r="K148" i="25"/>
  <c r="N148" i="25"/>
  <c r="P148" i="25"/>
  <c r="O148" i="25"/>
  <c r="J148" i="25"/>
  <c r="I148" i="25"/>
  <c r="L148" i="25" s="1"/>
  <c r="F148" i="25"/>
  <c r="K147" i="25"/>
  <c r="N147" i="25"/>
  <c r="P147" i="25" s="1"/>
  <c r="O147" i="25"/>
  <c r="J147" i="25"/>
  <c r="I147" i="25"/>
  <c r="L147" i="25" s="1"/>
  <c r="N146" i="25"/>
  <c r="P146" i="25" s="1"/>
  <c r="O146" i="25"/>
  <c r="J146" i="25"/>
  <c r="I146" i="25"/>
  <c r="L146" i="25" s="1"/>
  <c r="F146" i="25"/>
  <c r="N145" i="25"/>
  <c r="P145" i="25" s="1"/>
  <c r="O145" i="25"/>
  <c r="I145" i="25"/>
  <c r="L145" i="25" s="1"/>
  <c r="J145" i="25"/>
  <c r="N144" i="25"/>
  <c r="P144" i="25" s="1"/>
  <c r="L144" i="25"/>
  <c r="O144" i="25"/>
  <c r="J144" i="25"/>
  <c r="I144" i="25"/>
  <c r="K144" i="25" s="1"/>
  <c r="F144" i="25"/>
  <c r="L150" i="25" l="1"/>
  <c r="K151" i="25"/>
  <c r="K145" i="25"/>
  <c r="K146" i="25"/>
  <c r="O157" i="25"/>
  <c r="N157" i="25"/>
  <c r="P157" i="25" s="1"/>
  <c r="J157" i="25"/>
  <c r="I157" i="25"/>
  <c r="K157" i="25" s="1"/>
  <c r="F157" i="25"/>
  <c r="O156" i="25"/>
  <c r="N156" i="25"/>
  <c r="P156" i="25" s="1"/>
  <c r="J156" i="25"/>
  <c r="I156" i="25"/>
  <c r="K156" i="25" s="1"/>
  <c r="F156" i="25"/>
  <c r="L157" i="25" l="1"/>
  <c r="L156" i="25"/>
  <c r="O183" i="25" l="1"/>
  <c r="N183" i="25"/>
  <c r="P183" i="25" s="1"/>
  <c r="J183" i="25"/>
  <c r="I183" i="25"/>
  <c r="P182" i="25"/>
  <c r="O182" i="25"/>
  <c r="N182" i="25"/>
  <c r="K182" i="25"/>
  <c r="J182" i="25"/>
  <c r="I182" i="25"/>
  <c r="F182" i="25"/>
  <c r="P181" i="25"/>
  <c r="O181" i="25"/>
  <c r="N181" i="25"/>
  <c r="L181" i="25"/>
  <c r="K181" i="25"/>
  <c r="J181" i="25"/>
  <c r="I181" i="25"/>
  <c r="F181" i="25"/>
  <c r="P180" i="25"/>
  <c r="O180" i="25"/>
  <c r="N180" i="25"/>
  <c r="L180" i="25"/>
  <c r="K180" i="25"/>
  <c r="J180" i="25"/>
  <c r="I180" i="25"/>
  <c r="O179" i="25"/>
  <c r="N179" i="25"/>
  <c r="P179" i="25" s="1"/>
  <c r="J179" i="25"/>
  <c r="I179" i="25"/>
  <c r="F179" i="25"/>
  <c r="O178" i="25"/>
  <c r="N178" i="25"/>
  <c r="P178" i="25" s="1"/>
  <c r="J178" i="25"/>
  <c r="I178" i="25"/>
  <c r="K178" i="25" s="1"/>
  <c r="F178" i="25"/>
  <c r="O177" i="25"/>
  <c r="N177" i="25"/>
  <c r="P177" i="25" s="1"/>
  <c r="J177" i="25"/>
  <c r="I177" i="25"/>
  <c r="K177" i="25" s="1"/>
  <c r="F177" i="25"/>
  <c r="O176" i="25"/>
  <c r="N176" i="25"/>
  <c r="P176" i="25" s="1"/>
  <c r="J176" i="25"/>
  <c r="I176" i="25"/>
  <c r="K176" i="25" s="1"/>
  <c r="F176" i="25"/>
  <c r="O175" i="25"/>
  <c r="N175" i="25"/>
  <c r="P175" i="25" s="1"/>
  <c r="J175" i="25"/>
  <c r="I175" i="25"/>
  <c r="K175" i="25" s="1"/>
  <c r="F175" i="25"/>
  <c r="O174" i="25"/>
  <c r="N174" i="25"/>
  <c r="P174" i="25" s="1"/>
  <c r="J174" i="25"/>
  <c r="I174" i="25"/>
  <c r="K174" i="25" s="1"/>
  <c r="F174" i="25"/>
  <c r="O173" i="25"/>
  <c r="N173" i="25"/>
  <c r="P173" i="25" s="1"/>
  <c r="L173" i="25"/>
  <c r="J173" i="25"/>
  <c r="I173" i="25"/>
  <c r="K173" i="25" s="1"/>
  <c r="F173" i="25"/>
  <c r="O172" i="25"/>
  <c r="N172" i="25"/>
  <c r="P172" i="25" s="1"/>
  <c r="J172" i="25"/>
  <c r="I172" i="25"/>
  <c r="K172" i="25" s="1"/>
  <c r="F172" i="25"/>
  <c r="O171" i="25"/>
  <c r="N171" i="25"/>
  <c r="P171" i="25" s="1"/>
  <c r="L171" i="25"/>
  <c r="J171" i="25"/>
  <c r="I171" i="25"/>
  <c r="K171" i="25" s="1"/>
  <c r="F171" i="25"/>
  <c r="O170" i="25"/>
  <c r="N170" i="25"/>
  <c r="P170" i="25" s="1"/>
  <c r="J170" i="25"/>
  <c r="I170" i="25"/>
  <c r="K170" i="25" s="1"/>
  <c r="F170" i="25"/>
  <c r="O169" i="25"/>
  <c r="N169" i="25"/>
  <c r="P169" i="25" s="1"/>
  <c r="J169" i="25"/>
  <c r="I169" i="25"/>
  <c r="K169" i="25" s="1"/>
  <c r="F169" i="25"/>
  <c r="O168" i="25"/>
  <c r="N168" i="25"/>
  <c r="P168" i="25" s="1"/>
  <c r="J168" i="25"/>
  <c r="I168" i="25"/>
  <c r="K168" i="25" s="1"/>
  <c r="F168" i="25"/>
  <c r="O167" i="25"/>
  <c r="N167" i="25"/>
  <c r="P167" i="25" s="1"/>
  <c r="J167" i="25"/>
  <c r="I167" i="25"/>
  <c r="K167" i="25" s="1"/>
  <c r="F167" i="25"/>
  <c r="O166" i="25"/>
  <c r="N166" i="25"/>
  <c r="P166" i="25" s="1"/>
  <c r="J166" i="25"/>
  <c r="I166" i="25"/>
  <c r="K166" i="25" s="1"/>
  <c r="F166" i="25"/>
  <c r="O143" i="25"/>
  <c r="N143" i="25"/>
  <c r="P143" i="25" s="1"/>
  <c r="J143" i="25"/>
  <c r="I143" i="25"/>
  <c r="F143" i="25"/>
  <c r="O142" i="25"/>
  <c r="N142" i="25"/>
  <c r="P142" i="25" s="1"/>
  <c r="J142" i="25"/>
  <c r="I142" i="25"/>
  <c r="F142" i="25"/>
  <c r="O141" i="25"/>
  <c r="N141" i="25"/>
  <c r="P141" i="25" s="1"/>
  <c r="J141" i="25"/>
  <c r="I141" i="25"/>
  <c r="O140" i="25"/>
  <c r="N140" i="25"/>
  <c r="P140" i="25" s="1"/>
  <c r="J140" i="25"/>
  <c r="I140" i="25"/>
  <c r="F140" i="25"/>
  <c r="O139" i="25"/>
  <c r="N139" i="25"/>
  <c r="P139" i="25" s="1"/>
  <c r="J139" i="25"/>
  <c r="I139" i="25"/>
  <c r="L139" i="25" s="1"/>
  <c r="O138" i="25"/>
  <c r="N138" i="25"/>
  <c r="P138" i="25" s="1"/>
  <c r="J138" i="25"/>
  <c r="I138" i="25"/>
  <c r="K138" i="25" s="1"/>
  <c r="F138" i="25"/>
  <c r="O137" i="25"/>
  <c r="N137" i="25"/>
  <c r="P137" i="25" s="1"/>
  <c r="J137" i="25"/>
  <c r="I137" i="25"/>
  <c r="O136" i="25"/>
  <c r="N136" i="25"/>
  <c r="P136" i="25" s="1"/>
  <c r="J136" i="25"/>
  <c r="I136" i="25"/>
  <c r="O135" i="25"/>
  <c r="N135" i="25"/>
  <c r="P135" i="25" s="1"/>
  <c r="J135" i="25"/>
  <c r="I135" i="25"/>
  <c r="F135" i="25"/>
  <c r="O134" i="25"/>
  <c r="N134" i="25"/>
  <c r="P134" i="25" s="1"/>
  <c r="J134" i="25"/>
  <c r="I134" i="25"/>
  <c r="F134" i="25"/>
  <c r="O133" i="25"/>
  <c r="N133" i="25"/>
  <c r="P133" i="25" s="1"/>
  <c r="J133" i="25"/>
  <c r="I133" i="25"/>
  <c r="F133" i="25"/>
  <c r="O132" i="25"/>
  <c r="N132" i="25"/>
  <c r="P132" i="25" s="1"/>
  <c r="J132" i="25"/>
  <c r="I132" i="25"/>
  <c r="F132" i="25"/>
  <c r="O131" i="25"/>
  <c r="N131" i="25"/>
  <c r="P131" i="25" s="1"/>
  <c r="J131" i="25"/>
  <c r="I131" i="25"/>
  <c r="O130" i="25"/>
  <c r="N130" i="25"/>
  <c r="P130" i="25" s="1"/>
  <c r="J130" i="25"/>
  <c r="I130" i="25"/>
  <c r="F130" i="25"/>
  <c r="O129" i="25"/>
  <c r="N129" i="25"/>
  <c r="P129" i="25" s="1"/>
  <c r="J129" i="25"/>
  <c r="I129" i="25"/>
  <c r="F129" i="25"/>
  <c r="O128" i="25"/>
  <c r="N128" i="25"/>
  <c r="P128" i="25" s="1"/>
  <c r="J128" i="25"/>
  <c r="I128" i="25"/>
  <c r="F128" i="25"/>
  <c r="O127" i="25"/>
  <c r="N127" i="25"/>
  <c r="P127" i="25" s="1"/>
  <c r="J127" i="25"/>
  <c r="I127" i="25"/>
  <c r="F127" i="25"/>
  <c r="O126" i="25"/>
  <c r="N126" i="25"/>
  <c r="P126" i="25" s="1"/>
  <c r="J126" i="25"/>
  <c r="I126" i="25"/>
  <c r="F126" i="25"/>
  <c r="O125" i="25"/>
  <c r="N125" i="25"/>
  <c r="P125" i="25" s="1"/>
  <c r="J125" i="25"/>
  <c r="I125" i="25"/>
  <c r="F125" i="25"/>
  <c r="O124" i="25"/>
  <c r="N124" i="25"/>
  <c r="P124" i="25" s="1"/>
  <c r="J124" i="25"/>
  <c r="I124" i="25"/>
  <c r="F124" i="25"/>
  <c r="O123" i="25"/>
  <c r="N123" i="25"/>
  <c r="P123" i="25" s="1"/>
  <c r="J123" i="25"/>
  <c r="I123" i="25"/>
  <c r="O122" i="25"/>
  <c r="N122" i="25"/>
  <c r="P122" i="25" s="1"/>
  <c r="J122" i="25"/>
  <c r="I122" i="25"/>
  <c r="K122" i="25" s="1"/>
  <c r="F122" i="25"/>
  <c r="O121" i="25"/>
  <c r="N121" i="25"/>
  <c r="P121" i="25" s="1"/>
  <c r="J121" i="25"/>
  <c r="I121" i="25"/>
  <c r="K121" i="25" s="1"/>
  <c r="F121" i="25"/>
  <c r="O120" i="25"/>
  <c r="N120" i="25"/>
  <c r="P120" i="25" s="1"/>
  <c r="J120" i="25"/>
  <c r="I120" i="25"/>
  <c r="K120" i="25" s="1"/>
  <c r="O119" i="25"/>
  <c r="N119" i="25"/>
  <c r="P119" i="25" s="1"/>
  <c r="J119" i="25"/>
  <c r="I119" i="25"/>
  <c r="F119" i="25"/>
  <c r="O118" i="25"/>
  <c r="N118" i="25"/>
  <c r="P118" i="25" s="1"/>
  <c r="J118" i="25"/>
  <c r="I118" i="25"/>
  <c r="O117" i="25"/>
  <c r="N117" i="25"/>
  <c r="P117" i="25" s="1"/>
  <c r="J117" i="25"/>
  <c r="I117" i="25"/>
  <c r="F117" i="25"/>
  <c r="O116" i="25"/>
  <c r="N116" i="25"/>
  <c r="P116" i="25" s="1"/>
  <c r="J116" i="25"/>
  <c r="I116" i="25"/>
  <c r="O115" i="25"/>
  <c r="N115" i="25"/>
  <c r="P115" i="25" s="1"/>
  <c r="J115" i="25"/>
  <c r="I115" i="25"/>
  <c r="F115" i="25"/>
  <c r="O114" i="25"/>
  <c r="N114" i="25"/>
  <c r="P114" i="25" s="1"/>
  <c r="J114" i="25"/>
  <c r="I114" i="25"/>
  <c r="O113" i="25"/>
  <c r="N113" i="25"/>
  <c r="P113" i="25" s="1"/>
  <c r="J113" i="25"/>
  <c r="I113" i="25"/>
  <c r="K113" i="25" s="1"/>
  <c r="F113" i="25"/>
  <c r="O112" i="25"/>
  <c r="N112" i="25"/>
  <c r="P112" i="25" s="1"/>
  <c r="J112" i="25"/>
  <c r="I112" i="25"/>
  <c r="K112" i="25" s="1"/>
  <c r="F112" i="25"/>
  <c r="O111" i="25"/>
  <c r="N111" i="25"/>
  <c r="P111" i="25" s="1"/>
  <c r="J111" i="25"/>
  <c r="I111" i="25"/>
  <c r="K111" i="25" s="1"/>
  <c r="F111" i="25"/>
  <c r="O110" i="25"/>
  <c r="N110" i="25"/>
  <c r="P110" i="25" s="1"/>
  <c r="J110" i="25"/>
  <c r="I110" i="25"/>
  <c r="K110" i="25" s="1"/>
  <c r="F110" i="25"/>
  <c r="O109" i="25"/>
  <c r="N109" i="25"/>
  <c r="P109" i="25" s="1"/>
  <c r="J109" i="25"/>
  <c r="I109" i="25"/>
  <c r="K109" i="25" s="1"/>
  <c r="F109" i="25"/>
  <c r="O108" i="25"/>
  <c r="N108" i="25"/>
  <c r="P108" i="25" s="1"/>
  <c r="J108" i="25"/>
  <c r="I108" i="25"/>
  <c r="K108" i="25" s="1"/>
  <c r="O107" i="25"/>
  <c r="N107" i="25"/>
  <c r="P107" i="25" s="1"/>
  <c r="J107" i="25"/>
  <c r="I107" i="25"/>
  <c r="F107" i="25"/>
  <c r="O106" i="25"/>
  <c r="N106" i="25"/>
  <c r="P106" i="25" s="1"/>
  <c r="J106" i="25"/>
  <c r="I106" i="25"/>
  <c r="O105" i="25"/>
  <c r="N105" i="25"/>
  <c r="P105" i="25" s="1"/>
  <c r="J105" i="25"/>
  <c r="I105" i="25"/>
  <c r="O104" i="25"/>
  <c r="N104" i="25"/>
  <c r="P104" i="25" s="1"/>
  <c r="J104" i="25"/>
  <c r="I104" i="25"/>
  <c r="K104" i="25" s="1"/>
  <c r="O103" i="25"/>
  <c r="N103" i="25"/>
  <c r="P103" i="25" s="1"/>
  <c r="J103" i="25"/>
  <c r="I103" i="25"/>
  <c r="O102" i="25"/>
  <c r="N102" i="25"/>
  <c r="P102" i="25" s="1"/>
  <c r="J102" i="25"/>
  <c r="I102" i="25"/>
  <c r="O101" i="25"/>
  <c r="N101" i="25"/>
  <c r="P101" i="25" s="1"/>
  <c r="J101" i="25"/>
  <c r="I101" i="25"/>
  <c r="O100" i="25"/>
  <c r="N100" i="25"/>
  <c r="P100" i="25" s="1"/>
  <c r="J100" i="25"/>
  <c r="I100" i="25"/>
  <c r="K100" i="25" s="1"/>
  <c r="F100" i="25"/>
  <c r="O99" i="25"/>
  <c r="N99" i="25"/>
  <c r="P99" i="25" s="1"/>
  <c r="J99" i="25"/>
  <c r="I99" i="25"/>
  <c r="K99" i="25" s="1"/>
  <c r="F99" i="25"/>
  <c r="O98" i="25"/>
  <c r="N98" i="25"/>
  <c r="P98" i="25" s="1"/>
  <c r="J98" i="25"/>
  <c r="I98" i="25"/>
  <c r="F98" i="25"/>
  <c r="O97" i="25"/>
  <c r="N97" i="25"/>
  <c r="P97" i="25" s="1"/>
  <c r="J97" i="25"/>
  <c r="I97" i="25"/>
  <c r="F97" i="25"/>
  <c r="O96" i="25"/>
  <c r="N96" i="25"/>
  <c r="P96" i="25" s="1"/>
  <c r="J96" i="25"/>
  <c r="I96" i="25"/>
  <c r="K96" i="25" s="1"/>
  <c r="F96" i="25"/>
  <c r="O95" i="25"/>
  <c r="N95" i="25"/>
  <c r="P95" i="25" s="1"/>
  <c r="J95" i="25"/>
  <c r="I95" i="25"/>
  <c r="F95" i="25"/>
  <c r="O94" i="25"/>
  <c r="N94" i="25"/>
  <c r="P94" i="25" s="1"/>
  <c r="J94" i="25"/>
  <c r="I94" i="25"/>
  <c r="O93" i="25"/>
  <c r="N93" i="25"/>
  <c r="P93" i="25" s="1"/>
  <c r="J93" i="25"/>
  <c r="I93" i="25"/>
  <c r="F93" i="25"/>
  <c r="O92" i="25"/>
  <c r="N92" i="25"/>
  <c r="P92" i="25" s="1"/>
  <c r="J92" i="25"/>
  <c r="I92" i="25"/>
  <c r="F92" i="25"/>
  <c r="O91" i="25"/>
  <c r="N91" i="25"/>
  <c r="P91" i="25" s="1"/>
  <c r="J91" i="25"/>
  <c r="I91" i="25"/>
  <c r="O90" i="25"/>
  <c r="N90" i="25"/>
  <c r="P90" i="25" s="1"/>
  <c r="J90" i="25"/>
  <c r="I90" i="25"/>
  <c r="O89" i="25"/>
  <c r="N89" i="25"/>
  <c r="P89" i="25" s="1"/>
  <c r="J89" i="25"/>
  <c r="I89" i="25"/>
  <c r="F89" i="25"/>
  <c r="O88" i="25"/>
  <c r="N88" i="25"/>
  <c r="P88" i="25" s="1"/>
  <c r="J88" i="25"/>
  <c r="I88" i="25"/>
  <c r="F88" i="25"/>
  <c r="O87" i="25"/>
  <c r="N87" i="25"/>
  <c r="P87" i="25" s="1"/>
  <c r="J87" i="25"/>
  <c r="I87" i="25"/>
  <c r="F87" i="25"/>
  <c r="O86" i="25"/>
  <c r="N86" i="25"/>
  <c r="P86" i="25" s="1"/>
  <c r="J86" i="25"/>
  <c r="I86" i="25"/>
  <c r="F86" i="25"/>
  <c r="O85" i="25"/>
  <c r="N85" i="25"/>
  <c r="P85" i="25" s="1"/>
  <c r="J85" i="25"/>
  <c r="I85" i="25"/>
  <c r="F85" i="25"/>
  <c r="O84" i="25"/>
  <c r="N84" i="25"/>
  <c r="P84" i="25" s="1"/>
  <c r="J84" i="25"/>
  <c r="I84" i="25"/>
  <c r="F84" i="25"/>
  <c r="O83" i="25"/>
  <c r="N83" i="25"/>
  <c r="P83" i="25" s="1"/>
  <c r="J83" i="25"/>
  <c r="I83" i="25"/>
  <c r="F83" i="25"/>
  <c r="O82" i="25"/>
  <c r="N82" i="25"/>
  <c r="P82" i="25" s="1"/>
  <c r="J82" i="25"/>
  <c r="I82" i="25"/>
  <c r="F82" i="25"/>
  <c r="O81" i="25"/>
  <c r="N81" i="25"/>
  <c r="P81" i="25" s="1"/>
  <c r="J81" i="25"/>
  <c r="I81" i="25"/>
  <c r="F81" i="25"/>
  <c r="O80" i="25"/>
  <c r="N80" i="25"/>
  <c r="P80" i="25" s="1"/>
  <c r="J80" i="25"/>
  <c r="I80" i="25"/>
  <c r="F80" i="25"/>
  <c r="O79" i="25"/>
  <c r="N79" i="25"/>
  <c r="P79" i="25" s="1"/>
  <c r="J79" i="25"/>
  <c r="I79" i="25"/>
  <c r="F79" i="25"/>
  <c r="O78" i="25"/>
  <c r="N78" i="25"/>
  <c r="P78" i="25" s="1"/>
  <c r="J78" i="25"/>
  <c r="I78" i="25"/>
  <c r="F78" i="25"/>
  <c r="O77" i="25"/>
  <c r="N77" i="25"/>
  <c r="P77" i="25" s="1"/>
  <c r="J77" i="25"/>
  <c r="I77" i="25"/>
  <c r="F77" i="25"/>
  <c r="O76" i="25"/>
  <c r="N76" i="25"/>
  <c r="P76" i="25" s="1"/>
  <c r="J76" i="25"/>
  <c r="I76" i="25"/>
  <c r="O75" i="25"/>
  <c r="N75" i="25"/>
  <c r="P75" i="25" s="1"/>
  <c r="J75" i="25"/>
  <c r="I75" i="25"/>
  <c r="F75" i="25"/>
  <c r="O74" i="25"/>
  <c r="N74" i="25"/>
  <c r="P74" i="25" s="1"/>
  <c r="J74" i="25"/>
  <c r="I74" i="25"/>
  <c r="O73" i="25"/>
  <c r="N73" i="25"/>
  <c r="P73" i="25" s="1"/>
  <c r="J73" i="25"/>
  <c r="I73" i="25"/>
  <c r="K73" i="25" s="1"/>
  <c r="F73" i="25"/>
  <c r="O72" i="25"/>
  <c r="N72" i="25"/>
  <c r="P72" i="25" s="1"/>
  <c r="J72" i="25"/>
  <c r="I72" i="25"/>
  <c r="K72" i="25" s="1"/>
  <c r="F72" i="25"/>
  <c r="O71" i="25"/>
  <c r="N71" i="25"/>
  <c r="P71" i="25" s="1"/>
  <c r="J71" i="25"/>
  <c r="I71" i="25"/>
  <c r="K71" i="25" s="1"/>
  <c r="F71" i="25"/>
  <c r="O70" i="25"/>
  <c r="N70" i="25"/>
  <c r="P70" i="25" s="1"/>
  <c r="J70" i="25"/>
  <c r="I70" i="25"/>
  <c r="K70" i="25" s="1"/>
  <c r="O69" i="25"/>
  <c r="N69" i="25"/>
  <c r="P69" i="25" s="1"/>
  <c r="J69" i="25"/>
  <c r="I69" i="25"/>
  <c r="O68" i="25"/>
  <c r="N68" i="25"/>
  <c r="P68" i="25" s="1"/>
  <c r="J68" i="25"/>
  <c r="I68" i="25"/>
  <c r="O67" i="25"/>
  <c r="N67" i="25"/>
  <c r="P67" i="25" s="1"/>
  <c r="J67" i="25"/>
  <c r="I67" i="25"/>
  <c r="F67" i="25"/>
  <c r="O66" i="25"/>
  <c r="N66" i="25"/>
  <c r="P66" i="25" s="1"/>
  <c r="J66" i="25"/>
  <c r="I66" i="25"/>
  <c r="F66" i="25"/>
  <c r="O65" i="25"/>
  <c r="N65" i="25"/>
  <c r="P65" i="25" s="1"/>
  <c r="J65" i="25"/>
  <c r="I65" i="25"/>
  <c r="F65" i="25"/>
  <c r="P64" i="25"/>
  <c r="O64" i="25"/>
  <c r="N64" i="25"/>
  <c r="J64" i="25"/>
  <c r="I64" i="25"/>
  <c r="L64" i="25" s="1"/>
  <c r="O63" i="25"/>
  <c r="N63" i="25"/>
  <c r="P63" i="25" s="1"/>
  <c r="J63" i="25"/>
  <c r="I63" i="25"/>
  <c r="O62" i="25"/>
  <c r="N62" i="25"/>
  <c r="P62" i="25" s="1"/>
  <c r="J62" i="25"/>
  <c r="I62" i="25"/>
  <c r="F62" i="25"/>
  <c r="O61" i="25"/>
  <c r="N61" i="25"/>
  <c r="P61" i="25" s="1"/>
  <c r="J61" i="25"/>
  <c r="I61" i="25"/>
  <c r="O60" i="25"/>
  <c r="N60" i="25"/>
  <c r="P60" i="25" s="1"/>
  <c r="J60" i="25"/>
  <c r="I60" i="25"/>
  <c r="O59" i="25"/>
  <c r="N59" i="25"/>
  <c r="P59" i="25" s="1"/>
  <c r="J59" i="25"/>
  <c r="I59" i="25"/>
  <c r="F59" i="25"/>
  <c r="O58" i="25"/>
  <c r="N58" i="25"/>
  <c r="P58" i="25" s="1"/>
  <c r="J58" i="25"/>
  <c r="I58" i="25"/>
  <c r="K58" i="25" s="1"/>
  <c r="F58" i="25"/>
  <c r="O57" i="25"/>
  <c r="N57" i="25"/>
  <c r="P57" i="25" s="1"/>
  <c r="J57" i="25"/>
  <c r="I57" i="25"/>
  <c r="F57" i="25"/>
  <c r="O56" i="25"/>
  <c r="N56" i="25"/>
  <c r="P56" i="25" s="1"/>
  <c r="J56" i="25"/>
  <c r="I56" i="25"/>
  <c r="F56" i="25"/>
  <c r="O55" i="25"/>
  <c r="N55" i="25"/>
  <c r="P55" i="25" s="1"/>
  <c r="J55" i="25"/>
  <c r="I55" i="25"/>
  <c r="F55" i="25"/>
  <c r="O54" i="25"/>
  <c r="N54" i="25"/>
  <c r="P54" i="25" s="1"/>
  <c r="J54" i="25"/>
  <c r="I54" i="25"/>
  <c r="K54" i="25" s="1"/>
  <c r="F54" i="25"/>
  <c r="O53" i="25"/>
  <c r="N53" i="25"/>
  <c r="P53" i="25" s="1"/>
  <c r="J53" i="25"/>
  <c r="I53" i="25"/>
  <c r="F53" i="25"/>
  <c r="J52" i="25"/>
  <c r="I52" i="25"/>
  <c r="L52" i="25" s="1"/>
  <c r="F52" i="25"/>
  <c r="O51" i="25"/>
  <c r="N51" i="25"/>
  <c r="P51" i="25" s="1"/>
  <c r="J51" i="25"/>
  <c r="I51" i="25"/>
  <c r="F51" i="25"/>
  <c r="O50" i="25"/>
  <c r="N50" i="25"/>
  <c r="P50" i="25" s="1"/>
  <c r="J50" i="25"/>
  <c r="I50" i="25"/>
  <c r="F50" i="25"/>
  <c r="O49" i="25"/>
  <c r="N49" i="25"/>
  <c r="P49" i="25" s="1"/>
  <c r="J49" i="25"/>
  <c r="I49" i="25"/>
  <c r="F49" i="25"/>
  <c r="O48" i="25"/>
  <c r="N48" i="25"/>
  <c r="P48" i="25" s="1"/>
  <c r="J48" i="25"/>
  <c r="I48" i="25"/>
  <c r="O47" i="25"/>
  <c r="N47" i="25"/>
  <c r="P47" i="25" s="1"/>
  <c r="J47" i="25"/>
  <c r="I47" i="25"/>
  <c r="K47" i="25" s="1"/>
  <c r="F47" i="25"/>
  <c r="O46" i="25"/>
  <c r="N46" i="25"/>
  <c r="P46" i="25" s="1"/>
  <c r="J46" i="25"/>
  <c r="I46" i="25"/>
  <c r="K46" i="25" s="1"/>
  <c r="O45" i="25"/>
  <c r="N45" i="25"/>
  <c r="P45" i="25" s="1"/>
  <c r="J45" i="25"/>
  <c r="I45" i="25"/>
  <c r="K45" i="25" s="1"/>
  <c r="F45" i="25"/>
  <c r="O44" i="25"/>
  <c r="N44" i="25"/>
  <c r="P44" i="25" s="1"/>
  <c r="J44" i="25"/>
  <c r="I44" i="25"/>
  <c r="K44" i="25" s="1"/>
  <c r="F44" i="25"/>
  <c r="O43" i="25"/>
  <c r="N43" i="25"/>
  <c r="P43" i="25" s="1"/>
  <c r="J43" i="25"/>
  <c r="I43" i="25"/>
  <c r="K43" i="25" s="1"/>
  <c r="F43" i="25"/>
  <c r="O42" i="25"/>
  <c r="N42" i="25"/>
  <c r="P42" i="25" s="1"/>
  <c r="J42" i="25"/>
  <c r="I42" i="25"/>
  <c r="K42" i="25" s="1"/>
  <c r="F42" i="25"/>
  <c r="O41" i="25"/>
  <c r="N41" i="25"/>
  <c r="P41" i="25" s="1"/>
  <c r="J41" i="25"/>
  <c r="I41" i="25"/>
  <c r="K41" i="25" s="1"/>
  <c r="F41" i="25"/>
  <c r="O40" i="25"/>
  <c r="N40" i="25"/>
  <c r="P40" i="25" s="1"/>
  <c r="J40" i="25"/>
  <c r="I40" i="25"/>
  <c r="L40" i="25" s="1"/>
  <c r="F40" i="25"/>
  <c r="O39" i="25"/>
  <c r="N39" i="25"/>
  <c r="P39" i="25" s="1"/>
  <c r="J39" i="25"/>
  <c r="I39" i="25"/>
  <c r="F39" i="25"/>
  <c r="O38" i="25"/>
  <c r="N38" i="25"/>
  <c r="P38" i="25" s="1"/>
  <c r="J38" i="25"/>
  <c r="I38" i="25"/>
  <c r="K38" i="25" s="1"/>
  <c r="F38" i="25"/>
  <c r="O37" i="25"/>
  <c r="N37" i="25"/>
  <c r="P37" i="25" s="1"/>
  <c r="J37" i="25"/>
  <c r="I37" i="25"/>
  <c r="F37" i="25"/>
  <c r="O36" i="25"/>
  <c r="N36" i="25"/>
  <c r="P36" i="25" s="1"/>
  <c r="J36" i="25"/>
  <c r="I36" i="25"/>
  <c r="F36" i="25"/>
  <c r="O35" i="25"/>
  <c r="N35" i="25"/>
  <c r="P35" i="25" s="1"/>
  <c r="J35" i="25"/>
  <c r="I35" i="25"/>
  <c r="F35" i="25"/>
  <c r="O34" i="25"/>
  <c r="N34" i="25"/>
  <c r="P34" i="25" s="1"/>
  <c r="J34" i="25"/>
  <c r="I34" i="25"/>
  <c r="K34" i="25" s="1"/>
  <c r="F34" i="25"/>
  <c r="O33" i="25"/>
  <c r="N33" i="25"/>
  <c r="P33" i="25" s="1"/>
  <c r="J33" i="25"/>
  <c r="I33" i="25"/>
  <c r="F33" i="25"/>
  <c r="O32" i="25"/>
  <c r="N32" i="25"/>
  <c r="P32" i="25" s="1"/>
  <c r="J32" i="25"/>
  <c r="I32" i="25"/>
  <c r="K32" i="25" s="1"/>
  <c r="F32" i="25"/>
  <c r="O31" i="25"/>
  <c r="N31" i="25"/>
  <c r="P31" i="25" s="1"/>
  <c r="J31" i="25"/>
  <c r="I31" i="25"/>
  <c r="K31" i="25" s="1"/>
  <c r="F31" i="25"/>
  <c r="O30" i="25"/>
  <c r="N30" i="25"/>
  <c r="P30" i="25" s="1"/>
  <c r="J30" i="25"/>
  <c r="I30" i="25"/>
  <c r="K30" i="25" s="1"/>
  <c r="F30" i="25"/>
  <c r="O29" i="25"/>
  <c r="N29" i="25"/>
  <c r="P29" i="25" s="1"/>
  <c r="J29" i="25"/>
  <c r="I29" i="25"/>
  <c r="K29" i="25" s="1"/>
  <c r="F29" i="25"/>
  <c r="O28" i="25"/>
  <c r="N28" i="25"/>
  <c r="P28" i="25" s="1"/>
  <c r="J28" i="25"/>
  <c r="I28" i="25"/>
  <c r="K28" i="25" s="1"/>
  <c r="F28" i="25"/>
  <c r="O27" i="25"/>
  <c r="N27" i="25"/>
  <c r="P27" i="25" s="1"/>
  <c r="J27" i="25"/>
  <c r="I27" i="25"/>
  <c r="K27" i="25" s="1"/>
  <c r="F27" i="25"/>
  <c r="O26" i="25"/>
  <c r="N26" i="25"/>
  <c r="P26" i="25" s="1"/>
  <c r="J26" i="25"/>
  <c r="I26" i="25"/>
  <c r="K26" i="25" s="1"/>
  <c r="F26" i="25"/>
  <c r="O25" i="25"/>
  <c r="N25" i="25"/>
  <c r="P25" i="25" s="1"/>
  <c r="J25" i="25"/>
  <c r="I25" i="25"/>
  <c r="K25" i="25" s="1"/>
  <c r="F25" i="25"/>
  <c r="O24" i="25"/>
  <c r="N24" i="25"/>
  <c r="P24" i="25" s="1"/>
  <c r="J24" i="25"/>
  <c r="I24" i="25"/>
  <c r="K24" i="25" s="1"/>
  <c r="F24" i="25"/>
  <c r="O23" i="25"/>
  <c r="N23" i="25"/>
  <c r="P23" i="25" s="1"/>
  <c r="J23" i="25"/>
  <c r="I23" i="25"/>
  <c r="K23" i="25" s="1"/>
  <c r="F23" i="25"/>
  <c r="O22" i="25"/>
  <c r="N22" i="25"/>
  <c r="P22" i="25" s="1"/>
  <c r="J22" i="25"/>
  <c r="I22" i="25"/>
  <c r="K22" i="25" s="1"/>
  <c r="F22" i="25"/>
  <c r="O21" i="25"/>
  <c r="N21" i="25"/>
  <c r="P21" i="25" s="1"/>
  <c r="J21" i="25"/>
  <c r="I21" i="25"/>
  <c r="K21" i="25" s="1"/>
  <c r="F21" i="25"/>
  <c r="O20" i="25"/>
  <c r="N20" i="25"/>
  <c r="P20" i="25" s="1"/>
  <c r="J20" i="25"/>
  <c r="I20" i="25"/>
  <c r="K20" i="25" s="1"/>
  <c r="F20" i="25"/>
  <c r="O19" i="25"/>
  <c r="N19" i="25"/>
  <c r="P19" i="25" s="1"/>
  <c r="J19" i="25"/>
  <c r="I19" i="25"/>
  <c r="K19" i="25" s="1"/>
  <c r="F19" i="25"/>
  <c r="O18" i="25"/>
  <c r="N18" i="25"/>
  <c r="P18" i="25" s="1"/>
  <c r="J18" i="25"/>
  <c r="I18" i="25"/>
  <c r="K18" i="25" s="1"/>
  <c r="F18" i="25"/>
  <c r="O17" i="25"/>
  <c r="N17" i="25"/>
  <c r="P17" i="25" s="1"/>
  <c r="J17" i="25"/>
  <c r="I17" i="25"/>
  <c r="K17" i="25" s="1"/>
  <c r="F17" i="25"/>
  <c r="O16" i="25"/>
  <c r="N16" i="25"/>
  <c r="P16" i="25" s="1"/>
  <c r="J16" i="25"/>
  <c r="I16" i="25"/>
  <c r="K16" i="25" s="1"/>
  <c r="F16" i="25"/>
  <c r="O15" i="25"/>
  <c r="N15" i="25"/>
  <c r="P15" i="25" s="1"/>
  <c r="J15" i="25"/>
  <c r="I15" i="25"/>
  <c r="K15" i="25" s="1"/>
  <c r="F15" i="25"/>
  <c r="O14" i="25"/>
  <c r="N14" i="25"/>
  <c r="P14" i="25" s="1"/>
  <c r="J14" i="25"/>
  <c r="I14" i="25"/>
  <c r="F14" i="25"/>
  <c r="O13" i="25"/>
  <c r="N13" i="25"/>
  <c r="P13" i="25" s="1"/>
  <c r="J13" i="25"/>
  <c r="I13" i="25"/>
  <c r="F13" i="25"/>
  <c r="O12" i="25"/>
  <c r="N12" i="25"/>
  <c r="P12" i="25" s="1"/>
  <c r="J12" i="25"/>
  <c r="I12" i="25"/>
  <c r="L12" i="25" s="1"/>
  <c r="F12" i="25"/>
  <c r="O11" i="25"/>
  <c r="N11" i="25"/>
  <c r="L11" i="25" s="1"/>
  <c r="K11" i="25"/>
  <c r="J11" i="25"/>
  <c r="I11" i="25"/>
  <c r="F11" i="25"/>
  <c r="O10" i="25"/>
  <c r="N10" i="25"/>
  <c r="L10" i="25" s="1"/>
  <c r="J10" i="25"/>
  <c r="I10" i="25"/>
  <c r="K10" i="25" s="1"/>
  <c r="F10" i="25"/>
  <c r="O9" i="25"/>
  <c r="N9" i="25"/>
  <c r="J9" i="25"/>
  <c r="I9" i="25"/>
  <c r="K9" i="25" s="1"/>
  <c r="F9" i="25"/>
  <c r="O8" i="25"/>
  <c r="N8" i="25"/>
  <c r="L8" i="25" s="1"/>
  <c r="J8" i="25"/>
  <c r="I8" i="25"/>
  <c r="K8" i="25" s="1"/>
  <c r="F8" i="25"/>
  <c r="O7" i="25"/>
  <c r="N7" i="25"/>
  <c r="L7" i="25" s="1"/>
  <c r="J7" i="25"/>
  <c r="I7" i="25"/>
  <c r="K7" i="25" s="1"/>
  <c r="F7" i="25"/>
  <c r="O6" i="25"/>
  <c r="N6" i="25"/>
  <c r="J6" i="25"/>
  <c r="I6" i="25"/>
  <c r="K6" i="25" s="1"/>
  <c r="F6" i="25"/>
  <c r="O5" i="25"/>
  <c r="N5" i="25"/>
  <c r="L5" i="25" s="1"/>
  <c r="K5" i="25"/>
  <c r="J5" i="25"/>
  <c r="I5" i="25"/>
  <c r="F5" i="25"/>
  <c r="L57" i="25" l="1"/>
  <c r="L53" i="25"/>
  <c r="L56" i="25"/>
  <c r="K57" i="25"/>
  <c r="L73" i="25"/>
  <c r="L75" i="25"/>
  <c r="L169" i="25"/>
  <c r="L177" i="25"/>
  <c r="F153" i="25"/>
  <c r="I153" i="25"/>
  <c r="L6" i="25"/>
  <c r="J153" i="25"/>
  <c r="L9" i="25"/>
  <c r="L66" i="25"/>
  <c r="L103" i="25"/>
  <c r="L113" i="25"/>
  <c r="L115" i="25"/>
  <c r="L120" i="25"/>
  <c r="L167" i="25"/>
  <c r="L175" i="25"/>
  <c r="L182" i="25"/>
  <c r="O153" i="25"/>
  <c r="L45" i="25"/>
  <c r="L95" i="25"/>
  <c r="L111" i="25"/>
  <c r="L137" i="25"/>
  <c r="L65" i="25"/>
  <c r="L67" i="25"/>
  <c r="L105" i="25"/>
  <c r="L106" i="25"/>
  <c r="L109" i="25"/>
  <c r="L123" i="25"/>
  <c r="L127" i="25"/>
  <c r="L132" i="25"/>
  <c r="L140" i="25"/>
  <c r="L166" i="25"/>
  <c r="L168" i="25"/>
  <c r="L170" i="25"/>
  <c r="L172" i="25"/>
  <c r="L174" i="25"/>
  <c r="L176" i="25"/>
  <c r="L178" i="25"/>
  <c r="L63" i="25"/>
  <c r="L68" i="25"/>
  <c r="L69" i="25"/>
  <c r="L74" i="25"/>
  <c r="L93" i="25"/>
  <c r="L94" i="25"/>
  <c r="K95" i="25"/>
  <c r="L98" i="25"/>
  <c r="L104" i="25"/>
  <c r="L107" i="25"/>
  <c r="L114" i="25"/>
  <c r="L122" i="25"/>
  <c r="L124" i="25"/>
  <c r="L128" i="25"/>
  <c r="L133" i="25"/>
  <c r="K137" i="25"/>
  <c r="L18" i="25"/>
  <c r="L26" i="25"/>
  <c r="L16" i="25"/>
  <c r="L24" i="25"/>
  <c r="L33" i="25"/>
  <c r="L37" i="25"/>
  <c r="L22" i="25"/>
  <c r="L20" i="25"/>
  <c r="L28" i="25"/>
  <c r="L31" i="25"/>
  <c r="K33" i="25"/>
  <c r="L36" i="25"/>
  <c r="K37" i="25"/>
  <c r="L35" i="25"/>
  <c r="L39" i="25"/>
  <c r="L13" i="25"/>
  <c r="L15" i="25"/>
  <c r="L17" i="25"/>
  <c r="L19" i="25"/>
  <c r="L21" i="25"/>
  <c r="L23" i="25"/>
  <c r="L25" i="25"/>
  <c r="L27" i="25"/>
  <c r="L29" i="25"/>
  <c r="L34" i="25"/>
  <c r="K36" i="25"/>
  <c r="L38" i="25"/>
  <c r="K40" i="25"/>
  <c r="L43" i="25"/>
  <c r="L14" i="25"/>
  <c r="K35" i="25"/>
  <c r="K39" i="25"/>
  <c r="L41" i="25"/>
  <c r="P5" i="25"/>
  <c r="P6" i="25"/>
  <c r="P7" i="25"/>
  <c r="P8" i="25"/>
  <c r="P9" i="25"/>
  <c r="P10" i="25"/>
  <c r="P11" i="25"/>
  <c r="K12" i="25"/>
  <c r="K13" i="25"/>
  <c r="K14" i="25"/>
  <c r="L30" i="25"/>
  <c r="L32" i="25"/>
  <c r="L42" i="25"/>
  <c r="L44" i="25"/>
  <c r="L49" i="25"/>
  <c r="L48" i="25"/>
  <c r="K64" i="25"/>
  <c r="K65" i="25"/>
  <c r="K66" i="25"/>
  <c r="K67" i="25"/>
  <c r="L71" i="25"/>
  <c r="L47" i="25"/>
  <c r="K53" i="25"/>
  <c r="L55" i="25"/>
  <c r="L59" i="25"/>
  <c r="L179" i="25"/>
  <c r="L54" i="25"/>
  <c r="K56" i="25"/>
  <c r="L58" i="25"/>
  <c r="K63" i="25"/>
  <c r="L77" i="25"/>
  <c r="L81" i="25"/>
  <c r="L85" i="25"/>
  <c r="L89" i="25"/>
  <c r="L90" i="25"/>
  <c r="L91" i="25"/>
  <c r="K94" i="25"/>
  <c r="L96" i="25"/>
  <c r="K98" i="25"/>
  <c r="L100" i="25"/>
  <c r="K103" i="25"/>
  <c r="L117" i="25"/>
  <c r="L118" i="25"/>
  <c r="L125" i="25"/>
  <c r="L129" i="25"/>
  <c r="L138" i="25"/>
  <c r="K139" i="25"/>
  <c r="K140" i="25"/>
  <c r="L97" i="25"/>
  <c r="L46" i="25"/>
  <c r="K55" i="25"/>
  <c r="K59" i="25"/>
  <c r="L70" i="25"/>
  <c r="L72" i="25"/>
  <c r="L78" i="25"/>
  <c r="L82" i="25"/>
  <c r="L86" i="25"/>
  <c r="L92" i="25"/>
  <c r="K97" i="25"/>
  <c r="L99" i="25"/>
  <c r="L108" i="25"/>
  <c r="L110" i="25"/>
  <c r="L112" i="25"/>
  <c r="L119" i="25"/>
  <c r="L121" i="25"/>
  <c r="L126" i="25"/>
  <c r="L130" i="25"/>
  <c r="L141" i="25"/>
  <c r="K179" i="25"/>
  <c r="L50" i="25"/>
  <c r="L60" i="25"/>
  <c r="L61" i="25"/>
  <c r="K74" i="25"/>
  <c r="K75" i="25"/>
  <c r="L79" i="25"/>
  <c r="L83" i="25"/>
  <c r="L87" i="25"/>
  <c r="K91" i="25"/>
  <c r="K92" i="25"/>
  <c r="K93" i="25"/>
  <c r="L101" i="25"/>
  <c r="L102" i="25"/>
  <c r="K114" i="25"/>
  <c r="K115" i="25"/>
  <c r="K123" i="25"/>
  <c r="K124" i="25"/>
  <c r="K125" i="25"/>
  <c r="K126" i="25"/>
  <c r="K127" i="25"/>
  <c r="K128" i="25"/>
  <c r="K129" i="25"/>
  <c r="K130" i="25"/>
  <c r="L134" i="25"/>
  <c r="L142" i="25"/>
  <c r="L51" i="25"/>
  <c r="L62" i="25"/>
  <c r="L76" i="25"/>
  <c r="L80" i="25"/>
  <c r="L84" i="25"/>
  <c r="L88" i="25"/>
  <c r="L116" i="25"/>
  <c r="L131" i="25"/>
  <c r="L135" i="25"/>
  <c r="L136" i="25"/>
  <c r="L143" i="25"/>
  <c r="K61" i="25"/>
  <c r="K62" i="25"/>
  <c r="K69" i="25"/>
  <c r="K90" i="25"/>
  <c r="K102" i="25"/>
  <c r="K106" i="25"/>
  <c r="K107" i="25"/>
  <c r="K118" i="25"/>
  <c r="K119" i="25"/>
  <c r="K136" i="25"/>
  <c r="K48" i="25"/>
  <c r="K49" i="25"/>
  <c r="K50" i="25"/>
  <c r="K51" i="25"/>
  <c r="K52" i="25"/>
  <c r="K60" i="25"/>
  <c r="K68" i="25"/>
  <c r="K76" i="25"/>
  <c r="K77" i="25"/>
  <c r="K78" i="25"/>
  <c r="K79" i="25"/>
  <c r="K80" i="25"/>
  <c r="K81" i="25"/>
  <c r="K82" i="25"/>
  <c r="K83" i="25"/>
  <c r="K84" i="25"/>
  <c r="K85" i="25"/>
  <c r="K86" i="25"/>
  <c r="K87" i="25"/>
  <c r="K88" i="25"/>
  <c r="K89" i="25"/>
  <c r="K101" i="25"/>
  <c r="K105" i="25"/>
  <c r="K116" i="25"/>
  <c r="K117" i="25"/>
  <c r="K131" i="25"/>
  <c r="K132" i="25"/>
  <c r="K133" i="25"/>
  <c r="K134" i="25"/>
  <c r="K135" i="25"/>
  <c r="K141" i="25"/>
  <c r="K142" i="25"/>
  <c r="K143" i="25"/>
  <c r="K183" i="25"/>
  <c r="L183" i="25"/>
  <c r="L153" i="25" l="1"/>
  <c r="K153" i="25"/>
  <c r="P153" i="25"/>
</calcChain>
</file>

<file path=xl/sharedStrings.xml><?xml version="1.0" encoding="utf-8"?>
<sst xmlns="http://schemas.openxmlformats.org/spreadsheetml/2006/main" count="1035" uniqueCount="216">
  <si>
    <t>NAME</t>
  </si>
  <si>
    <t>Principal</t>
  </si>
  <si>
    <t>TOTAL  LOAN</t>
  </si>
  <si>
    <t>No of instal paid</t>
  </si>
  <si>
    <t>Total Loan Paid</t>
  </si>
  <si>
    <t>Outstanding Balance</t>
  </si>
  <si>
    <t>MDAs</t>
  </si>
  <si>
    <t>Interest According to Instalment</t>
  </si>
  <si>
    <t>Monthly Principal</t>
  </si>
  <si>
    <t>Monthly Interest</t>
  </si>
  <si>
    <t>Total Interest paid</t>
  </si>
  <si>
    <t>Total outstanding Interest</t>
  </si>
  <si>
    <t>No of Inst.</t>
  </si>
  <si>
    <t xml:space="preserve">Monthly Deduction </t>
  </si>
  <si>
    <t>OLALEYE KEHINDE OLUSOLA</t>
  </si>
  <si>
    <t>ADEBIMPE ABBAS OMOTAYO</t>
  </si>
  <si>
    <t>ADEDEJI ADENIRAN KAZEEM</t>
  </si>
  <si>
    <t>ADEBO OLUSEUN ADEBUSOLA</t>
  </si>
  <si>
    <t>TOM EMMANUEL JONES</t>
  </si>
  <si>
    <t>OGUNRINDE OLAYINKA EYITAYO</t>
  </si>
  <si>
    <t>FADARE KEHINDE GABRIEL</t>
  </si>
  <si>
    <t>ADENIRAN LIADI MOBOLAJI</t>
  </si>
  <si>
    <t>AGBAJE IYABO MORILI</t>
  </si>
  <si>
    <t>COCOA DEVELOPMENT UNIT</t>
  </si>
  <si>
    <t>AKINFENWA GBENGA AKINPELU</t>
  </si>
  <si>
    <t>OLABODE ADEBAYO OLABISI</t>
  </si>
  <si>
    <t>MINISTRY OF AGRICULTURE</t>
  </si>
  <si>
    <t>OLADEJO BABATUNDE OLADIMEJI</t>
  </si>
  <si>
    <t>END DATE</t>
  </si>
  <si>
    <t xml:space="preserve">REMARKS </t>
  </si>
  <si>
    <t>MINISTRY OF AGRICULTURE AND RURAL DEVELOPMENT</t>
  </si>
  <si>
    <t>OLADOKUN KEHINDE</t>
  </si>
  <si>
    <t>BAKARE OLALEKAN KAMORU</t>
  </si>
  <si>
    <t>ADENIJI FOLUKE EUNICE</t>
  </si>
  <si>
    <t>LAWAL FOLASADE FOLAKE</t>
  </si>
  <si>
    <t>ABIOYE OLUWASANYA STEPHEN</t>
  </si>
  <si>
    <t>AJIMOKUNOLA OMOLARA</t>
  </si>
  <si>
    <t>LPC IN</t>
  </si>
  <si>
    <t>START DATE</t>
  </si>
  <si>
    <t>BABATUNDE ADEBIYI</t>
  </si>
  <si>
    <t>LASISI KAZEEM BABATUNDE</t>
  </si>
  <si>
    <t>OGUNDELE MOSES FEYISETAN</t>
  </si>
  <si>
    <t>HARUNA AKEEM ABDULAHI</t>
  </si>
  <si>
    <t>ABIDEEN MARIAM BUKOLA</t>
  </si>
  <si>
    <t>No of instal outstanding</t>
  </si>
  <si>
    <t>ABODUNRIN SANUSI  ADESHOLA</t>
  </si>
  <si>
    <t>DAUDA AJARAT OMOTANWA</t>
  </si>
  <si>
    <t>OKUNLOLA GANIYU OLAYIWOLOA</t>
  </si>
  <si>
    <t>FANTOLA AYODAMOLA QUADRI</t>
  </si>
  <si>
    <t>ANIFALAJE OLUMIDE PHILIP</t>
  </si>
  <si>
    <t>OSENI SADIAT OLUWATOYIN</t>
  </si>
  <si>
    <t>OYETUNJI FOLAKE OLUWATOYIN</t>
  </si>
  <si>
    <t>ADERIBIGBE ELIZABETH OLANIKE</t>
  </si>
  <si>
    <t>FINISHED</t>
  </si>
  <si>
    <t>FALADE OLUFEMI</t>
  </si>
  <si>
    <t>ADEKUNLE ROLAND AKINWALE</t>
  </si>
  <si>
    <t>EZEKIEL OLUSEGUN ABIODUN</t>
  </si>
  <si>
    <t>ABDULAI BABATUNDE USMAN</t>
  </si>
  <si>
    <t>SALAMI AKEEM OLUSESAN</t>
  </si>
  <si>
    <t>OHU OLUWAKAYODE BABAJIDE</t>
  </si>
  <si>
    <t>ADEWOLE MOJIRADE VICTORIA</t>
  </si>
  <si>
    <t>EWETOLA ATILADE PETER</t>
  </si>
  <si>
    <t>OGUNMOLA ISAAC MORAKINYO</t>
  </si>
  <si>
    <t>MOYOSADE MOSES ADEWOLE</t>
  </si>
  <si>
    <t>KILANKO KEMI YETUNDE</t>
  </si>
  <si>
    <t>AKANDE TAIWO EZEKIEL</t>
  </si>
  <si>
    <t>AKINTOBI JOHNSON BOLUWAJI</t>
  </si>
  <si>
    <t>BABATUNDE ADEKUNLE MOSES</t>
  </si>
  <si>
    <t>GBADAMOSI BIODUN GAFARI</t>
  </si>
  <si>
    <t>ADEGBOYEGA OLUDARE</t>
  </si>
  <si>
    <t>EEGUNTOLA ADESOKAN YINKA</t>
  </si>
  <si>
    <t>ADEMOLA ABIGAIL FOLASADE</t>
  </si>
  <si>
    <t>AREMU OYEYEMISI AJOKE</t>
  </si>
  <si>
    <t>GBADAMOSI AKINTUNDE SAMSON</t>
  </si>
  <si>
    <t>AJIBADE ADEREMI WASIU</t>
  </si>
  <si>
    <t>AYANTOYE OLUWAFEMI SAMUEL</t>
  </si>
  <si>
    <t>ADEGBOYE BABATUNDE JAMES</t>
  </si>
  <si>
    <t>AKINLOYE ESTHER ODUNAYO</t>
  </si>
  <si>
    <t>AKINSOLA SAHEED OLATUNDE</t>
  </si>
  <si>
    <t>ONIWINDE TAWAKALITU TEMILADE</t>
  </si>
  <si>
    <t>AJIKOBI ABIDEEN AYODELE</t>
  </si>
  <si>
    <t>AYOADE OLUGBADE JOSEPH</t>
  </si>
  <si>
    <t>NOTE</t>
  </si>
  <si>
    <t>RASAQ MORUFU ALABI</t>
  </si>
  <si>
    <t>ADERIBIGBE CHRISTIANA OLUBUNMI</t>
  </si>
  <si>
    <t>ODUOLA ADEMOLA JEREMIAH</t>
  </si>
  <si>
    <t>LADAPO ABIMBOLA ABIODUN</t>
  </si>
  <si>
    <t>AKANDE OLUYEMISI</t>
  </si>
  <si>
    <t>FAJOBI KASALI</t>
  </si>
  <si>
    <t>AKEE MOSHOOD</t>
  </si>
  <si>
    <t>AYANYEMI ISAAC OLAWALE</t>
  </si>
  <si>
    <t>ALAO MUSIBAU ADETUNJI</t>
  </si>
  <si>
    <t>ATILOLA RASIDAT DAMILOLA</t>
  </si>
  <si>
    <t>AZEEZ LAYIDE SADIA</t>
  </si>
  <si>
    <t>IN:NEW</t>
  </si>
  <si>
    <t>OLAKANMI ZAKARIAH AKANNI</t>
  </si>
  <si>
    <t>AKANDE ABDUL-GANIYU AJIBOLA</t>
  </si>
  <si>
    <t>YUSUFF OPEYEMI RISQAT</t>
  </si>
  <si>
    <t>AKINTOLA GBENGA TUNDE</t>
  </si>
  <si>
    <t>OYEKALE  ISMAHEEL</t>
  </si>
  <si>
    <t>OJO PHILIP O</t>
  </si>
  <si>
    <t>ABAYOMI TAJUDEEN ADESINA</t>
  </si>
  <si>
    <t>31/09/2026</t>
  </si>
  <si>
    <t>IDOWU OLALEKAN ABIODUN</t>
  </si>
  <si>
    <t>OLATOYE WAIDI ABIODUN</t>
  </si>
  <si>
    <t>31/1O/2026</t>
  </si>
  <si>
    <t>OLANREWAJU FRANCIS OLAWALE</t>
  </si>
  <si>
    <t>ADEPOJU ADEOTI EBENEZER</t>
  </si>
  <si>
    <t>AKINADE WAHABI OLADOYE</t>
  </si>
  <si>
    <t>FAGBAYIKE OKE</t>
  </si>
  <si>
    <t>ADISA ADIJATU</t>
  </si>
  <si>
    <t>BELLO WAIDI ADEREMI</t>
  </si>
  <si>
    <t>FABUNMI OLUMUYIWA JOHN</t>
  </si>
  <si>
    <t>OLADIMEJI ABIODUN OLADOTUN</t>
  </si>
  <si>
    <t>AMAO SEGUN ADEWOLE</t>
  </si>
  <si>
    <t>RETIRED</t>
  </si>
  <si>
    <t>AKANMU PAUL AKINOLA</t>
  </si>
  <si>
    <t>AJANI ADEMOLA VICTOR</t>
  </si>
  <si>
    <t>OGUNDELE ELIZABETH ADEOLA</t>
  </si>
  <si>
    <t>AKINWALE SARAT BOLATITO</t>
  </si>
  <si>
    <t>FARAYOLA SUNDAY SHOLA</t>
  </si>
  <si>
    <t>ADEKUNLE JOSHUA OLUWAJOBA</t>
  </si>
  <si>
    <t>AKINRINOLA OLATUNJI</t>
  </si>
  <si>
    <t>ADDENDUM</t>
  </si>
  <si>
    <t>FOLORUNSO OLUWATOYIN AJOKE</t>
  </si>
  <si>
    <t>WAHEED SHERIFF ADEKUNLE</t>
  </si>
  <si>
    <t>AYOOLA BOSEDE ELIZABETH</t>
  </si>
  <si>
    <t>ADEMOLA EMMANUEL LEYE</t>
  </si>
  <si>
    <t>ADESOJI OLUSEGUN OLALEKAN</t>
  </si>
  <si>
    <t>AJISAFE ALIRAT ADEPEJU</t>
  </si>
  <si>
    <t>OLOTU OLUBIMPE ODUNOLA</t>
  </si>
  <si>
    <t>GANIYU AKEEM OLANIYI</t>
  </si>
  <si>
    <t>ADESODUN SEGUN</t>
  </si>
  <si>
    <t>OYAWALE FOLASHADE</t>
  </si>
  <si>
    <t>OYEBAMIJI ADESINA KAZEEM</t>
  </si>
  <si>
    <t>OJENIYI MOSES ADESOLA</t>
  </si>
  <si>
    <t>KAREEM AKEEM ADEBAYO</t>
  </si>
  <si>
    <t>IBITOYE MOFOLUWAKE MORIYIKE</t>
  </si>
  <si>
    <t>OGUNMOLA KAFAYAT ABISOLA</t>
  </si>
  <si>
    <t>ADEPOJU ADEBAMIJI ISHOLA</t>
  </si>
  <si>
    <t>SALAKO KAFAYAT ADERONKE</t>
  </si>
  <si>
    <t>OLAOYE TOYIN ADEBOLA</t>
  </si>
  <si>
    <t>HASSAN ADEBAYO AKEEM</t>
  </si>
  <si>
    <t>ADEBIYI SERIFI ADEFOLAYAN</t>
  </si>
  <si>
    <t>FALUYI ESTHER EBUNOLUWA</t>
  </si>
  <si>
    <t>YISAU ISMAIL</t>
  </si>
  <si>
    <t>OLOGUNDE TEMILADE</t>
  </si>
  <si>
    <t>ADISA OLAOLU</t>
  </si>
  <si>
    <t>SHITTU ADETOUN AJILE</t>
  </si>
  <si>
    <t>OKE OLUSOJI SAMSON</t>
  </si>
  <si>
    <t>OLAYIWOLA DAUDA ADEMOLA</t>
  </si>
  <si>
    <t>OLAYIWOLA JIMOH KADRI</t>
  </si>
  <si>
    <t>JADESIMI-AKINLOYE OLUBUKOLA FOLAHAN</t>
  </si>
  <si>
    <t>ADELEKE ESTHER OLAIDE</t>
  </si>
  <si>
    <t>ALAO AMOS OLUFEMI</t>
  </si>
  <si>
    <t>AKANDE VICTOR ABAYOMI</t>
  </si>
  <si>
    <t>OGUNSESAN BASIRAT ABOSEDE</t>
  </si>
  <si>
    <t>ABDULRASAQ RASIDAT ARAMIDE</t>
  </si>
  <si>
    <t>MOSOBALAJE BIMBOLA SUNDAY</t>
  </si>
  <si>
    <t>AKINYEMI OLAWALE</t>
  </si>
  <si>
    <t>FATUNMIBI FLORENCE OYELOLA</t>
  </si>
  <si>
    <t>AJIBIFOLUWA ADERONKE ABOLANLE</t>
  </si>
  <si>
    <t>OLAWOLE ABIODUN JACOB</t>
  </si>
  <si>
    <t>AYINDE DORCAS MOJISOLA</t>
  </si>
  <si>
    <t>FAGBOLA OLUFEMI DIMEJI</t>
  </si>
  <si>
    <t>ADEDEJI VICTORIA BUKOLA</t>
  </si>
  <si>
    <t>AKINLOYE OLUWATOSIN ABIODUN</t>
  </si>
  <si>
    <t>OJETADE TEMITOPE PETER</t>
  </si>
  <si>
    <t>OLADEJI SAMUEL OLADOYE</t>
  </si>
  <si>
    <t>TOTAL</t>
  </si>
  <si>
    <t>ADETUNJI SERIFIDEEN</t>
  </si>
  <si>
    <t>ADESINA MONSURU BABATUNDE</t>
  </si>
  <si>
    <t>OLAYODE ELIZABETH ATINUKE</t>
  </si>
  <si>
    <t>ASANI LUKUMAN  AKANBI</t>
  </si>
  <si>
    <t>OPAJOBI OLABISI SARAH</t>
  </si>
  <si>
    <t>OGUNTUNDE MICHEAL SEGUN</t>
  </si>
  <si>
    <t>OYEWUMI WILLIAMS</t>
  </si>
  <si>
    <t>AGBAJE ABIMBOLA RASIDAT</t>
  </si>
  <si>
    <t>AMUDA TAJUDEEN ADEMOLA</t>
  </si>
  <si>
    <t>AKANBI IBIKUNLE MARK</t>
  </si>
  <si>
    <t>SANI KOFOWORADE GLORY</t>
  </si>
  <si>
    <t>OLAOYE MOBOLANLE ADESEENI</t>
  </si>
  <si>
    <t>ADIO FUNMILOLA TOPE</t>
  </si>
  <si>
    <t>BAMIDELE OLUWAGBEMIGA ADISA</t>
  </si>
  <si>
    <t>AKINWALE OMOTOLANI ABOSEDE</t>
  </si>
  <si>
    <t>OLADEJI OLUSEYE JACOB</t>
  </si>
  <si>
    <t>OGUNJOBI MAYOWA JULIANA</t>
  </si>
  <si>
    <t>ADEKUNLE YEWANDE ADEOLA</t>
  </si>
  <si>
    <t>ILORI FUNMILOLA IYABO</t>
  </si>
  <si>
    <t>OLAYIWOLA MODINAT BOLAPE</t>
  </si>
  <si>
    <t>31/12/2026</t>
  </si>
  <si>
    <t>30/06/2027</t>
  </si>
  <si>
    <t>30/06/2028</t>
  </si>
  <si>
    <t>31/08/2028</t>
  </si>
  <si>
    <t>MOTOR VEHINCLE LOAN PAYMENT FOR THE MONTH OF  AUGUST, 2024.</t>
  </si>
  <si>
    <t>OLABODE KEHINDE BASHIRU</t>
  </si>
  <si>
    <t>TAIWO TITILOLA OLUFISAYO</t>
  </si>
  <si>
    <t>ODEKUNBI ADEOLA OLANIKE</t>
  </si>
  <si>
    <t>ODERINWALE TIWALADE MAYOWA</t>
  </si>
  <si>
    <t>ADEAGBO FOLARANMI ISAAC</t>
  </si>
  <si>
    <t>MURELE TOYIN AFOLAKE</t>
  </si>
  <si>
    <t>AKANO MUFTAUDEEN OLAWALE</t>
  </si>
  <si>
    <t>ADELAKUN RAFIU ADENIYI</t>
  </si>
  <si>
    <t>AKANDE OLUFUNKE FEYISAYO</t>
  </si>
  <si>
    <t>31/11/2027</t>
  </si>
  <si>
    <t>OYEKAN OYEDOTUN ADEMOLA</t>
  </si>
  <si>
    <t>MOTOR VEHINCLE LOAN PAYMENT FOR THE MONTH OF  SEPTEMBER, 2024.</t>
  </si>
  <si>
    <t>OJEDOKUN ABOSEDE</t>
  </si>
  <si>
    <t>JIMOH YAYA</t>
  </si>
  <si>
    <t>ADEOTI OLUWASEYI</t>
  </si>
  <si>
    <t>ODEDELE SIMEON YINKA</t>
  </si>
  <si>
    <t>SHITTU TESLIM</t>
  </si>
  <si>
    <t>BELLO AKEEM ADEBISI</t>
  </si>
  <si>
    <t>KAZEEM OLASUPO  ABIOLA</t>
  </si>
  <si>
    <t>ADEBAYO JELILI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</si>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</sst>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mbria"/>
      <family val="1"/>
      <scheme val="maj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mbria"/>
      <family val="1"/>
      <scheme val="major"/>
    </font>
    <font>
      <b/>
      <sz val="16"/>
      <name val="Cambria"/>
      <family val="1"/>
      <scheme val="major"/>
    </font>
    <font>
      <b/>
      <sz val="12"/>
      <name val="Calibri"/>
      <family val="2"/>
      <scheme val="minor"/>
    </font>
    <font>
      <sz val="15"/>
      <name val="Calibri"/>
      <family val="2"/>
      <scheme val="minor"/>
    </font>
    <font>
      <b/>
      <sz val="15"/>
      <name val="Cambria"/>
      <family val="1"/>
      <scheme val="major"/>
    </font>
    <font>
      <b/>
      <sz val="15"/>
      <name val="Calibri"/>
      <family val="2"/>
      <scheme val="minor"/>
    </font>
    <font>
      <b/>
      <sz val="15"/>
      <name val="Cambria"/>
      <family val="1"/>
    </font>
    <font>
      <sz val="15"/>
      <name val="Cambria"/>
      <family val="1"/>
      <scheme val="major"/>
    </font>
    <font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5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</cellStyleXfs>
  <cellXfs count="136">
    <xf numFmtId="0" fontId="0" fillId="0" borderId="0" xfId="0"/>
    <xf numFmtId="0" fontId="4" fillId="0" borderId="1" xfId="0" applyFont="1" applyBorder="1"/>
    <xf numFmtId="0" fontId="4" fillId="0" borderId="1" xfId="0" applyFont="1" applyFill="1" applyBorder="1"/>
    <xf numFmtId="0" fontId="5" fillId="0" borderId="1" xfId="0" applyFont="1" applyBorder="1"/>
    <xf numFmtId="43" fontId="4" fillId="0" borderId="1" xfId="1" applyFont="1" applyBorder="1"/>
    <xf numFmtId="43" fontId="5" fillId="0" borderId="1" xfId="1" applyFont="1" applyBorder="1"/>
    <xf numFmtId="43" fontId="0" fillId="0" borderId="0" xfId="0" applyNumberFormat="1"/>
    <xf numFmtId="0" fontId="10" fillId="0" borderId="1" xfId="0" applyFont="1" applyBorder="1" applyAlignment="1">
      <alignment horizontal="center"/>
    </xf>
    <xf numFmtId="4" fontId="10" fillId="0" borderId="1" xfId="0" applyNumberFormat="1" applyFont="1" applyBorder="1"/>
    <xf numFmtId="164" fontId="10" fillId="0" borderId="1" xfId="1" applyNumberFormat="1" applyFont="1" applyBorder="1" applyAlignment="1">
      <alignment horizontal="right"/>
    </xf>
    <xf numFmtId="164" fontId="11" fillId="0" borderId="1" xfId="1" applyNumberFormat="1" applyFont="1" applyFill="1" applyBorder="1" applyAlignment="1"/>
    <xf numFmtId="0" fontId="10" fillId="0" borderId="1" xfId="1" quotePrefix="1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right"/>
    </xf>
    <xf numFmtId="43" fontId="12" fillId="0" borderId="1" xfId="1" applyFont="1" applyBorder="1" applyAlignment="1">
      <alignment horizontal="right"/>
    </xf>
    <xf numFmtId="0" fontId="10" fillId="0" borderId="1" xfId="0" applyFont="1" applyFill="1" applyBorder="1"/>
    <xf numFmtId="0" fontId="10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3" fontId="10" fillId="3" borderId="1" xfId="1" applyFont="1" applyFill="1" applyBorder="1" applyAlignment="1">
      <alignment vertical="top"/>
    </xf>
    <xf numFmtId="14" fontId="4" fillId="0" borderId="1" xfId="0" applyNumberFormat="1" applyFont="1" applyBorder="1"/>
    <xf numFmtId="0" fontId="3" fillId="0" borderId="1" xfId="0" applyFont="1" applyBorder="1" applyAlignment="1">
      <alignment horizontal="center"/>
    </xf>
    <xf numFmtId="43" fontId="5" fillId="0" borderId="0" xfId="1" applyFont="1"/>
    <xf numFmtId="14" fontId="14" fillId="0" borderId="1" xfId="0" applyNumberFormat="1" applyFont="1" applyBorder="1" applyAlignment="1">
      <alignment horizontal="center" wrapText="1"/>
    </xf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6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5" fillId="0" borderId="1" xfId="0" applyFont="1" applyFill="1" applyBorder="1"/>
    <xf numFmtId="4" fontId="15" fillId="0" borderId="1" xfId="0" applyNumberFormat="1" applyFont="1" applyBorder="1"/>
    <xf numFmtId="164" fontId="15" fillId="0" borderId="1" xfId="1" applyNumberFormat="1" applyFont="1" applyBorder="1" applyAlignment="1">
      <alignment horizontal="right"/>
    </xf>
    <xf numFmtId="43" fontId="15" fillId="0" borderId="1" xfId="1" applyFont="1" applyBorder="1"/>
    <xf numFmtId="164" fontId="17" fillId="0" borderId="1" xfId="1" applyNumberFormat="1" applyFont="1" applyFill="1" applyBorder="1" applyAlignment="1"/>
    <xf numFmtId="0" fontId="15" fillId="0" borderId="1" xfId="1" quotePrefix="1" applyNumberFormat="1" applyFont="1" applyBorder="1" applyAlignment="1">
      <alignment horizontal="right"/>
    </xf>
    <xf numFmtId="164" fontId="15" fillId="0" borderId="1" xfId="0" applyNumberFormat="1" applyFont="1" applyBorder="1" applyAlignment="1">
      <alignment horizontal="right"/>
    </xf>
    <xf numFmtId="43" fontId="19" fillId="0" borderId="1" xfId="1" applyFont="1" applyBorder="1" applyAlignment="1">
      <alignment horizontal="right"/>
    </xf>
    <xf numFmtId="0" fontId="16" fillId="0" borderId="2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43" fontId="15" fillId="3" borderId="1" xfId="1" applyFont="1" applyFill="1" applyBorder="1" applyAlignment="1">
      <alignment vertical="top"/>
    </xf>
    <xf numFmtId="0" fontId="15" fillId="0" borderId="1" xfId="0" applyFont="1" applyBorder="1" applyAlignment="1">
      <alignment horizontal="right"/>
    </xf>
    <xf numFmtId="14" fontId="15" fillId="0" borderId="1" xfId="0" applyNumberFormat="1" applyFont="1" applyBorder="1"/>
    <xf numFmtId="14" fontId="17" fillId="0" borderId="1" xfId="0" applyNumberFormat="1" applyFont="1" applyBorder="1" applyAlignment="1">
      <alignment horizontal="center" wrapText="1"/>
    </xf>
    <xf numFmtId="14" fontId="15" fillId="0" borderId="1" xfId="0" applyNumberFormat="1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7" fillId="0" borderId="1" xfId="0" applyFont="1" applyFill="1" applyBorder="1" applyAlignment="1">
      <alignment horizontal="left"/>
    </xf>
    <xf numFmtId="4" fontId="17" fillId="0" borderId="1" xfId="0" applyNumberFormat="1" applyFont="1" applyBorder="1"/>
    <xf numFmtId="0" fontId="17" fillId="0" borderId="1" xfId="0" applyFont="1" applyFill="1" applyBorder="1"/>
    <xf numFmtId="164" fontId="17" fillId="0" borderId="1" xfId="1" applyNumberFormat="1" applyFont="1" applyBorder="1" applyAlignment="1">
      <alignment horizontal="right"/>
    </xf>
    <xf numFmtId="0" fontId="16" fillId="0" borderId="1" xfId="0" applyFont="1" applyFill="1" applyBorder="1" applyAlignment="1">
      <alignment horizontal="left"/>
    </xf>
    <xf numFmtId="164" fontId="17" fillId="0" borderId="1" xfId="0" applyNumberFormat="1" applyFont="1" applyBorder="1"/>
    <xf numFmtId="0" fontId="17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43" fontId="15" fillId="0" borderId="1" xfId="1" applyFont="1" applyBorder="1" applyAlignment="1">
      <alignment horizontal="left"/>
    </xf>
    <xf numFmtId="0" fontId="15" fillId="0" borderId="1" xfId="0" applyFont="1" applyFill="1" applyBorder="1" applyAlignment="1">
      <alignment horizontal="right"/>
    </xf>
    <xf numFmtId="0" fontId="16" fillId="0" borderId="1" xfId="0" applyFont="1" applyFill="1" applyBorder="1" applyAlignment="1">
      <alignment horizontal="left" wrapText="1"/>
    </xf>
    <xf numFmtId="164" fontId="16" fillId="0" borderId="1" xfId="1" applyNumberFormat="1" applyFont="1" applyBorder="1" applyAlignment="1">
      <alignment horizontal="left" wrapText="1"/>
    </xf>
    <xf numFmtId="43" fontId="16" fillId="0" borderId="1" xfId="1" applyFont="1" applyBorder="1" applyAlignment="1">
      <alignment horizontal="left" wrapText="1"/>
    </xf>
    <xf numFmtId="43" fontId="15" fillId="0" borderId="1" xfId="0" applyNumberFormat="1" applyFont="1" applyBorder="1"/>
    <xf numFmtId="0" fontId="15" fillId="0" borderId="2" xfId="0" applyFont="1" applyBorder="1"/>
    <xf numFmtId="0" fontId="17" fillId="0" borderId="2" xfId="0" applyFont="1" applyBorder="1" applyAlignment="1">
      <alignment horizontal="left"/>
    </xf>
    <xf numFmtId="14" fontId="15" fillId="0" borderId="2" xfId="0" applyNumberFormat="1" applyFont="1" applyBorder="1"/>
    <xf numFmtId="14" fontId="15" fillId="0" borderId="2" xfId="0" applyNumberFormat="1" applyFont="1" applyFill="1" applyBorder="1" applyAlignment="1">
      <alignment horizontal="right"/>
    </xf>
    <xf numFmtId="14" fontId="4" fillId="0" borderId="2" xfId="0" applyNumberFormat="1" applyFont="1" applyBorder="1"/>
    <xf numFmtId="14" fontId="4" fillId="0" borderId="3" xfId="0" applyNumberFormat="1" applyFont="1" applyBorder="1"/>
    <xf numFmtId="0" fontId="4" fillId="0" borderId="1" xfId="0" applyFont="1" applyBorder="1" applyAlignment="1"/>
    <xf numFmtId="14" fontId="9" fillId="0" borderId="1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15" fillId="0" borderId="4" xfId="0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 wrapText="1"/>
    </xf>
    <xf numFmtId="43" fontId="4" fillId="0" borderId="1" xfId="1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4" fillId="0" borderId="1" xfId="1" quotePrefix="1" applyNumberFormat="1" applyFont="1" applyBorder="1" applyAlignment="1">
      <alignment horizontal="right"/>
    </xf>
    <xf numFmtId="43" fontId="4" fillId="4" borderId="1" xfId="1" applyFont="1" applyFill="1" applyBorder="1" applyAlignment="1">
      <alignment horizontal="left" vertical="top"/>
    </xf>
    <xf numFmtId="14" fontId="4" fillId="0" borderId="1" xfId="0" applyNumberFormat="1" applyFont="1" applyBorder="1" applyAlignment="1"/>
    <xf numFmtId="14" fontId="4" fillId="0" borderId="5" xfId="0" applyNumberFormat="1" applyFont="1" applyBorder="1" applyAlignment="1"/>
    <xf numFmtId="0" fontId="4" fillId="0" borderId="1" xfId="0" applyFont="1" applyFill="1" applyBorder="1" applyAlignment="1"/>
    <xf numFmtId="14" fontId="4" fillId="0" borderId="1" xfId="0" applyNumberFormat="1" applyFont="1" applyFill="1" applyBorder="1" applyAlignment="1"/>
    <xf numFmtId="14" fontId="4" fillId="0" borderId="5" xfId="0" applyNumberFormat="1" applyFont="1" applyFill="1" applyBorder="1" applyAlignment="1"/>
    <xf numFmtId="14" fontId="4" fillId="0" borderId="1" xfId="0" applyNumberFormat="1" applyFont="1" applyFill="1" applyBorder="1" applyAlignment="1">
      <alignment horizontal="right"/>
    </xf>
    <xf numFmtId="14" fontId="4" fillId="0" borderId="5" xfId="0" applyNumberFormat="1" applyFont="1" applyFill="1" applyBorder="1" applyAlignment="1">
      <alignment horizontal="right"/>
    </xf>
    <xf numFmtId="14" fontId="4" fillId="0" borderId="6" xfId="0" applyNumberFormat="1" applyFont="1" applyFill="1" applyBorder="1" applyAlignment="1">
      <alignment horizontal="right"/>
    </xf>
    <xf numFmtId="43" fontId="4" fillId="0" borderId="1" xfId="1" applyFont="1" applyFill="1" applyBorder="1" applyAlignment="1">
      <alignment horizontal="left" vertical="top"/>
    </xf>
    <xf numFmtId="43" fontId="4" fillId="3" borderId="1" xfId="1" applyFont="1" applyFill="1" applyBorder="1" applyAlignment="1">
      <alignment horizontal="left" vertical="top"/>
    </xf>
    <xf numFmtId="43" fontId="4" fillId="0" borderId="1" xfId="1" applyFont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4" fontId="15" fillId="0" borderId="4" xfId="0" applyNumberFormat="1" applyFont="1" applyFill="1" applyBorder="1"/>
    <xf numFmtId="164" fontId="15" fillId="0" borderId="4" xfId="1" applyNumberFormat="1" applyFont="1" applyFill="1" applyBorder="1" applyAlignment="1">
      <alignment horizontal="right"/>
    </xf>
    <xf numFmtId="0" fontId="8" fillId="0" borderId="0" xfId="0" applyFont="1"/>
    <xf numFmtId="0" fontId="15" fillId="2" borderId="1" xfId="0" applyFont="1" applyFill="1" applyBorder="1" applyAlignment="1">
      <alignment horizontal="right"/>
    </xf>
    <xf numFmtId="0" fontId="15" fillId="2" borderId="1" xfId="1" quotePrefix="1" applyNumberFormat="1" applyFont="1" applyFill="1" applyBorder="1" applyAlignment="1">
      <alignment horizontal="right"/>
    </xf>
    <xf numFmtId="14" fontId="4" fillId="0" borderId="1" xfId="0" applyNumberFormat="1" applyFont="1" applyFill="1" applyBorder="1"/>
    <xf numFmtId="0" fontId="5" fillId="0" borderId="0" xfId="0" applyFont="1" applyBorder="1"/>
    <xf numFmtId="43" fontId="0" fillId="0" borderId="0" xfId="1" applyFont="1"/>
    <xf numFmtId="4" fontId="20" fillId="0" borderId="0" xfId="0" applyNumberFormat="1" applyFont="1" applyBorder="1"/>
    <xf numFmtId="43" fontId="20" fillId="0" borderId="0" xfId="1" applyFont="1" applyBorder="1"/>
    <xf numFmtId="0" fontId="17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14" fontId="9" fillId="0" borderId="1" xfId="0" applyNumberFormat="1" applyFont="1" applyFill="1" applyBorder="1"/>
    <xf numFmtId="0" fontId="22" fillId="0" borderId="1" xfId="0" applyFont="1" applyBorder="1" applyAlignment="1">
      <alignment horizontal="center"/>
    </xf>
    <xf numFmtId="43" fontId="15" fillId="3" borderId="1" xfId="1" applyFont="1" applyFill="1" applyBorder="1" applyAlignment="1">
      <alignment horizontal="center"/>
    </xf>
    <xf numFmtId="14" fontId="4" fillId="0" borderId="0" xfId="0" applyNumberFormat="1" applyFont="1" applyFill="1"/>
    <xf numFmtId="14" fontId="4" fillId="0" borderId="0" xfId="0" applyNumberFormat="1" applyFont="1"/>
    <xf numFmtId="14" fontId="9" fillId="0" borderId="0" xfId="0" applyNumberFormat="1" applyFont="1"/>
    <xf numFmtId="0" fontId="4" fillId="0" borderId="1" xfId="0" applyFont="1" applyBorder="1" applyAlignment="1">
      <alignment horizontal="left"/>
    </xf>
    <xf numFmtId="0" fontId="4" fillId="2" borderId="1" xfId="0" applyFont="1" applyFill="1" applyBorder="1"/>
    <xf numFmtId="0" fontId="23" fillId="0" borderId="0" xfId="0" applyFont="1"/>
    <xf numFmtId="14" fontId="4" fillId="0" borderId="1" xfId="0" applyNumberFormat="1" applyFont="1" applyFill="1" applyBorder="1" applyAlignment="1">
      <alignment horizontal="left"/>
    </xf>
    <xf numFmtId="14" fontId="4" fillId="0" borderId="0" xfId="0" applyNumberFormat="1" applyFont="1" applyAlignment="1">
      <alignment horizontal="left"/>
    </xf>
    <xf numFmtId="14" fontId="9" fillId="0" borderId="0" xfId="0" applyNumberFormat="1" applyFont="1" applyAlignment="1">
      <alignment horizontal="left"/>
    </xf>
    <xf numFmtId="0" fontId="24" fillId="0" borderId="0" xfId="0" applyFont="1" applyBorder="1" applyAlignment="1"/>
    <xf numFmtId="0" fontId="6" fillId="0" borderId="1" xfId="0" applyFont="1" applyBorder="1" applyAlignment="1">
      <alignment horizontal="center"/>
    </xf>
    <xf numFmtId="0" fontId="17" fillId="0" borderId="8" xfId="0" applyFont="1" applyBorder="1" applyAlignment="1">
      <alignment horizontal="left" vertical="center" indent="1"/>
    </xf>
    <xf numFmtId="0" fontId="15" fillId="0" borderId="7" xfId="0" applyFont="1" applyBorder="1" applyAlignment="1">
      <alignment horizontal="center"/>
    </xf>
    <xf numFmtId="0" fontId="4" fillId="2" borderId="1" xfId="0" applyFont="1" applyFill="1" applyBorder="1" applyAlignment="1"/>
    <xf numFmtId="14" fontId="19" fillId="0" borderId="2" xfId="0" applyNumberFormat="1" applyFont="1" applyBorder="1" applyAlignment="1">
      <alignment horizontal="right"/>
    </xf>
    <xf numFmtId="0" fontId="25" fillId="0" borderId="1" xfId="0" applyFont="1" applyBorder="1" applyAlignment="1">
      <alignment horizontal="center" wrapText="1"/>
    </xf>
    <xf numFmtId="0" fontId="26" fillId="0" borderId="1" xfId="0" applyFont="1" applyBorder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14" fontId="15" fillId="0" borderId="0" xfId="0" applyNumberFormat="1" applyFont="1" applyBorder="1"/>
    <xf numFmtId="0" fontId="7" fillId="0" borderId="1" xfId="0" applyFont="1" applyBorder="1" applyAlignment="1">
      <alignment horizontal="center"/>
    </xf>
    <xf numFmtId="0" fontId="0" fillId="0" borderId="0" xfId="0" applyFont="1" applyBorder="1"/>
    <xf numFmtId="0" fontId="24" fillId="0" borderId="0" xfId="0" applyFont="1" applyBorder="1" applyAlignment="1">
      <alignment horizontal="left"/>
    </xf>
    <xf numFmtId="0" fontId="24" fillId="0" borderId="0" xfId="0" applyFont="1" applyFill="1" applyBorder="1" applyAlignment="1"/>
    <xf numFmtId="0" fontId="24" fillId="2" borderId="0" xfId="0" applyFont="1" applyFill="1" applyBorder="1" applyAlignment="1"/>
    <xf numFmtId="0" fontId="5" fillId="0" borderId="0" xfId="0" applyFont="1"/>
    <xf numFmtId="14" fontId="29" fillId="0" borderId="0" xfId="0" applyNumberFormat="1" applyFont="1"/>
    <xf numFmtId="14" fontId="30" fillId="0" borderId="0" xfId="0" applyNumberFormat="1" applyFont="1"/>
    <xf numFmtId="14" fontId="9" fillId="0" borderId="1" xfId="0" applyNumberFormat="1" applyFont="1" applyBorder="1"/>
    <xf numFmtId="0" fontId="20" fillId="0" borderId="0" xfId="0" applyFont="1"/>
    <xf numFmtId="0" fontId="4" fillId="0" borderId="1" xfId="0" applyFont="1" applyBorder="1" applyAlignment="1">
      <alignment vertical="top"/>
    </xf>
    <xf numFmtId="14" fontId="15" fillId="0" borderId="1" xfId="0" applyNumberFormat="1" applyFont="1" applyBorder="1" applyAlignment="1">
      <alignment horizontal="left"/>
    </xf>
    <xf numFmtId="14" fontId="15" fillId="0" borderId="1" xfId="0" applyNumberFormat="1" applyFont="1" applyBorder="1" applyAlignment="1">
      <alignment horizontal="right"/>
    </xf>
  </cellXfs>
  <cellStyles count="4">
    <cellStyle name="Comma" xfId="1" builtinId="3"/>
    <cellStyle name="Comma 2" xfId="2"/>
    <cellStyle name="Normal" xfId="0" builtinId="0"/>
    <cellStyle name="Normal 2" xfId="3"/>
  </cellStyles>
  <dxfs count="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2"/>
  <sheetViews>
    <sheetView tabSelected="1" topLeftCell="F1" workbookViewId="0">
      <selection activeCell="E3" sqref="E3"/>
    </sheetView>
  </sheetViews>
  <sheetFormatPr defaultRowHeight="15" x14ac:dyDescent="0.25"/>
  <cols>
    <col min="1" max="1" width="6" bestFit="1" customWidth="1"/>
    <col min="2" max="2" width="98.42578125" bestFit="1" customWidth="1"/>
    <col min="3" max="3" width="51.28515625" bestFit="1" customWidth="1"/>
    <col min="4" max="4" width="18" customWidth="1"/>
    <col min="5" max="5" width="16.42578125" bestFit="1" customWidth="1"/>
    <col min="6" max="6" width="18" bestFit="1" customWidth="1"/>
    <col min="7" max="7" width="23.42578125" customWidth="1"/>
    <col min="8" max="8" width="24.42578125" customWidth="1"/>
    <col min="9" max="9" width="23.28515625" customWidth="1"/>
    <col min="10" max="10" width="25.28515625" customWidth="1"/>
    <col min="11" max="11" width="27.7109375" customWidth="1"/>
    <col min="12" max="12" width="16.42578125" bestFit="1" customWidth="1"/>
    <col min="13" max="13" width="31.28515625" customWidth="1"/>
    <col min="14" max="14" width="34.85546875" customWidth="1"/>
    <col min="15" max="15" width="28.28515625" customWidth="1"/>
    <col min="16" max="16" width="18" customWidth="1"/>
    <col min="17" max="17" width="15.5703125" bestFit="1" customWidth="1"/>
    <col min="18" max="19" width="16.28515625" bestFit="1" customWidth="1"/>
    <col min="27" max="27" width="17.85546875" customWidth="1"/>
    <col min="28" max="28" width="15.28515625" customWidth="1"/>
  </cols>
  <sheetData>
    <row r="1" spans="1:28" ht="19.5" x14ac:dyDescent="0.3">
      <c r="B1" s="23" t="s">
        <v>30</v>
      </c>
      <c r="C1" s="24"/>
      <c r="D1" s="24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7"/>
      <c r="R1" s="60"/>
      <c r="S1" s="22"/>
    </row>
    <row r="2" spans="1:28" ht="19.5" x14ac:dyDescent="0.3">
      <c r="B2" s="25" t="s">
        <v>194</v>
      </c>
      <c r="D2" s="24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7"/>
      <c r="R2" s="60"/>
      <c r="S2" s="22"/>
    </row>
    <row r="3" spans="1:28" ht="19.5" x14ac:dyDescent="0.3">
      <c r="B3" s="25"/>
      <c r="C3" s="24"/>
      <c r="D3" s="24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7"/>
      <c r="R3" s="60"/>
      <c r="S3" s="22"/>
    </row>
    <row r="4" spans="1:28" ht="75.75" x14ac:dyDescent="0.3">
      <c r="B4" s="26" t="s">
        <v>6</v>
      </c>
      <c r="C4" s="26" t="s">
        <v>0</v>
      </c>
      <c r="D4" s="26" t="s">
        <v>1</v>
      </c>
      <c r="E4" s="26" t="s">
        <v>7</v>
      </c>
      <c r="F4" s="26" t="s">
        <v>2</v>
      </c>
      <c r="G4" s="26" t="s">
        <v>12</v>
      </c>
      <c r="H4" s="26" t="s">
        <v>13</v>
      </c>
      <c r="I4" s="56" t="s">
        <v>9</v>
      </c>
      <c r="J4" s="56" t="s">
        <v>8</v>
      </c>
      <c r="K4" s="56" t="s">
        <v>10</v>
      </c>
      <c r="L4" s="56" t="s">
        <v>11</v>
      </c>
      <c r="M4" s="57" t="s">
        <v>3</v>
      </c>
      <c r="N4" s="57" t="s">
        <v>44</v>
      </c>
      <c r="O4" s="26" t="s">
        <v>4</v>
      </c>
      <c r="P4" s="58" t="s">
        <v>5</v>
      </c>
      <c r="Q4" s="26" t="s">
        <v>29</v>
      </c>
      <c r="R4" s="61" t="s">
        <v>38</v>
      </c>
      <c r="S4" s="52" t="s">
        <v>28</v>
      </c>
    </row>
    <row r="5" spans="1:28" ht="21" x14ac:dyDescent="0.35">
      <c r="A5" s="108">
        <v>1</v>
      </c>
      <c r="B5" s="28" t="s">
        <v>26</v>
      </c>
      <c r="C5" s="38" t="s">
        <v>16</v>
      </c>
      <c r="D5" s="30">
        <v>750000</v>
      </c>
      <c r="E5" s="30">
        <v>99975</v>
      </c>
      <c r="F5" s="31">
        <f t="shared" ref="F5:F59" si="0">D5+E5</f>
        <v>849975</v>
      </c>
      <c r="G5" s="27">
        <v>60</v>
      </c>
      <c r="H5" s="40">
        <v>14166.25</v>
      </c>
      <c r="I5" s="33">
        <f t="shared" ref="I5:I11" si="1">E5/60</f>
        <v>1666.25</v>
      </c>
      <c r="J5" s="33">
        <f t="shared" ref="J5:J11" si="2">D5/60</f>
        <v>12500</v>
      </c>
      <c r="K5" s="33">
        <f t="shared" ref="K5:K65" si="3">I5*M5</f>
        <v>93310</v>
      </c>
      <c r="L5" s="33">
        <f t="shared" ref="L5:L65" si="4">I5*N5</f>
        <v>6665</v>
      </c>
      <c r="M5" s="29">
        <v>56</v>
      </c>
      <c r="N5" s="34">
        <f t="shared" ref="N5:N51" si="5">G5-M5</f>
        <v>4</v>
      </c>
      <c r="O5" s="35">
        <f t="shared" ref="O5:O51" si="6">H5*M5</f>
        <v>793310</v>
      </c>
      <c r="P5" s="36">
        <f t="shared" ref="P5:P51" si="7">H5*N5</f>
        <v>56665</v>
      </c>
      <c r="Q5" s="53"/>
      <c r="R5" s="37"/>
      <c r="S5" s="22"/>
      <c r="Y5" s="99"/>
      <c r="AB5" s="95"/>
    </row>
    <row r="6" spans="1:28" ht="21" x14ac:dyDescent="0.35">
      <c r="A6" s="108">
        <v>2</v>
      </c>
      <c r="B6" s="28" t="s">
        <v>26</v>
      </c>
      <c r="C6" s="38" t="s">
        <v>18</v>
      </c>
      <c r="D6" s="30">
        <v>250000</v>
      </c>
      <c r="E6" s="30">
        <v>33325</v>
      </c>
      <c r="F6" s="31">
        <f t="shared" si="0"/>
        <v>283325</v>
      </c>
      <c r="G6" s="27">
        <v>60</v>
      </c>
      <c r="H6" s="40">
        <v>4722.08</v>
      </c>
      <c r="I6" s="33">
        <f t="shared" si="1"/>
        <v>555.41666666666663</v>
      </c>
      <c r="J6" s="33">
        <f t="shared" si="2"/>
        <v>4166.666666666667</v>
      </c>
      <c r="K6" s="33">
        <f t="shared" si="3"/>
        <v>31103.333333333332</v>
      </c>
      <c r="L6" s="33">
        <f t="shared" si="4"/>
        <v>2221.6666666666665</v>
      </c>
      <c r="M6" s="29">
        <v>56</v>
      </c>
      <c r="N6" s="34">
        <f t="shared" si="5"/>
        <v>4</v>
      </c>
      <c r="O6" s="35">
        <f t="shared" si="6"/>
        <v>264436.47999999998</v>
      </c>
      <c r="P6" s="36">
        <f t="shared" si="7"/>
        <v>18888.32</v>
      </c>
      <c r="Q6" s="53"/>
      <c r="R6" s="131">
        <v>43831</v>
      </c>
      <c r="S6" s="131">
        <v>45657</v>
      </c>
      <c r="Y6" s="99"/>
      <c r="AB6" s="95"/>
    </row>
    <row r="7" spans="1:28" ht="21" x14ac:dyDescent="0.35">
      <c r="A7" s="108">
        <v>3</v>
      </c>
      <c r="B7" s="28" t="s">
        <v>26</v>
      </c>
      <c r="C7" s="38" t="s">
        <v>31</v>
      </c>
      <c r="D7" s="30">
        <v>250000</v>
      </c>
      <c r="E7" s="30">
        <v>33325</v>
      </c>
      <c r="F7" s="31">
        <f t="shared" si="0"/>
        <v>283325</v>
      </c>
      <c r="G7" s="27">
        <v>60</v>
      </c>
      <c r="H7" s="40">
        <v>4722.08</v>
      </c>
      <c r="I7" s="33">
        <f t="shared" si="1"/>
        <v>555.41666666666663</v>
      </c>
      <c r="J7" s="33">
        <f t="shared" si="2"/>
        <v>4166.666666666667</v>
      </c>
      <c r="K7" s="33">
        <f t="shared" si="3"/>
        <v>31103.333333333332</v>
      </c>
      <c r="L7" s="33">
        <f t="shared" si="4"/>
        <v>2221.6666666666665</v>
      </c>
      <c r="M7" s="29">
        <v>56</v>
      </c>
      <c r="N7" s="34">
        <f t="shared" si="5"/>
        <v>4</v>
      </c>
      <c r="O7" s="35">
        <f t="shared" si="6"/>
        <v>264436.47999999998</v>
      </c>
      <c r="P7" s="36">
        <f t="shared" si="7"/>
        <v>18888.32</v>
      </c>
      <c r="Q7" s="53"/>
      <c r="R7" s="37"/>
      <c r="S7" s="59"/>
      <c r="Y7" s="99"/>
      <c r="AB7" s="95"/>
    </row>
    <row r="8" spans="1:28" ht="21" x14ac:dyDescent="0.35">
      <c r="A8" s="108">
        <v>4</v>
      </c>
      <c r="B8" s="28" t="s">
        <v>26</v>
      </c>
      <c r="C8" s="38" t="s">
        <v>32</v>
      </c>
      <c r="D8" s="30">
        <v>750000</v>
      </c>
      <c r="E8" s="30">
        <v>99975</v>
      </c>
      <c r="F8" s="31">
        <f t="shared" si="0"/>
        <v>849975</v>
      </c>
      <c r="G8" s="27">
        <v>60</v>
      </c>
      <c r="H8" s="40">
        <v>14166.25</v>
      </c>
      <c r="I8" s="33">
        <f t="shared" si="1"/>
        <v>1666.25</v>
      </c>
      <c r="J8" s="33">
        <f t="shared" si="2"/>
        <v>12500</v>
      </c>
      <c r="K8" s="33">
        <f t="shared" si="3"/>
        <v>93310</v>
      </c>
      <c r="L8" s="33">
        <f t="shared" si="4"/>
        <v>6665</v>
      </c>
      <c r="M8" s="29">
        <v>56</v>
      </c>
      <c r="N8" s="34">
        <f t="shared" si="5"/>
        <v>4</v>
      </c>
      <c r="O8" s="35">
        <f t="shared" si="6"/>
        <v>793310</v>
      </c>
      <c r="P8" s="36">
        <f t="shared" si="7"/>
        <v>56665</v>
      </c>
      <c r="Q8" s="53"/>
      <c r="R8" s="37"/>
      <c r="S8" s="22"/>
      <c r="Y8" s="99"/>
      <c r="AB8" s="95"/>
    </row>
    <row r="9" spans="1:28" ht="21" x14ac:dyDescent="0.35">
      <c r="A9" s="108">
        <v>5</v>
      </c>
      <c r="B9" s="28" t="s">
        <v>26</v>
      </c>
      <c r="C9" s="38" t="s">
        <v>33</v>
      </c>
      <c r="D9" s="30">
        <v>750000</v>
      </c>
      <c r="E9" s="30">
        <v>99975</v>
      </c>
      <c r="F9" s="31">
        <f t="shared" si="0"/>
        <v>849975</v>
      </c>
      <c r="G9" s="27">
        <v>60</v>
      </c>
      <c r="H9" s="40">
        <v>14166.25</v>
      </c>
      <c r="I9" s="33">
        <f t="shared" si="1"/>
        <v>1666.25</v>
      </c>
      <c r="J9" s="33">
        <f t="shared" si="2"/>
        <v>12500</v>
      </c>
      <c r="K9" s="33">
        <f t="shared" si="3"/>
        <v>93310</v>
      </c>
      <c r="L9" s="33">
        <f t="shared" si="4"/>
        <v>6665</v>
      </c>
      <c r="M9" s="29">
        <v>56</v>
      </c>
      <c r="N9" s="34">
        <f t="shared" si="5"/>
        <v>4</v>
      </c>
      <c r="O9" s="35">
        <f t="shared" si="6"/>
        <v>793310</v>
      </c>
      <c r="P9" s="36">
        <f t="shared" si="7"/>
        <v>56665</v>
      </c>
      <c r="Q9" s="53"/>
      <c r="R9" s="37"/>
      <c r="S9" s="22"/>
      <c r="Y9" s="99"/>
      <c r="AB9" s="95"/>
    </row>
    <row r="10" spans="1:28" ht="21" x14ac:dyDescent="0.35">
      <c r="A10" s="108">
        <v>6</v>
      </c>
      <c r="B10" s="28" t="s">
        <v>26</v>
      </c>
      <c r="C10" s="38" t="s">
        <v>34</v>
      </c>
      <c r="D10" s="30">
        <v>450000</v>
      </c>
      <c r="E10" s="30">
        <v>59985</v>
      </c>
      <c r="F10" s="31">
        <f t="shared" si="0"/>
        <v>509985</v>
      </c>
      <c r="G10" s="27">
        <v>60</v>
      </c>
      <c r="H10" s="40">
        <v>8499.75</v>
      </c>
      <c r="I10" s="33">
        <f t="shared" si="1"/>
        <v>999.75</v>
      </c>
      <c r="J10" s="33">
        <f t="shared" si="2"/>
        <v>7500</v>
      </c>
      <c r="K10" s="33">
        <f t="shared" si="3"/>
        <v>55986</v>
      </c>
      <c r="L10" s="33">
        <f t="shared" si="4"/>
        <v>3999</v>
      </c>
      <c r="M10" s="29">
        <v>56</v>
      </c>
      <c r="N10" s="34">
        <f t="shared" si="5"/>
        <v>4</v>
      </c>
      <c r="O10" s="35">
        <f t="shared" si="6"/>
        <v>475986</v>
      </c>
      <c r="P10" s="36">
        <f t="shared" si="7"/>
        <v>33999</v>
      </c>
      <c r="Q10" s="53"/>
      <c r="R10" s="37"/>
      <c r="S10" s="22"/>
      <c r="Y10" s="99"/>
      <c r="AB10" s="95"/>
    </row>
    <row r="11" spans="1:28" ht="21" x14ac:dyDescent="0.35">
      <c r="A11" s="108">
        <v>7</v>
      </c>
      <c r="B11" s="28" t="s">
        <v>26</v>
      </c>
      <c r="C11" s="38" t="s">
        <v>35</v>
      </c>
      <c r="D11" s="30">
        <v>450000</v>
      </c>
      <c r="E11" s="30">
        <v>59985</v>
      </c>
      <c r="F11" s="31">
        <f t="shared" si="0"/>
        <v>509985</v>
      </c>
      <c r="G11" s="27">
        <v>60</v>
      </c>
      <c r="H11" s="40">
        <v>8499.75</v>
      </c>
      <c r="I11" s="33">
        <f t="shared" si="1"/>
        <v>999.75</v>
      </c>
      <c r="J11" s="33">
        <f t="shared" si="2"/>
        <v>7500</v>
      </c>
      <c r="K11" s="33">
        <f t="shared" si="3"/>
        <v>55986</v>
      </c>
      <c r="L11" s="33">
        <f t="shared" si="4"/>
        <v>3999</v>
      </c>
      <c r="M11" s="29">
        <v>56</v>
      </c>
      <c r="N11" s="34">
        <f t="shared" si="5"/>
        <v>4</v>
      </c>
      <c r="O11" s="35">
        <f t="shared" si="6"/>
        <v>475986</v>
      </c>
      <c r="P11" s="36">
        <f t="shared" si="7"/>
        <v>33999</v>
      </c>
      <c r="Q11" s="53"/>
      <c r="R11" s="37"/>
      <c r="S11" s="22"/>
      <c r="Y11" s="99"/>
      <c r="AB11" s="95"/>
    </row>
    <row r="12" spans="1:28" ht="21" x14ac:dyDescent="0.35">
      <c r="A12" s="108">
        <v>8</v>
      </c>
      <c r="B12" s="28" t="s">
        <v>26</v>
      </c>
      <c r="C12" s="38" t="s">
        <v>43</v>
      </c>
      <c r="D12" s="30">
        <v>250000</v>
      </c>
      <c r="E12" s="30">
        <v>33225</v>
      </c>
      <c r="F12" s="31">
        <f t="shared" si="0"/>
        <v>283225</v>
      </c>
      <c r="G12" s="27">
        <v>60</v>
      </c>
      <c r="H12" s="32">
        <v>4722.08</v>
      </c>
      <c r="I12" s="33">
        <f t="shared" ref="I12:I72" si="8">E12/50</f>
        <v>664.5</v>
      </c>
      <c r="J12" s="33">
        <f t="shared" ref="J12:J72" si="9">D12/50</f>
        <v>5000</v>
      </c>
      <c r="K12" s="33">
        <f t="shared" si="3"/>
        <v>33225</v>
      </c>
      <c r="L12" s="33">
        <f t="shared" si="4"/>
        <v>6645</v>
      </c>
      <c r="M12" s="29">
        <v>50</v>
      </c>
      <c r="N12" s="34">
        <f t="shared" si="5"/>
        <v>10</v>
      </c>
      <c r="O12" s="35">
        <f t="shared" si="6"/>
        <v>236104</v>
      </c>
      <c r="P12" s="36">
        <f t="shared" si="7"/>
        <v>47220.800000000003</v>
      </c>
      <c r="Q12" s="53"/>
      <c r="R12" s="62">
        <v>44013</v>
      </c>
      <c r="S12" s="42">
        <v>45838</v>
      </c>
      <c r="Y12" s="99"/>
      <c r="AB12" s="95"/>
    </row>
    <row r="13" spans="1:28" ht="21" x14ac:dyDescent="0.35">
      <c r="A13" s="108">
        <v>9</v>
      </c>
      <c r="B13" s="28" t="s">
        <v>26</v>
      </c>
      <c r="C13" s="38" t="s">
        <v>45</v>
      </c>
      <c r="D13" s="30">
        <v>600000</v>
      </c>
      <c r="E13" s="30">
        <v>79980</v>
      </c>
      <c r="F13" s="31">
        <f t="shared" si="0"/>
        <v>679980</v>
      </c>
      <c r="G13" s="27">
        <v>60</v>
      </c>
      <c r="H13" s="32">
        <v>11333</v>
      </c>
      <c r="I13" s="33">
        <f t="shared" si="8"/>
        <v>1599.6</v>
      </c>
      <c r="J13" s="33">
        <f t="shared" si="9"/>
        <v>12000</v>
      </c>
      <c r="K13" s="33">
        <f t="shared" si="3"/>
        <v>71982</v>
      </c>
      <c r="L13" s="33">
        <f t="shared" si="4"/>
        <v>23994</v>
      </c>
      <c r="M13" s="29">
        <v>45</v>
      </c>
      <c r="N13" s="34">
        <f t="shared" si="5"/>
        <v>15</v>
      </c>
      <c r="O13" s="35">
        <f t="shared" si="6"/>
        <v>509985</v>
      </c>
      <c r="P13" s="36">
        <f t="shared" si="7"/>
        <v>169995</v>
      </c>
      <c r="Q13" s="53"/>
      <c r="R13" s="62">
        <v>44166</v>
      </c>
      <c r="S13" s="42">
        <v>45991</v>
      </c>
      <c r="Y13" s="99"/>
      <c r="AB13" s="95"/>
    </row>
    <row r="14" spans="1:28" ht="21" x14ac:dyDescent="0.35">
      <c r="A14" s="108">
        <v>10</v>
      </c>
      <c r="B14" s="28" t="s">
        <v>26</v>
      </c>
      <c r="C14" s="38" t="s">
        <v>46</v>
      </c>
      <c r="D14" s="30">
        <v>250000</v>
      </c>
      <c r="E14" s="30">
        <v>33225</v>
      </c>
      <c r="F14" s="31">
        <f t="shared" si="0"/>
        <v>283225</v>
      </c>
      <c r="G14" s="27">
        <v>60</v>
      </c>
      <c r="H14" s="32">
        <v>4722.08</v>
      </c>
      <c r="I14" s="33">
        <f t="shared" si="8"/>
        <v>664.5</v>
      </c>
      <c r="J14" s="33">
        <f t="shared" si="9"/>
        <v>5000</v>
      </c>
      <c r="K14" s="33">
        <f t="shared" si="3"/>
        <v>29902.5</v>
      </c>
      <c r="L14" s="33">
        <f t="shared" si="4"/>
        <v>9967.5</v>
      </c>
      <c r="M14" s="29">
        <v>45</v>
      </c>
      <c r="N14" s="34">
        <f t="shared" si="5"/>
        <v>15</v>
      </c>
      <c r="O14" s="35">
        <f t="shared" si="6"/>
        <v>212493.6</v>
      </c>
      <c r="P14" s="36">
        <f t="shared" si="7"/>
        <v>70831.199999999997</v>
      </c>
      <c r="Q14" s="53"/>
      <c r="R14" s="62">
        <v>44166</v>
      </c>
      <c r="S14" s="42">
        <v>45991</v>
      </c>
      <c r="Y14" s="99"/>
      <c r="AB14" s="95"/>
    </row>
    <row r="15" spans="1:28" ht="21" x14ac:dyDescent="0.35">
      <c r="A15" s="108">
        <v>11</v>
      </c>
      <c r="B15" s="28" t="s">
        <v>26</v>
      </c>
      <c r="C15" s="38" t="s">
        <v>47</v>
      </c>
      <c r="D15" s="30">
        <v>750000</v>
      </c>
      <c r="E15" s="30">
        <v>83312.5</v>
      </c>
      <c r="F15" s="31">
        <f t="shared" si="0"/>
        <v>833312.5</v>
      </c>
      <c r="G15" s="27">
        <v>50</v>
      </c>
      <c r="H15" s="32">
        <v>16666.25</v>
      </c>
      <c r="I15" s="33">
        <f t="shared" si="8"/>
        <v>1666.25</v>
      </c>
      <c r="J15" s="33">
        <f t="shared" si="9"/>
        <v>15000</v>
      </c>
      <c r="K15" s="33">
        <f t="shared" si="3"/>
        <v>74981.25</v>
      </c>
      <c r="L15" s="33">
        <f t="shared" si="4"/>
        <v>8331.25</v>
      </c>
      <c r="M15" s="29">
        <v>45</v>
      </c>
      <c r="N15" s="34">
        <f t="shared" si="5"/>
        <v>5</v>
      </c>
      <c r="O15" s="35">
        <f t="shared" si="6"/>
        <v>749981.25</v>
      </c>
      <c r="P15" s="36">
        <f t="shared" si="7"/>
        <v>83331.25</v>
      </c>
      <c r="Q15" s="53"/>
      <c r="R15" s="62">
        <v>44166</v>
      </c>
      <c r="S15" s="42">
        <v>45688</v>
      </c>
      <c r="Y15" s="99"/>
      <c r="AB15" s="95"/>
    </row>
    <row r="16" spans="1:28" ht="21" x14ac:dyDescent="0.35">
      <c r="A16" s="108">
        <v>12</v>
      </c>
      <c r="B16" s="28" t="s">
        <v>26</v>
      </c>
      <c r="C16" s="38" t="s">
        <v>48</v>
      </c>
      <c r="D16" s="30">
        <v>250000</v>
      </c>
      <c r="E16" s="30">
        <v>33225</v>
      </c>
      <c r="F16" s="31">
        <f t="shared" si="0"/>
        <v>283225</v>
      </c>
      <c r="G16" s="27">
        <v>60</v>
      </c>
      <c r="H16" s="32">
        <v>4722.08</v>
      </c>
      <c r="I16" s="33">
        <f t="shared" si="8"/>
        <v>664.5</v>
      </c>
      <c r="J16" s="33">
        <f t="shared" si="9"/>
        <v>5000</v>
      </c>
      <c r="K16" s="33">
        <f t="shared" si="3"/>
        <v>29902.5</v>
      </c>
      <c r="L16" s="33">
        <f t="shared" si="4"/>
        <v>9967.5</v>
      </c>
      <c r="M16" s="29">
        <v>45</v>
      </c>
      <c r="N16" s="34">
        <f t="shared" si="5"/>
        <v>15</v>
      </c>
      <c r="O16" s="35">
        <f t="shared" si="6"/>
        <v>212493.6</v>
      </c>
      <c r="P16" s="36">
        <f t="shared" si="7"/>
        <v>70831.199999999997</v>
      </c>
      <c r="Q16" s="53"/>
      <c r="R16" s="62">
        <v>44166</v>
      </c>
      <c r="S16" s="42">
        <v>45991</v>
      </c>
      <c r="Y16" s="99"/>
      <c r="AB16" s="95"/>
    </row>
    <row r="17" spans="1:28" ht="21" x14ac:dyDescent="0.35">
      <c r="A17" s="108">
        <v>13</v>
      </c>
      <c r="B17" s="28" t="s">
        <v>26</v>
      </c>
      <c r="C17" s="38" t="s">
        <v>50</v>
      </c>
      <c r="D17" s="30">
        <v>600000</v>
      </c>
      <c r="E17" s="30">
        <v>79980</v>
      </c>
      <c r="F17" s="31">
        <f t="shared" si="0"/>
        <v>679980</v>
      </c>
      <c r="G17" s="27">
        <v>60</v>
      </c>
      <c r="H17" s="32">
        <v>11333</v>
      </c>
      <c r="I17" s="33">
        <f t="shared" si="8"/>
        <v>1599.6</v>
      </c>
      <c r="J17" s="33">
        <f t="shared" si="9"/>
        <v>12000</v>
      </c>
      <c r="K17" s="33">
        <f t="shared" si="3"/>
        <v>81579.599999999991</v>
      </c>
      <c r="L17" s="33">
        <f t="shared" si="4"/>
        <v>14396.4</v>
      </c>
      <c r="M17" s="29">
        <v>51</v>
      </c>
      <c r="N17" s="34">
        <f t="shared" si="5"/>
        <v>9</v>
      </c>
      <c r="O17" s="35">
        <f t="shared" si="6"/>
        <v>577983</v>
      </c>
      <c r="P17" s="36">
        <f t="shared" si="7"/>
        <v>101997</v>
      </c>
      <c r="Q17" s="44"/>
      <c r="R17" s="62">
        <v>43983</v>
      </c>
      <c r="S17" s="42">
        <v>45808</v>
      </c>
      <c r="Y17" s="99"/>
      <c r="AB17" s="95"/>
    </row>
    <row r="18" spans="1:28" ht="21" x14ac:dyDescent="0.35">
      <c r="A18" s="108">
        <v>14</v>
      </c>
      <c r="B18" s="28" t="s">
        <v>26</v>
      </c>
      <c r="C18" s="38" t="s">
        <v>51</v>
      </c>
      <c r="D18" s="30">
        <v>600000</v>
      </c>
      <c r="E18" s="30">
        <v>79980</v>
      </c>
      <c r="F18" s="31">
        <f t="shared" si="0"/>
        <v>679980</v>
      </c>
      <c r="G18" s="27">
        <v>60</v>
      </c>
      <c r="H18" s="32">
        <v>11333</v>
      </c>
      <c r="I18" s="33">
        <f t="shared" si="8"/>
        <v>1599.6</v>
      </c>
      <c r="J18" s="33">
        <f t="shared" si="9"/>
        <v>12000</v>
      </c>
      <c r="K18" s="33">
        <f t="shared" si="3"/>
        <v>81579.599999999991</v>
      </c>
      <c r="L18" s="33">
        <f t="shared" si="4"/>
        <v>14396.4</v>
      </c>
      <c r="M18" s="29">
        <v>51</v>
      </c>
      <c r="N18" s="34">
        <f t="shared" si="5"/>
        <v>9</v>
      </c>
      <c r="O18" s="35">
        <f t="shared" si="6"/>
        <v>577983</v>
      </c>
      <c r="P18" s="36">
        <f t="shared" si="7"/>
        <v>101997</v>
      </c>
      <c r="Q18" s="44"/>
      <c r="R18" s="62">
        <v>43983</v>
      </c>
      <c r="S18" s="42">
        <v>45808</v>
      </c>
      <c r="Y18" s="99"/>
      <c r="AB18" s="95"/>
    </row>
    <row r="19" spans="1:28" ht="21" x14ac:dyDescent="0.35">
      <c r="A19" s="108">
        <v>15</v>
      </c>
      <c r="B19" s="28" t="s">
        <v>26</v>
      </c>
      <c r="C19" s="38" t="s">
        <v>52</v>
      </c>
      <c r="D19" s="30">
        <v>600000</v>
      </c>
      <c r="E19" s="30">
        <v>79980</v>
      </c>
      <c r="F19" s="31">
        <f t="shared" si="0"/>
        <v>679980</v>
      </c>
      <c r="G19" s="27">
        <v>60</v>
      </c>
      <c r="H19" s="32">
        <v>11333</v>
      </c>
      <c r="I19" s="33">
        <f t="shared" si="8"/>
        <v>1599.6</v>
      </c>
      <c r="J19" s="33">
        <f t="shared" si="9"/>
        <v>12000</v>
      </c>
      <c r="K19" s="33">
        <f t="shared" si="3"/>
        <v>81579.599999999991</v>
      </c>
      <c r="L19" s="33">
        <f t="shared" si="4"/>
        <v>14396.4</v>
      </c>
      <c r="M19" s="29">
        <v>51</v>
      </c>
      <c r="N19" s="34">
        <f t="shared" si="5"/>
        <v>9</v>
      </c>
      <c r="O19" s="35">
        <f t="shared" si="6"/>
        <v>577983</v>
      </c>
      <c r="P19" s="36">
        <f t="shared" si="7"/>
        <v>101997</v>
      </c>
      <c r="Q19" s="44"/>
      <c r="R19" s="62">
        <v>43983</v>
      </c>
      <c r="S19" s="42">
        <v>45808</v>
      </c>
      <c r="Y19" s="99"/>
      <c r="AB19" s="95"/>
    </row>
    <row r="20" spans="1:28" ht="21" x14ac:dyDescent="0.35">
      <c r="A20" s="108">
        <v>16</v>
      </c>
      <c r="B20" s="28" t="s">
        <v>26</v>
      </c>
      <c r="C20" s="38" t="s">
        <v>54</v>
      </c>
      <c r="D20" s="30">
        <v>600000</v>
      </c>
      <c r="E20" s="30">
        <v>79980</v>
      </c>
      <c r="F20" s="31">
        <f t="shared" si="0"/>
        <v>679980</v>
      </c>
      <c r="G20" s="27">
        <v>60</v>
      </c>
      <c r="H20" s="54">
        <v>11333</v>
      </c>
      <c r="I20" s="33">
        <f t="shared" si="8"/>
        <v>1599.6</v>
      </c>
      <c r="J20" s="33">
        <f t="shared" si="9"/>
        <v>12000</v>
      </c>
      <c r="K20" s="33">
        <f t="shared" si="3"/>
        <v>65583.599999999991</v>
      </c>
      <c r="L20" s="33">
        <f t="shared" si="4"/>
        <v>30392.399999999998</v>
      </c>
      <c r="M20" s="29">
        <v>41</v>
      </c>
      <c r="N20" s="34">
        <f t="shared" si="5"/>
        <v>19</v>
      </c>
      <c r="O20" s="35">
        <f t="shared" si="6"/>
        <v>464653</v>
      </c>
      <c r="P20" s="36">
        <f t="shared" si="7"/>
        <v>215327</v>
      </c>
      <c r="Q20" s="43"/>
      <c r="R20" s="64">
        <v>44287</v>
      </c>
      <c r="S20" s="18">
        <v>46112</v>
      </c>
      <c r="Y20" s="99"/>
      <c r="AB20" s="95"/>
    </row>
    <row r="21" spans="1:28" ht="21" x14ac:dyDescent="0.35">
      <c r="A21" s="108">
        <v>17</v>
      </c>
      <c r="B21" s="28" t="s">
        <v>26</v>
      </c>
      <c r="C21" s="38" t="s">
        <v>55</v>
      </c>
      <c r="D21" s="30">
        <v>750000</v>
      </c>
      <c r="E21" s="30">
        <v>99975</v>
      </c>
      <c r="F21" s="31">
        <f t="shared" si="0"/>
        <v>849975</v>
      </c>
      <c r="G21" s="27">
        <v>60</v>
      </c>
      <c r="H21" s="54">
        <v>14166.25</v>
      </c>
      <c r="I21" s="33">
        <f t="shared" si="8"/>
        <v>1999.5</v>
      </c>
      <c r="J21" s="33">
        <f t="shared" si="9"/>
        <v>15000</v>
      </c>
      <c r="K21" s="33">
        <f t="shared" si="3"/>
        <v>81979.5</v>
      </c>
      <c r="L21" s="33">
        <f t="shared" si="4"/>
        <v>37990.5</v>
      </c>
      <c r="M21" s="29">
        <v>41</v>
      </c>
      <c r="N21" s="34">
        <f t="shared" si="5"/>
        <v>19</v>
      </c>
      <c r="O21" s="35">
        <f t="shared" si="6"/>
        <v>580816.25</v>
      </c>
      <c r="P21" s="36">
        <f t="shared" si="7"/>
        <v>269158.75</v>
      </c>
      <c r="Q21" s="43"/>
      <c r="R21" s="65">
        <v>44287</v>
      </c>
      <c r="S21" s="18">
        <v>46112</v>
      </c>
      <c r="Y21" s="99"/>
      <c r="AB21" s="95"/>
    </row>
    <row r="22" spans="1:28" ht="21" x14ac:dyDescent="0.35">
      <c r="A22" s="108">
        <v>18</v>
      </c>
      <c r="B22" s="28" t="s">
        <v>26</v>
      </c>
      <c r="C22" s="38" t="s">
        <v>56</v>
      </c>
      <c r="D22" s="30">
        <v>750000</v>
      </c>
      <c r="E22" s="30">
        <v>99975</v>
      </c>
      <c r="F22" s="31">
        <f t="shared" si="0"/>
        <v>849975</v>
      </c>
      <c r="G22" s="27">
        <v>60</v>
      </c>
      <c r="H22" s="54">
        <v>14166.25</v>
      </c>
      <c r="I22" s="33">
        <f t="shared" si="8"/>
        <v>1999.5</v>
      </c>
      <c r="J22" s="33">
        <f t="shared" si="9"/>
        <v>15000</v>
      </c>
      <c r="K22" s="33">
        <f t="shared" si="3"/>
        <v>81979.5</v>
      </c>
      <c r="L22" s="33">
        <f t="shared" si="4"/>
        <v>37990.5</v>
      </c>
      <c r="M22" s="29">
        <v>41</v>
      </c>
      <c r="N22" s="34">
        <f t="shared" si="5"/>
        <v>19</v>
      </c>
      <c r="O22" s="35">
        <f t="shared" si="6"/>
        <v>580816.25</v>
      </c>
      <c r="P22" s="36">
        <f t="shared" si="7"/>
        <v>269158.75</v>
      </c>
      <c r="Q22" s="43"/>
      <c r="R22" s="65">
        <v>44287</v>
      </c>
      <c r="S22" s="18">
        <v>46112</v>
      </c>
      <c r="Y22" s="99"/>
      <c r="AB22" s="95"/>
    </row>
    <row r="23" spans="1:28" ht="21" x14ac:dyDescent="0.35">
      <c r="A23" s="108">
        <v>19</v>
      </c>
      <c r="B23" s="28" t="s">
        <v>26</v>
      </c>
      <c r="C23" s="38" t="s">
        <v>57</v>
      </c>
      <c r="D23" s="30">
        <v>750000</v>
      </c>
      <c r="E23" s="30">
        <v>99975</v>
      </c>
      <c r="F23" s="31">
        <f t="shared" si="0"/>
        <v>849975</v>
      </c>
      <c r="G23" s="27">
        <v>60</v>
      </c>
      <c r="H23" s="54">
        <v>14166.25</v>
      </c>
      <c r="I23" s="33">
        <f t="shared" si="8"/>
        <v>1999.5</v>
      </c>
      <c r="J23" s="33">
        <f t="shared" si="9"/>
        <v>15000</v>
      </c>
      <c r="K23" s="33">
        <f t="shared" si="3"/>
        <v>81979.5</v>
      </c>
      <c r="L23" s="33">
        <f t="shared" si="4"/>
        <v>37990.5</v>
      </c>
      <c r="M23" s="29">
        <v>41</v>
      </c>
      <c r="N23" s="34">
        <f t="shared" si="5"/>
        <v>19</v>
      </c>
      <c r="O23" s="35">
        <f t="shared" si="6"/>
        <v>580816.25</v>
      </c>
      <c r="P23" s="36">
        <f t="shared" si="7"/>
        <v>269158.75</v>
      </c>
      <c r="Q23" s="43"/>
      <c r="R23" s="65">
        <v>44287</v>
      </c>
      <c r="S23" s="18">
        <v>46112</v>
      </c>
      <c r="Y23" s="99"/>
      <c r="AB23" s="95"/>
    </row>
    <row r="24" spans="1:28" ht="21" x14ac:dyDescent="0.35">
      <c r="A24" s="108">
        <v>20</v>
      </c>
      <c r="B24" s="28" t="s">
        <v>26</v>
      </c>
      <c r="C24" s="38" t="s">
        <v>58</v>
      </c>
      <c r="D24" s="30">
        <v>750000</v>
      </c>
      <c r="E24" s="30">
        <v>99975</v>
      </c>
      <c r="F24" s="31">
        <f t="shared" si="0"/>
        <v>849975</v>
      </c>
      <c r="G24" s="27">
        <v>60</v>
      </c>
      <c r="H24" s="54">
        <v>14166.25</v>
      </c>
      <c r="I24" s="33">
        <f t="shared" si="8"/>
        <v>1999.5</v>
      </c>
      <c r="J24" s="33">
        <f t="shared" si="9"/>
        <v>15000</v>
      </c>
      <c r="K24" s="33">
        <f t="shared" si="3"/>
        <v>81979.5</v>
      </c>
      <c r="L24" s="33">
        <f t="shared" si="4"/>
        <v>37990.5</v>
      </c>
      <c r="M24" s="29">
        <v>41</v>
      </c>
      <c r="N24" s="34">
        <f t="shared" si="5"/>
        <v>19</v>
      </c>
      <c r="O24" s="35">
        <f t="shared" si="6"/>
        <v>580816.25</v>
      </c>
      <c r="P24" s="36">
        <f t="shared" si="7"/>
        <v>269158.75</v>
      </c>
      <c r="Q24" s="43"/>
      <c r="R24" s="65">
        <v>44287</v>
      </c>
      <c r="S24" s="18">
        <v>46112</v>
      </c>
      <c r="Y24" s="99"/>
      <c r="AB24" s="95"/>
    </row>
    <row r="25" spans="1:28" ht="21" x14ac:dyDescent="0.35">
      <c r="A25" s="108">
        <v>21</v>
      </c>
      <c r="B25" s="28" t="s">
        <v>26</v>
      </c>
      <c r="C25" s="38" t="s">
        <v>59</v>
      </c>
      <c r="D25" s="30">
        <v>450000</v>
      </c>
      <c r="E25" s="30">
        <v>59985</v>
      </c>
      <c r="F25" s="31">
        <f t="shared" si="0"/>
        <v>509985</v>
      </c>
      <c r="G25" s="27">
        <v>60</v>
      </c>
      <c r="H25" s="54">
        <v>8499.75</v>
      </c>
      <c r="I25" s="33">
        <f t="shared" si="8"/>
        <v>1199.7</v>
      </c>
      <c r="J25" s="33">
        <f t="shared" si="9"/>
        <v>9000</v>
      </c>
      <c r="K25" s="33">
        <f t="shared" si="3"/>
        <v>49187.700000000004</v>
      </c>
      <c r="L25" s="33">
        <f t="shared" si="4"/>
        <v>22794.3</v>
      </c>
      <c r="M25" s="29">
        <v>41</v>
      </c>
      <c r="N25" s="34">
        <f t="shared" si="5"/>
        <v>19</v>
      </c>
      <c r="O25" s="35">
        <f t="shared" si="6"/>
        <v>348489.75</v>
      </c>
      <c r="P25" s="36">
        <f t="shared" si="7"/>
        <v>161495.25</v>
      </c>
      <c r="Q25" s="43"/>
      <c r="R25" s="65">
        <v>44287</v>
      </c>
      <c r="S25" s="18">
        <v>46112</v>
      </c>
      <c r="Y25" s="99"/>
      <c r="AB25" s="95"/>
    </row>
    <row r="26" spans="1:28" ht="21" x14ac:dyDescent="0.35">
      <c r="A26" s="108">
        <v>22</v>
      </c>
      <c r="B26" s="28" t="s">
        <v>26</v>
      </c>
      <c r="C26" s="38" t="s">
        <v>60</v>
      </c>
      <c r="D26" s="30">
        <v>450000</v>
      </c>
      <c r="E26" s="30">
        <v>59985</v>
      </c>
      <c r="F26" s="31">
        <f t="shared" si="0"/>
        <v>509985</v>
      </c>
      <c r="G26" s="27">
        <v>60</v>
      </c>
      <c r="H26" s="54">
        <v>8499.75</v>
      </c>
      <c r="I26" s="33">
        <f t="shared" si="8"/>
        <v>1199.7</v>
      </c>
      <c r="J26" s="33">
        <f t="shared" si="9"/>
        <v>9000</v>
      </c>
      <c r="K26" s="33">
        <f t="shared" si="3"/>
        <v>49187.700000000004</v>
      </c>
      <c r="L26" s="33">
        <f t="shared" si="4"/>
        <v>22794.3</v>
      </c>
      <c r="M26" s="29">
        <v>41</v>
      </c>
      <c r="N26" s="34">
        <f t="shared" si="5"/>
        <v>19</v>
      </c>
      <c r="O26" s="35">
        <f t="shared" si="6"/>
        <v>348489.75</v>
      </c>
      <c r="P26" s="36">
        <f t="shared" si="7"/>
        <v>161495.25</v>
      </c>
      <c r="Q26" s="43"/>
      <c r="R26" s="65">
        <v>44287</v>
      </c>
      <c r="S26" s="18">
        <v>46112</v>
      </c>
      <c r="Y26" s="99"/>
      <c r="AB26" s="95"/>
    </row>
    <row r="27" spans="1:28" ht="21" x14ac:dyDescent="0.35">
      <c r="A27" s="108">
        <v>23</v>
      </c>
      <c r="B27" s="28" t="s">
        <v>26</v>
      </c>
      <c r="C27" s="38" t="s">
        <v>61</v>
      </c>
      <c r="D27" s="30">
        <v>750000</v>
      </c>
      <c r="E27" s="30">
        <v>99975</v>
      </c>
      <c r="F27" s="31">
        <f t="shared" si="0"/>
        <v>849975</v>
      </c>
      <c r="G27" s="27">
        <v>60</v>
      </c>
      <c r="H27" s="54">
        <v>14166.25</v>
      </c>
      <c r="I27" s="33">
        <f t="shared" si="8"/>
        <v>1999.5</v>
      </c>
      <c r="J27" s="33">
        <f t="shared" si="9"/>
        <v>15000</v>
      </c>
      <c r="K27" s="33">
        <f t="shared" si="3"/>
        <v>81979.5</v>
      </c>
      <c r="L27" s="33">
        <f t="shared" si="4"/>
        <v>37990.5</v>
      </c>
      <c r="M27" s="29">
        <v>41</v>
      </c>
      <c r="N27" s="34">
        <f t="shared" si="5"/>
        <v>19</v>
      </c>
      <c r="O27" s="35">
        <f t="shared" si="6"/>
        <v>580816.25</v>
      </c>
      <c r="P27" s="36">
        <f t="shared" si="7"/>
        <v>269158.75</v>
      </c>
      <c r="Q27" s="43"/>
      <c r="R27" s="65">
        <v>44287</v>
      </c>
      <c r="S27" s="18">
        <v>46112</v>
      </c>
      <c r="Y27" s="99"/>
      <c r="AB27" s="95"/>
    </row>
    <row r="28" spans="1:28" ht="21" x14ac:dyDescent="0.35">
      <c r="A28" s="108">
        <v>24</v>
      </c>
      <c r="B28" s="28" t="s">
        <v>26</v>
      </c>
      <c r="C28" s="38" t="s">
        <v>62</v>
      </c>
      <c r="D28" s="30">
        <v>450000</v>
      </c>
      <c r="E28" s="30">
        <v>59985</v>
      </c>
      <c r="F28" s="31">
        <f t="shared" si="0"/>
        <v>509985</v>
      </c>
      <c r="G28" s="27">
        <v>60</v>
      </c>
      <c r="H28" s="54">
        <v>8499.75</v>
      </c>
      <c r="I28" s="33">
        <f t="shared" si="8"/>
        <v>1199.7</v>
      </c>
      <c r="J28" s="33">
        <f t="shared" si="9"/>
        <v>9000</v>
      </c>
      <c r="K28" s="33">
        <f t="shared" si="3"/>
        <v>49187.700000000004</v>
      </c>
      <c r="L28" s="33">
        <f t="shared" si="4"/>
        <v>22794.3</v>
      </c>
      <c r="M28" s="29">
        <v>41</v>
      </c>
      <c r="N28" s="34">
        <f t="shared" si="5"/>
        <v>19</v>
      </c>
      <c r="O28" s="35">
        <f t="shared" si="6"/>
        <v>348489.75</v>
      </c>
      <c r="P28" s="36">
        <f t="shared" si="7"/>
        <v>161495.25</v>
      </c>
      <c r="Q28" s="43"/>
      <c r="R28" s="65">
        <v>44287</v>
      </c>
      <c r="S28" s="18">
        <v>46112</v>
      </c>
      <c r="Y28" s="99"/>
      <c r="AB28" s="95"/>
    </row>
    <row r="29" spans="1:28" ht="21" x14ac:dyDescent="0.35">
      <c r="A29" s="108">
        <v>25</v>
      </c>
      <c r="B29" s="28" t="s">
        <v>26</v>
      </c>
      <c r="C29" s="38" t="s">
        <v>63</v>
      </c>
      <c r="D29" s="30">
        <v>600000</v>
      </c>
      <c r="E29" s="30">
        <v>79980</v>
      </c>
      <c r="F29" s="31">
        <f t="shared" si="0"/>
        <v>679980</v>
      </c>
      <c r="G29" s="27">
        <v>60</v>
      </c>
      <c r="H29" s="54">
        <v>11333</v>
      </c>
      <c r="I29" s="33">
        <f t="shared" si="8"/>
        <v>1599.6</v>
      </c>
      <c r="J29" s="33">
        <f t="shared" si="9"/>
        <v>12000</v>
      </c>
      <c r="K29" s="33">
        <f t="shared" si="3"/>
        <v>65583.599999999991</v>
      </c>
      <c r="L29" s="33">
        <f t="shared" si="4"/>
        <v>30392.399999999998</v>
      </c>
      <c r="M29" s="29">
        <v>41</v>
      </c>
      <c r="N29" s="34">
        <f t="shared" si="5"/>
        <v>19</v>
      </c>
      <c r="O29" s="35">
        <f t="shared" si="6"/>
        <v>464653</v>
      </c>
      <c r="P29" s="36">
        <f t="shared" si="7"/>
        <v>215327</v>
      </c>
      <c r="Q29" s="43"/>
      <c r="R29" s="65">
        <v>44287</v>
      </c>
      <c r="S29" s="18">
        <v>46112</v>
      </c>
      <c r="Y29" s="99"/>
      <c r="AB29" s="95"/>
    </row>
    <row r="30" spans="1:28" ht="21" x14ac:dyDescent="0.35">
      <c r="A30" s="108">
        <v>26</v>
      </c>
      <c r="B30" s="28" t="s">
        <v>26</v>
      </c>
      <c r="C30" s="38" t="s">
        <v>64</v>
      </c>
      <c r="D30" s="30">
        <v>600000</v>
      </c>
      <c r="E30" s="30">
        <v>79980</v>
      </c>
      <c r="F30" s="31">
        <f t="shared" si="0"/>
        <v>679980</v>
      </c>
      <c r="G30" s="27">
        <v>60</v>
      </c>
      <c r="H30" s="54">
        <v>11333</v>
      </c>
      <c r="I30" s="33">
        <f t="shared" si="8"/>
        <v>1599.6</v>
      </c>
      <c r="J30" s="33">
        <f t="shared" si="9"/>
        <v>12000</v>
      </c>
      <c r="K30" s="33">
        <f t="shared" si="3"/>
        <v>65583.599999999991</v>
      </c>
      <c r="L30" s="33">
        <f t="shared" si="4"/>
        <v>30392.399999999998</v>
      </c>
      <c r="M30" s="29">
        <v>41</v>
      </c>
      <c r="N30" s="34">
        <f t="shared" si="5"/>
        <v>19</v>
      </c>
      <c r="O30" s="35">
        <f t="shared" si="6"/>
        <v>464653</v>
      </c>
      <c r="P30" s="36">
        <f t="shared" si="7"/>
        <v>215327</v>
      </c>
      <c r="Q30" s="43"/>
      <c r="R30" s="65">
        <v>44287</v>
      </c>
      <c r="S30" s="18">
        <v>46112</v>
      </c>
      <c r="Y30" s="99"/>
      <c r="AB30" s="95"/>
    </row>
    <row r="31" spans="1:28" ht="21" x14ac:dyDescent="0.35">
      <c r="A31" s="108">
        <v>27</v>
      </c>
      <c r="B31" s="28" t="s">
        <v>26</v>
      </c>
      <c r="C31" s="38" t="s">
        <v>65</v>
      </c>
      <c r="D31" s="30">
        <v>450000</v>
      </c>
      <c r="E31" s="30">
        <v>59985</v>
      </c>
      <c r="F31" s="31">
        <f t="shared" si="0"/>
        <v>509985</v>
      </c>
      <c r="G31" s="27">
        <v>60</v>
      </c>
      <c r="H31" s="54">
        <v>8499.75</v>
      </c>
      <c r="I31" s="33">
        <f t="shared" si="8"/>
        <v>1199.7</v>
      </c>
      <c r="J31" s="33">
        <f t="shared" si="9"/>
        <v>9000</v>
      </c>
      <c r="K31" s="33">
        <f t="shared" si="3"/>
        <v>68382.900000000009</v>
      </c>
      <c r="L31" s="33">
        <f t="shared" si="4"/>
        <v>3599.1000000000004</v>
      </c>
      <c r="M31" s="29">
        <v>57</v>
      </c>
      <c r="N31" s="34">
        <f t="shared" si="5"/>
        <v>3</v>
      </c>
      <c r="O31" s="35">
        <f t="shared" si="6"/>
        <v>484485.75</v>
      </c>
      <c r="P31" s="36">
        <f t="shared" si="7"/>
        <v>25499.25</v>
      </c>
      <c r="Q31" s="21"/>
      <c r="R31" s="65">
        <v>43800</v>
      </c>
      <c r="S31" s="18">
        <v>45626</v>
      </c>
      <c r="Y31" s="99"/>
      <c r="AB31" s="95"/>
    </row>
    <row r="32" spans="1:28" ht="21" x14ac:dyDescent="0.35">
      <c r="A32" s="108">
        <v>28</v>
      </c>
      <c r="B32" s="28" t="s">
        <v>26</v>
      </c>
      <c r="C32" s="66" t="s">
        <v>14</v>
      </c>
      <c r="D32" s="30">
        <v>750000</v>
      </c>
      <c r="E32" s="30">
        <v>99975</v>
      </c>
      <c r="F32" s="31">
        <f t="shared" si="0"/>
        <v>849975</v>
      </c>
      <c r="G32" s="27">
        <v>60</v>
      </c>
      <c r="H32" s="54">
        <v>14166.25</v>
      </c>
      <c r="I32" s="33">
        <f t="shared" si="8"/>
        <v>1999.5</v>
      </c>
      <c r="J32" s="33">
        <f t="shared" si="9"/>
        <v>15000</v>
      </c>
      <c r="K32" s="33">
        <f t="shared" si="3"/>
        <v>73981.5</v>
      </c>
      <c r="L32" s="33">
        <f t="shared" si="4"/>
        <v>45988.5</v>
      </c>
      <c r="M32" s="29">
        <v>37</v>
      </c>
      <c r="N32" s="34">
        <f t="shared" si="5"/>
        <v>23</v>
      </c>
      <c r="O32" s="35">
        <f t="shared" si="6"/>
        <v>524151.25</v>
      </c>
      <c r="P32" s="36">
        <f t="shared" si="7"/>
        <v>325823.75</v>
      </c>
      <c r="Q32" s="43"/>
      <c r="R32" s="67">
        <v>44409</v>
      </c>
      <c r="S32" s="67">
        <v>46234</v>
      </c>
      <c r="Y32" s="99"/>
      <c r="AB32" s="95"/>
    </row>
    <row r="33" spans="1:28" ht="21" x14ac:dyDescent="0.35">
      <c r="A33" s="108">
        <v>29</v>
      </c>
      <c r="B33" s="28" t="s">
        <v>26</v>
      </c>
      <c r="C33" s="66" t="s">
        <v>19</v>
      </c>
      <c r="D33" s="30">
        <v>250000</v>
      </c>
      <c r="E33" s="30">
        <v>33225</v>
      </c>
      <c r="F33" s="31">
        <f t="shared" si="0"/>
        <v>283225</v>
      </c>
      <c r="G33" s="27">
        <v>60</v>
      </c>
      <c r="H33" s="54">
        <v>4722.08</v>
      </c>
      <c r="I33" s="33">
        <f t="shared" si="8"/>
        <v>664.5</v>
      </c>
      <c r="J33" s="33">
        <f t="shared" si="9"/>
        <v>5000</v>
      </c>
      <c r="K33" s="33">
        <f t="shared" si="3"/>
        <v>24586.5</v>
      </c>
      <c r="L33" s="33">
        <f t="shared" si="4"/>
        <v>15283.5</v>
      </c>
      <c r="M33" s="29">
        <v>37</v>
      </c>
      <c r="N33" s="34">
        <f t="shared" si="5"/>
        <v>23</v>
      </c>
      <c r="O33" s="35">
        <f t="shared" si="6"/>
        <v>174716.96</v>
      </c>
      <c r="P33" s="36">
        <f t="shared" si="7"/>
        <v>108607.84</v>
      </c>
      <c r="Q33" s="43"/>
      <c r="R33" s="67">
        <v>44409</v>
      </c>
      <c r="S33" s="67">
        <v>46234</v>
      </c>
      <c r="Y33" s="99"/>
      <c r="AB33" s="95"/>
    </row>
    <row r="34" spans="1:28" ht="21" x14ac:dyDescent="0.35">
      <c r="A34" s="108">
        <v>30</v>
      </c>
      <c r="B34" s="28" t="s">
        <v>26</v>
      </c>
      <c r="C34" s="66" t="s">
        <v>71</v>
      </c>
      <c r="D34" s="30">
        <v>750000</v>
      </c>
      <c r="E34" s="30">
        <v>99975</v>
      </c>
      <c r="F34" s="31">
        <f t="shared" si="0"/>
        <v>849975</v>
      </c>
      <c r="G34" s="27">
        <v>50</v>
      </c>
      <c r="H34" s="54">
        <v>16666.25</v>
      </c>
      <c r="I34" s="33">
        <f t="shared" si="8"/>
        <v>1999.5</v>
      </c>
      <c r="J34" s="33">
        <f t="shared" si="9"/>
        <v>15000</v>
      </c>
      <c r="K34" s="33">
        <f t="shared" si="3"/>
        <v>73981.5</v>
      </c>
      <c r="L34" s="33">
        <f t="shared" si="4"/>
        <v>25993.5</v>
      </c>
      <c r="M34" s="29">
        <v>37</v>
      </c>
      <c r="N34" s="34">
        <f t="shared" si="5"/>
        <v>13</v>
      </c>
      <c r="O34" s="35">
        <f t="shared" si="6"/>
        <v>616651.25</v>
      </c>
      <c r="P34" s="36">
        <f t="shared" si="7"/>
        <v>216661.25</v>
      </c>
      <c r="Q34" s="43"/>
      <c r="R34" s="67">
        <v>44409</v>
      </c>
      <c r="S34" s="67">
        <v>45930</v>
      </c>
      <c r="Y34" s="99"/>
      <c r="AB34" s="95"/>
    </row>
    <row r="35" spans="1:28" ht="21" x14ac:dyDescent="0.35">
      <c r="A35" s="108">
        <v>31</v>
      </c>
      <c r="B35" s="28" t="s">
        <v>26</v>
      </c>
      <c r="C35" s="66" t="s">
        <v>73</v>
      </c>
      <c r="D35" s="30">
        <v>750000</v>
      </c>
      <c r="E35" s="30">
        <v>99975</v>
      </c>
      <c r="F35" s="31">
        <f t="shared" si="0"/>
        <v>849975</v>
      </c>
      <c r="G35" s="27">
        <v>60</v>
      </c>
      <c r="H35" s="54">
        <v>16666.25</v>
      </c>
      <c r="I35" s="33">
        <f t="shared" si="8"/>
        <v>1999.5</v>
      </c>
      <c r="J35" s="33">
        <f t="shared" si="9"/>
        <v>15000</v>
      </c>
      <c r="K35" s="33">
        <f t="shared" si="3"/>
        <v>73981.5</v>
      </c>
      <c r="L35" s="33">
        <f t="shared" si="4"/>
        <v>45988.5</v>
      </c>
      <c r="M35" s="29">
        <v>37</v>
      </c>
      <c r="N35" s="34">
        <f t="shared" si="5"/>
        <v>23</v>
      </c>
      <c r="O35" s="35">
        <f t="shared" si="6"/>
        <v>616651.25</v>
      </c>
      <c r="P35" s="36">
        <f t="shared" si="7"/>
        <v>383323.75</v>
      </c>
      <c r="Q35" s="43"/>
      <c r="R35" s="67">
        <v>44409</v>
      </c>
      <c r="S35" s="67">
        <v>46234</v>
      </c>
      <c r="Y35" s="99"/>
      <c r="AB35" s="95"/>
    </row>
    <row r="36" spans="1:28" ht="21" x14ac:dyDescent="0.35">
      <c r="A36" s="108">
        <v>32</v>
      </c>
      <c r="B36" s="28" t="s">
        <v>26</v>
      </c>
      <c r="C36" s="66" t="s">
        <v>74</v>
      </c>
      <c r="D36" s="30">
        <v>250000</v>
      </c>
      <c r="E36" s="30">
        <v>33225</v>
      </c>
      <c r="F36" s="31">
        <f t="shared" si="0"/>
        <v>283225</v>
      </c>
      <c r="G36" s="27">
        <v>60</v>
      </c>
      <c r="H36" s="54">
        <v>4722.08</v>
      </c>
      <c r="I36" s="33">
        <f t="shared" si="8"/>
        <v>664.5</v>
      </c>
      <c r="J36" s="33">
        <f t="shared" si="9"/>
        <v>5000</v>
      </c>
      <c r="K36" s="33">
        <f t="shared" si="3"/>
        <v>24586.5</v>
      </c>
      <c r="L36" s="33">
        <f t="shared" si="4"/>
        <v>15283.5</v>
      </c>
      <c r="M36" s="29">
        <v>37</v>
      </c>
      <c r="N36" s="34">
        <f t="shared" si="5"/>
        <v>23</v>
      </c>
      <c r="O36" s="35">
        <f t="shared" si="6"/>
        <v>174716.96</v>
      </c>
      <c r="P36" s="36">
        <f t="shared" si="7"/>
        <v>108607.84</v>
      </c>
      <c r="Q36" s="43"/>
      <c r="R36" s="67">
        <v>44409</v>
      </c>
      <c r="S36" s="67">
        <v>46234</v>
      </c>
      <c r="Y36" s="99"/>
      <c r="AB36" s="95"/>
    </row>
    <row r="37" spans="1:28" ht="21" x14ac:dyDescent="0.35">
      <c r="A37" s="108">
        <v>33</v>
      </c>
      <c r="B37" s="28" t="s">
        <v>26</v>
      </c>
      <c r="C37" s="66" t="s">
        <v>113</v>
      </c>
      <c r="D37" s="30">
        <v>450000</v>
      </c>
      <c r="E37" s="30">
        <v>49987.5</v>
      </c>
      <c r="F37" s="31">
        <f t="shared" si="0"/>
        <v>499987.5</v>
      </c>
      <c r="G37" s="27">
        <v>50</v>
      </c>
      <c r="H37" s="54">
        <v>9999.75</v>
      </c>
      <c r="I37" s="33">
        <f t="shared" si="8"/>
        <v>999.75</v>
      </c>
      <c r="J37" s="33">
        <f t="shared" si="9"/>
        <v>9000</v>
      </c>
      <c r="K37" s="33">
        <f t="shared" si="3"/>
        <v>36990.75</v>
      </c>
      <c r="L37" s="33">
        <f t="shared" si="4"/>
        <v>12996.75</v>
      </c>
      <c r="M37" s="29">
        <v>37</v>
      </c>
      <c r="N37" s="34">
        <f t="shared" si="5"/>
        <v>13</v>
      </c>
      <c r="O37" s="35">
        <f t="shared" si="6"/>
        <v>369990.75</v>
      </c>
      <c r="P37" s="36">
        <f t="shared" si="7"/>
        <v>129996.75</v>
      </c>
      <c r="Q37" s="43"/>
      <c r="R37" s="67">
        <v>44409</v>
      </c>
      <c r="S37" s="67">
        <v>45930</v>
      </c>
      <c r="Y37" s="99"/>
      <c r="AB37" s="95"/>
    </row>
    <row r="38" spans="1:28" ht="21" x14ac:dyDescent="0.35">
      <c r="A38" s="108">
        <v>34</v>
      </c>
      <c r="B38" s="28" t="s">
        <v>26</v>
      </c>
      <c r="C38" s="66" t="s">
        <v>75</v>
      </c>
      <c r="D38" s="30">
        <v>450000</v>
      </c>
      <c r="E38" s="30">
        <v>59985</v>
      </c>
      <c r="F38" s="31">
        <f t="shared" si="0"/>
        <v>509985</v>
      </c>
      <c r="G38" s="27">
        <v>60</v>
      </c>
      <c r="H38" s="54">
        <v>8499.75</v>
      </c>
      <c r="I38" s="33">
        <f t="shared" si="8"/>
        <v>1199.7</v>
      </c>
      <c r="J38" s="33">
        <f t="shared" si="9"/>
        <v>9000</v>
      </c>
      <c r="K38" s="33">
        <f t="shared" si="3"/>
        <v>44388.9</v>
      </c>
      <c r="L38" s="33">
        <f t="shared" si="4"/>
        <v>27593.100000000002</v>
      </c>
      <c r="M38" s="29">
        <v>37</v>
      </c>
      <c r="N38" s="34">
        <f t="shared" si="5"/>
        <v>23</v>
      </c>
      <c r="O38" s="35">
        <f t="shared" si="6"/>
        <v>314490.75</v>
      </c>
      <c r="P38" s="36">
        <f t="shared" si="7"/>
        <v>195494.25</v>
      </c>
      <c r="Q38" s="43"/>
      <c r="R38" s="67">
        <v>44409</v>
      </c>
      <c r="S38" s="67">
        <v>46234</v>
      </c>
      <c r="Y38" s="99"/>
      <c r="AB38" s="95"/>
    </row>
    <row r="39" spans="1:28" ht="21" x14ac:dyDescent="0.35">
      <c r="A39" s="108">
        <v>35</v>
      </c>
      <c r="B39" s="28" t="s">
        <v>26</v>
      </c>
      <c r="C39" s="66" t="s">
        <v>76</v>
      </c>
      <c r="D39" s="30">
        <v>750000</v>
      </c>
      <c r="E39" s="30">
        <v>99975</v>
      </c>
      <c r="F39" s="31">
        <f t="shared" si="0"/>
        <v>849975</v>
      </c>
      <c r="G39" s="27">
        <v>60</v>
      </c>
      <c r="H39" s="54">
        <v>14166.25</v>
      </c>
      <c r="I39" s="33">
        <f t="shared" si="8"/>
        <v>1999.5</v>
      </c>
      <c r="J39" s="33">
        <f t="shared" si="9"/>
        <v>15000</v>
      </c>
      <c r="K39" s="33">
        <f t="shared" si="3"/>
        <v>73981.5</v>
      </c>
      <c r="L39" s="33">
        <f t="shared" si="4"/>
        <v>45988.5</v>
      </c>
      <c r="M39" s="29">
        <v>37</v>
      </c>
      <c r="N39" s="34">
        <f t="shared" si="5"/>
        <v>23</v>
      </c>
      <c r="O39" s="35">
        <f t="shared" si="6"/>
        <v>524151.25</v>
      </c>
      <c r="P39" s="36">
        <f t="shared" si="7"/>
        <v>325823.75</v>
      </c>
      <c r="Q39" s="43"/>
      <c r="R39" s="67">
        <v>44409</v>
      </c>
      <c r="S39" s="67">
        <v>46234</v>
      </c>
      <c r="Y39" s="99"/>
      <c r="AB39" s="95"/>
    </row>
    <row r="40" spans="1:28" ht="21" x14ac:dyDescent="0.35">
      <c r="A40" s="108">
        <v>36</v>
      </c>
      <c r="B40" s="28" t="s">
        <v>26</v>
      </c>
      <c r="C40" s="66" t="s">
        <v>77</v>
      </c>
      <c r="D40" s="30">
        <v>250000</v>
      </c>
      <c r="E40" s="30">
        <v>33225</v>
      </c>
      <c r="F40" s="31">
        <f t="shared" si="0"/>
        <v>283225</v>
      </c>
      <c r="G40" s="27">
        <v>60</v>
      </c>
      <c r="H40" s="54">
        <v>4722.08</v>
      </c>
      <c r="I40" s="33">
        <f t="shared" si="8"/>
        <v>664.5</v>
      </c>
      <c r="J40" s="33">
        <f t="shared" si="9"/>
        <v>5000</v>
      </c>
      <c r="K40" s="33">
        <f t="shared" si="3"/>
        <v>24586.5</v>
      </c>
      <c r="L40" s="33">
        <f t="shared" si="4"/>
        <v>15283.5</v>
      </c>
      <c r="M40" s="29">
        <v>37</v>
      </c>
      <c r="N40" s="34">
        <f t="shared" si="5"/>
        <v>23</v>
      </c>
      <c r="O40" s="35">
        <f t="shared" si="6"/>
        <v>174716.96</v>
      </c>
      <c r="P40" s="36">
        <f t="shared" si="7"/>
        <v>108607.84</v>
      </c>
      <c r="Q40" s="43"/>
      <c r="R40" s="67">
        <v>44409</v>
      </c>
      <c r="S40" s="67">
        <v>46234</v>
      </c>
      <c r="Y40" s="99"/>
      <c r="AB40" s="95"/>
    </row>
    <row r="41" spans="1:28" ht="21" x14ac:dyDescent="0.35">
      <c r="A41" s="108">
        <v>37</v>
      </c>
      <c r="B41" s="28" t="s">
        <v>26</v>
      </c>
      <c r="C41" s="66" t="s">
        <v>79</v>
      </c>
      <c r="D41" s="30">
        <v>450000</v>
      </c>
      <c r="E41" s="30">
        <v>59985</v>
      </c>
      <c r="F41" s="31">
        <f t="shared" si="0"/>
        <v>509985</v>
      </c>
      <c r="G41" s="27">
        <v>60</v>
      </c>
      <c r="H41" s="54">
        <v>8499.75</v>
      </c>
      <c r="I41" s="33">
        <f t="shared" si="8"/>
        <v>1199.7</v>
      </c>
      <c r="J41" s="33">
        <f t="shared" si="9"/>
        <v>9000</v>
      </c>
      <c r="K41" s="33">
        <f t="shared" si="3"/>
        <v>44388.9</v>
      </c>
      <c r="L41" s="33">
        <f t="shared" si="4"/>
        <v>27593.100000000002</v>
      </c>
      <c r="M41" s="29">
        <v>37</v>
      </c>
      <c r="N41" s="34">
        <f t="shared" si="5"/>
        <v>23</v>
      </c>
      <c r="O41" s="35">
        <f t="shared" si="6"/>
        <v>314490.75</v>
      </c>
      <c r="P41" s="36">
        <f t="shared" si="7"/>
        <v>195494.25</v>
      </c>
      <c r="Q41" s="43"/>
      <c r="R41" s="67">
        <v>44409</v>
      </c>
      <c r="S41" s="67">
        <v>46234</v>
      </c>
      <c r="Y41" s="99"/>
      <c r="AB41" s="95"/>
    </row>
    <row r="42" spans="1:28" ht="21" x14ac:dyDescent="0.35">
      <c r="A42" s="108">
        <v>38</v>
      </c>
      <c r="B42" s="28" t="s">
        <v>26</v>
      </c>
      <c r="C42" s="66" t="s">
        <v>81</v>
      </c>
      <c r="D42" s="30">
        <v>250000</v>
      </c>
      <c r="E42" s="30">
        <v>33225</v>
      </c>
      <c r="F42" s="31">
        <f t="shared" si="0"/>
        <v>283225</v>
      </c>
      <c r="G42" s="27">
        <v>60</v>
      </c>
      <c r="H42" s="54">
        <v>4722.09</v>
      </c>
      <c r="I42" s="33">
        <f t="shared" si="8"/>
        <v>664.5</v>
      </c>
      <c r="J42" s="33">
        <f t="shared" si="9"/>
        <v>5000</v>
      </c>
      <c r="K42" s="33">
        <f t="shared" si="3"/>
        <v>24586.5</v>
      </c>
      <c r="L42" s="33">
        <f t="shared" si="4"/>
        <v>15283.5</v>
      </c>
      <c r="M42" s="29">
        <v>37</v>
      </c>
      <c r="N42" s="34">
        <f t="shared" si="5"/>
        <v>23</v>
      </c>
      <c r="O42" s="35">
        <f t="shared" si="6"/>
        <v>174717.33000000002</v>
      </c>
      <c r="P42" s="36">
        <f t="shared" si="7"/>
        <v>108608.07</v>
      </c>
      <c r="Q42" s="43"/>
      <c r="R42" s="67">
        <v>44409</v>
      </c>
      <c r="S42" s="67">
        <v>46234</v>
      </c>
      <c r="Y42" s="99"/>
      <c r="AB42" s="95"/>
    </row>
    <row r="43" spans="1:28" ht="21" x14ac:dyDescent="0.35">
      <c r="A43" s="108">
        <v>39</v>
      </c>
      <c r="B43" s="28" t="s">
        <v>26</v>
      </c>
      <c r="C43" s="66" t="s">
        <v>84</v>
      </c>
      <c r="D43" s="30">
        <v>750000</v>
      </c>
      <c r="E43" s="30">
        <v>99975</v>
      </c>
      <c r="F43" s="31">
        <f t="shared" si="0"/>
        <v>849975</v>
      </c>
      <c r="G43" s="27">
        <v>60</v>
      </c>
      <c r="H43" s="40">
        <v>14166.25</v>
      </c>
      <c r="I43" s="33">
        <f t="shared" si="8"/>
        <v>1999.5</v>
      </c>
      <c r="J43" s="33">
        <f t="shared" si="9"/>
        <v>15000</v>
      </c>
      <c r="K43" s="33">
        <f t="shared" si="3"/>
        <v>17995.5</v>
      </c>
      <c r="L43" s="33">
        <f t="shared" si="4"/>
        <v>101974.5</v>
      </c>
      <c r="M43" s="55">
        <v>9</v>
      </c>
      <c r="N43" s="34">
        <f t="shared" si="5"/>
        <v>51</v>
      </c>
      <c r="O43" s="35">
        <f t="shared" si="6"/>
        <v>127496.25</v>
      </c>
      <c r="P43" s="36">
        <f t="shared" si="7"/>
        <v>722478.75</v>
      </c>
      <c r="Q43" s="71"/>
      <c r="R43" s="64">
        <v>44012</v>
      </c>
      <c r="S43" s="18">
        <v>45869</v>
      </c>
      <c r="Y43" s="99"/>
      <c r="AB43" s="95"/>
    </row>
    <row r="44" spans="1:28" ht="21" x14ac:dyDescent="0.35">
      <c r="A44" s="108">
        <v>40</v>
      </c>
      <c r="B44" s="28" t="s">
        <v>26</v>
      </c>
      <c r="C44" s="66" t="s">
        <v>85</v>
      </c>
      <c r="D44" s="30">
        <v>600000</v>
      </c>
      <c r="E44" s="30">
        <v>79980</v>
      </c>
      <c r="F44" s="31">
        <f t="shared" si="0"/>
        <v>679980</v>
      </c>
      <c r="G44" s="27">
        <v>60</v>
      </c>
      <c r="H44" s="40">
        <v>11333</v>
      </c>
      <c r="I44" s="33">
        <f t="shared" si="8"/>
        <v>1599.6</v>
      </c>
      <c r="J44" s="33">
        <f t="shared" si="9"/>
        <v>12000</v>
      </c>
      <c r="K44" s="33">
        <f t="shared" si="3"/>
        <v>55986</v>
      </c>
      <c r="L44" s="33">
        <f t="shared" si="4"/>
        <v>39990</v>
      </c>
      <c r="M44" s="55">
        <v>35</v>
      </c>
      <c r="N44" s="34">
        <f t="shared" si="5"/>
        <v>25</v>
      </c>
      <c r="O44" s="35">
        <f t="shared" si="6"/>
        <v>396655</v>
      </c>
      <c r="P44" s="36">
        <f t="shared" si="7"/>
        <v>283325</v>
      </c>
      <c r="Q44" s="43"/>
      <c r="R44" s="64">
        <v>44470</v>
      </c>
      <c r="S44" s="18">
        <v>46295</v>
      </c>
      <c r="Y44" s="99"/>
      <c r="AB44" s="95"/>
    </row>
    <row r="45" spans="1:28" ht="21" x14ac:dyDescent="0.35">
      <c r="A45" s="108">
        <v>41</v>
      </c>
      <c r="B45" s="28" t="s">
        <v>26</v>
      </c>
      <c r="C45" s="66" t="s">
        <v>86</v>
      </c>
      <c r="D45" s="30">
        <v>750000</v>
      </c>
      <c r="E45" s="30">
        <v>99975</v>
      </c>
      <c r="F45" s="31">
        <f t="shared" si="0"/>
        <v>849975</v>
      </c>
      <c r="G45" s="27">
        <v>36</v>
      </c>
      <c r="H45" s="40">
        <v>22499.58</v>
      </c>
      <c r="I45" s="33">
        <f t="shared" si="8"/>
        <v>1999.5</v>
      </c>
      <c r="J45" s="33">
        <f t="shared" si="9"/>
        <v>15000</v>
      </c>
      <c r="K45" s="33">
        <f t="shared" si="3"/>
        <v>69982.5</v>
      </c>
      <c r="L45" s="33">
        <f t="shared" si="4"/>
        <v>1999.5</v>
      </c>
      <c r="M45" s="55">
        <v>35</v>
      </c>
      <c r="N45" s="34">
        <f t="shared" si="5"/>
        <v>1</v>
      </c>
      <c r="O45" s="35">
        <f t="shared" si="6"/>
        <v>787485.3</v>
      </c>
      <c r="P45" s="36">
        <f t="shared" si="7"/>
        <v>22499.58</v>
      </c>
      <c r="Q45" s="43"/>
      <c r="R45" s="64">
        <v>44470</v>
      </c>
      <c r="S45" s="18">
        <v>45565</v>
      </c>
      <c r="Y45" s="99"/>
      <c r="AB45" s="95"/>
    </row>
    <row r="46" spans="1:28" ht="21" x14ac:dyDescent="0.35">
      <c r="A46" s="108">
        <v>42</v>
      </c>
      <c r="B46" s="28" t="s">
        <v>26</v>
      </c>
      <c r="C46" s="66" t="s">
        <v>87</v>
      </c>
      <c r="D46" s="30">
        <v>450000</v>
      </c>
      <c r="E46" s="30">
        <v>39990</v>
      </c>
      <c r="F46" s="31">
        <v>489990</v>
      </c>
      <c r="G46" s="27">
        <v>40</v>
      </c>
      <c r="H46" s="40">
        <v>12249.75</v>
      </c>
      <c r="I46" s="33">
        <f t="shared" si="8"/>
        <v>799.8</v>
      </c>
      <c r="J46" s="33">
        <f t="shared" si="9"/>
        <v>9000</v>
      </c>
      <c r="K46" s="33">
        <f t="shared" si="3"/>
        <v>27993</v>
      </c>
      <c r="L46" s="33">
        <f t="shared" si="4"/>
        <v>3999</v>
      </c>
      <c r="M46" s="55">
        <v>35</v>
      </c>
      <c r="N46" s="34">
        <f t="shared" si="5"/>
        <v>5</v>
      </c>
      <c r="O46" s="35">
        <f t="shared" si="6"/>
        <v>428741.25</v>
      </c>
      <c r="P46" s="36">
        <f t="shared" si="7"/>
        <v>61248.75</v>
      </c>
      <c r="Q46" s="43"/>
      <c r="R46" s="64">
        <v>44470</v>
      </c>
      <c r="S46" s="18">
        <v>45688</v>
      </c>
      <c r="Y46" s="99"/>
      <c r="AB46" s="95"/>
    </row>
    <row r="47" spans="1:28" ht="21" x14ac:dyDescent="0.35">
      <c r="A47" s="108">
        <v>43</v>
      </c>
      <c r="B47" s="28" t="s">
        <v>26</v>
      </c>
      <c r="C47" s="66" t="s">
        <v>88</v>
      </c>
      <c r="D47" s="30">
        <v>450000</v>
      </c>
      <c r="E47" s="30">
        <v>59985</v>
      </c>
      <c r="F47" s="31">
        <f t="shared" si="0"/>
        <v>509985</v>
      </c>
      <c r="G47" s="27">
        <v>60</v>
      </c>
      <c r="H47" s="40">
        <v>8499.75</v>
      </c>
      <c r="I47" s="33">
        <f t="shared" si="8"/>
        <v>1199.7</v>
      </c>
      <c r="J47" s="33">
        <f t="shared" si="9"/>
        <v>9000</v>
      </c>
      <c r="K47" s="33">
        <f t="shared" si="3"/>
        <v>41989.5</v>
      </c>
      <c r="L47" s="33">
        <f t="shared" si="4"/>
        <v>29992.5</v>
      </c>
      <c r="M47" s="55">
        <v>35</v>
      </c>
      <c r="N47" s="34">
        <f t="shared" si="5"/>
        <v>25</v>
      </c>
      <c r="O47" s="35">
        <f t="shared" si="6"/>
        <v>297491.25</v>
      </c>
      <c r="P47" s="36">
        <f t="shared" si="7"/>
        <v>212493.75</v>
      </c>
      <c r="Q47" s="43"/>
      <c r="R47" s="64">
        <v>44470</v>
      </c>
      <c r="S47" s="18">
        <v>46295</v>
      </c>
      <c r="Y47" s="99"/>
      <c r="AB47" s="95"/>
    </row>
    <row r="48" spans="1:28" ht="21" x14ac:dyDescent="0.35">
      <c r="A48" s="108">
        <v>44</v>
      </c>
      <c r="B48" s="28" t="s">
        <v>26</v>
      </c>
      <c r="C48" s="66" t="s">
        <v>89</v>
      </c>
      <c r="D48" s="30">
        <v>250000</v>
      </c>
      <c r="E48" s="30">
        <v>27771</v>
      </c>
      <c r="F48" s="31">
        <v>277771</v>
      </c>
      <c r="G48" s="27">
        <v>50</v>
      </c>
      <c r="H48" s="40">
        <v>5555.42</v>
      </c>
      <c r="I48" s="33">
        <f t="shared" si="8"/>
        <v>555.41999999999996</v>
      </c>
      <c r="J48" s="33">
        <f t="shared" si="9"/>
        <v>5000</v>
      </c>
      <c r="K48" s="33">
        <f t="shared" si="3"/>
        <v>19439.699999999997</v>
      </c>
      <c r="L48" s="33">
        <f t="shared" si="4"/>
        <v>8331.2999999999993</v>
      </c>
      <c r="M48" s="55">
        <v>35</v>
      </c>
      <c r="N48" s="34">
        <f t="shared" si="5"/>
        <v>15</v>
      </c>
      <c r="O48" s="35">
        <f t="shared" si="6"/>
        <v>194439.7</v>
      </c>
      <c r="P48" s="36">
        <f t="shared" si="7"/>
        <v>83331.3</v>
      </c>
      <c r="Q48" s="43"/>
      <c r="R48" s="64">
        <v>44470</v>
      </c>
      <c r="S48" s="18">
        <v>45991</v>
      </c>
      <c r="Y48" s="99"/>
      <c r="AB48" s="95"/>
    </row>
    <row r="49" spans="1:28" ht="21" x14ac:dyDescent="0.35">
      <c r="A49" s="108">
        <v>45</v>
      </c>
      <c r="B49" s="28" t="s">
        <v>26</v>
      </c>
      <c r="C49" s="66" t="s">
        <v>90</v>
      </c>
      <c r="D49" s="30">
        <v>450000</v>
      </c>
      <c r="E49" s="30">
        <v>59985</v>
      </c>
      <c r="F49" s="31">
        <f t="shared" si="0"/>
        <v>509985</v>
      </c>
      <c r="G49" s="27">
        <v>60</v>
      </c>
      <c r="H49" s="40">
        <v>8499.75</v>
      </c>
      <c r="I49" s="33">
        <f t="shared" si="8"/>
        <v>1199.7</v>
      </c>
      <c r="J49" s="33">
        <f t="shared" si="9"/>
        <v>9000</v>
      </c>
      <c r="K49" s="33">
        <f t="shared" si="3"/>
        <v>41989.5</v>
      </c>
      <c r="L49" s="33">
        <f t="shared" si="4"/>
        <v>29992.5</v>
      </c>
      <c r="M49" s="55">
        <v>35</v>
      </c>
      <c r="N49" s="34">
        <f t="shared" si="5"/>
        <v>25</v>
      </c>
      <c r="O49" s="35">
        <f t="shared" si="6"/>
        <v>297491.25</v>
      </c>
      <c r="P49" s="36">
        <f t="shared" si="7"/>
        <v>212493.75</v>
      </c>
      <c r="Q49" s="43"/>
      <c r="R49" s="64">
        <v>44470</v>
      </c>
      <c r="S49" s="18">
        <v>46295</v>
      </c>
      <c r="Y49" s="99"/>
      <c r="AB49" s="95"/>
    </row>
    <row r="50" spans="1:28" ht="21" x14ac:dyDescent="0.35">
      <c r="A50" s="108">
        <v>46</v>
      </c>
      <c r="B50" s="28" t="s">
        <v>26</v>
      </c>
      <c r="C50" s="66" t="s">
        <v>91</v>
      </c>
      <c r="D50" s="30">
        <v>250000</v>
      </c>
      <c r="E50" s="30">
        <v>33225</v>
      </c>
      <c r="F50" s="31">
        <f t="shared" si="0"/>
        <v>283225</v>
      </c>
      <c r="G50" s="27">
        <v>60</v>
      </c>
      <c r="H50" s="102">
        <v>4722.08</v>
      </c>
      <c r="I50" s="33">
        <f t="shared" si="8"/>
        <v>664.5</v>
      </c>
      <c r="J50" s="33">
        <f t="shared" si="9"/>
        <v>5000</v>
      </c>
      <c r="K50" s="33">
        <f t="shared" si="3"/>
        <v>23257.5</v>
      </c>
      <c r="L50" s="33">
        <f t="shared" si="4"/>
        <v>16612.5</v>
      </c>
      <c r="M50" s="55">
        <v>35</v>
      </c>
      <c r="N50" s="34">
        <f t="shared" si="5"/>
        <v>25</v>
      </c>
      <c r="O50" s="35">
        <f t="shared" si="6"/>
        <v>165272.79999999999</v>
      </c>
      <c r="P50" s="36">
        <f t="shared" si="7"/>
        <v>118052</v>
      </c>
      <c r="Q50" s="71"/>
      <c r="R50" s="64">
        <v>44470</v>
      </c>
      <c r="S50" s="18">
        <v>46295</v>
      </c>
      <c r="Y50" s="99"/>
      <c r="AB50" s="95"/>
    </row>
    <row r="51" spans="1:28" ht="21" x14ac:dyDescent="0.35">
      <c r="A51" s="108">
        <v>47</v>
      </c>
      <c r="B51" s="28" t="s">
        <v>26</v>
      </c>
      <c r="C51" s="66" t="s">
        <v>92</v>
      </c>
      <c r="D51" s="30">
        <v>600000</v>
      </c>
      <c r="E51" s="30">
        <v>79980</v>
      </c>
      <c r="F51" s="31">
        <f t="shared" si="0"/>
        <v>679980</v>
      </c>
      <c r="G51" s="27">
        <v>60</v>
      </c>
      <c r="H51" s="72">
        <v>11333</v>
      </c>
      <c r="I51" s="33">
        <f t="shared" si="8"/>
        <v>1599.6</v>
      </c>
      <c r="J51" s="33">
        <f t="shared" si="9"/>
        <v>12000</v>
      </c>
      <c r="K51" s="33">
        <f t="shared" si="3"/>
        <v>46388.399999999994</v>
      </c>
      <c r="L51" s="33">
        <f t="shared" si="4"/>
        <v>49587.6</v>
      </c>
      <c r="M51" s="2">
        <v>29</v>
      </c>
      <c r="N51" s="74">
        <f t="shared" si="5"/>
        <v>31</v>
      </c>
      <c r="O51" s="35">
        <f t="shared" si="6"/>
        <v>328657</v>
      </c>
      <c r="P51" s="36">
        <f t="shared" si="7"/>
        <v>351323</v>
      </c>
      <c r="Q51" s="19" t="s">
        <v>94</v>
      </c>
      <c r="R51" s="69">
        <v>44652</v>
      </c>
      <c r="S51" s="69">
        <v>46477</v>
      </c>
      <c r="Y51" s="99"/>
      <c r="AB51" s="95"/>
    </row>
    <row r="52" spans="1:28" ht="21" x14ac:dyDescent="0.35">
      <c r="A52" s="108">
        <v>48</v>
      </c>
      <c r="B52" s="28" t="s">
        <v>26</v>
      </c>
      <c r="C52" s="94" t="s">
        <v>95</v>
      </c>
      <c r="D52" s="30">
        <v>250000</v>
      </c>
      <c r="E52" s="30">
        <v>33225</v>
      </c>
      <c r="F52" s="31">
        <f t="shared" si="0"/>
        <v>283225</v>
      </c>
      <c r="G52" s="27">
        <v>60</v>
      </c>
      <c r="H52" s="72">
        <v>4722.08</v>
      </c>
      <c r="I52" s="33">
        <f t="shared" si="8"/>
        <v>664.5</v>
      </c>
      <c r="J52" s="33">
        <f t="shared" si="9"/>
        <v>5000</v>
      </c>
      <c r="K52" s="33">
        <f t="shared" si="3"/>
        <v>0</v>
      </c>
      <c r="L52" s="33">
        <f t="shared" si="4"/>
        <v>0</v>
      </c>
      <c r="M52" s="3"/>
      <c r="N52" s="3"/>
      <c r="O52" s="3"/>
      <c r="P52" s="3"/>
      <c r="Q52" s="73" t="s">
        <v>37</v>
      </c>
      <c r="R52" s="68"/>
      <c r="S52" s="69"/>
      <c r="Y52" s="99"/>
      <c r="AB52" s="95"/>
    </row>
    <row r="53" spans="1:28" ht="21" x14ac:dyDescent="0.35">
      <c r="A53" s="108">
        <v>49</v>
      </c>
      <c r="B53" s="28" t="s">
        <v>26</v>
      </c>
      <c r="C53" s="94" t="s">
        <v>96</v>
      </c>
      <c r="D53" s="30">
        <v>450000</v>
      </c>
      <c r="E53" s="30">
        <v>59985</v>
      </c>
      <c r="F53" s="31">
        <f t="shared" si="0"/>
        <v>509985</v>
      </c>
      <c r="G53" s="27">
        <v>60</v>
      </c>
      <c r="H53" s="72">
        <v>8499.75</v>
      </c>
      <c r="I53" s="33">
        <f t="shared" si="8"/>
        <v>1199.7</v>
      </c>
      <c r="J53" s="33">
        <f t="shared" si="9"/>
        <v>9000</v>
      </c>
      <c r="K53" s="33">
        <f t="shared" si="3"/>
        <v>63584.100000000006</v>
      </c>
      <c r="L53" s="33">
        <f t="shared" si="4"/>
        <v>8397.9</v>
      </c>
      <c r="M53" s="3">
        <v>53</v>
      </c>
      <c r="N53" s="3">
        <f t="shared" ref="N53:N152" si="10">G53-M53</f>
        <v>7</v>
      </c>
      <c r="O53" s="5">
        <f t="shared" ref="O53:O152" si="11">H53*M53</f>
        <v>450486.75</v>
      </c>
      <c r="P53" s="5">
        <f t="shared" ref="P53:P152" si="12">H53*N53</f>
        <v>59498.25</v>
      </c>
      <c r="Q53" s="71"/>
      <c r="R53" s="68">
        <v>43891</v>
      </c>
      <c r="S53" s="69">
        <v>45716</v>
      </c>
      <c r="Y53" s="99"/>
      <c r="AB53" s="95"/>
    </row>
    <row r="54" spans="1:28" ht="21" x14ac:dyDescent="0.35">
      <c r="A54" s="108">
        <v>50</v>
      </c>
      <c r="B54" s="28" t="s">
        <v>26</v>
      </c>
      <c r="C54" s="66" t="s">
        <v>114</v>
      </c>
      <c r="D54" s="30">
        <v>450000</v>
      </c>
      <c r="E54" s="30">
        <v>59985</v>
      </c>
      <c r="F54" s="31">
        <f t="shared" si="0"/>
        <v>509985</v>
      </c>
      <c r="G54" s="27">
        <v>60</v>
      </c>
      <c r="H54" s="72">
        <v>8499.75</v>
      </c>
      <c r="I54" s="33">
        <f t="shared" si="8"/>
        <v>1199.7</v>
      </c>
      <c r="J54" s="33">
        <f t="shared" si="9"/>
        <v>9000</v>
      </c>
      <c r="K54" s="33">
        <f t="shared" si="3"/>
        <v>45588.6</v>
      </c>
      <c r="L54" s="33">
        <f t="shared" si="4"/>
        <v>26393.4</v>
      </c>
      <c r="M54" s="3">
        <v>38</v>
      </c>
      <c r="N54" s="3">
        <f t="shared" si="10"/>
        <v>22</v>
      </c>
      <c r="O54" s="5">
        <f t="shared" si="11"/>
        <v>322990.5</v>
      </c>
      <c r="P54" s="5">
        <f t="shared" si="12"/>
        <v>186994.5</v>
      </c>
      <c r="Q54" s="73" t="s">
        <v>94</v>
      </c>
      <c r="R54" s="76">
        <v>44378</v>
      </c>
      <c r="S54" s="77">
        <v>46203</v>
      </c>
      <c r="Y54" s="99"/>
      <c r="AB54" s="95"/>
    </row>
    <row r="55" spans="1:28" ht="21" x14ac:dyDescent="0.35">
      <c r="A55" s="108">
        <v>51</v>
      </c>
      <c r="B55" s="28" t="s">
        <v>26</v>
      </c>
      <c r="C55" s="66" t="s">
        <v>97</v>
      </c>
      <c r="D55" s="30">
        <v>600000</v>
      </c>
      <c r="E55" s="30">
        <v>79980</v>
      </c>
      <c r="F55" s="31">
        <f t="shared" si="0"/>
        <v>679980</v>
      </c>
      <c r="G55" s="27">
        <v>50</v>
      </c>
      <c r="H55" s="72">
        <v>13599.6</v>
      </c>
      <c r="I55" s="33">
        <f t="shared" si="8"/>
        <v>1599.6</v>
      </c>
      <c r="J55" s="33">
        <f t="shared" si="9"/>
        <v>12000</v>
      </c>
      <c r="K55" s="33">
        <f t="shared" si="3"/>
        <v>57585.599999999999</v>
      </c>
      <c r="L55" s="33">
        <f t="shared" si="4"/>
        <v>22394.399999999998</v>
      </c>
      <c r="M55" s="3">
        <v>36</v>
      </c>
      <c r="N55" s="3">
        <f t="shared" si="10"/>
        <v>14</v>
      </c>
      <c r="O55" s="5">
        <f t="shared" si="11"/>
        <v>489585.60000000003</v>
      </c>
      <c r="P55" s="5">
        <f t="shared" si="12"/>
        <v>190394.4</v>
      </c>
      <c r="Q55" s="73" t="s">
        <v>94</v>
      </c>
      <c r="R55" s="76">
        <v>44409</v>
      </c>
      <c r="S55" s="77">
        <v>45930</v>
      </c>
      <c r="Y55" s="99"/>
      <c r="AB55" s="95"/>
    </row>
    <row r="56" spans="1:28" ht="21" x14ac:dyDescent="0.35">
      <c r="A56" s="108">
        <v>52</v>
      </c>
      <c r="B56" s="28" t="s">
        <v>26</v>
      </c>
      <c r="C56" s="66" t="s">
        <v>98</v>
      </c>
      <c r="D56" s="30">
        <v>250000</v>
      </c>
      <c r="E56" s="30">
        <v>33225</v>
      </c>
      <c r="F56" s="31">
        <f t="shared" si="0"/>
        <v>283225</v>
      </c>
      <c r="G56" s="27">
        <v>60</v>
      </c>
      <c r="H56" s="72">
        <v>4722.08</v>
      </c>
      <c r="I56" s="33">
        <f t="shared" si="8"/>
        <v>664.5</v>
      </c>
      <c r="J56" s="33">
        <f t="shared" si="9"/>
        <v>5000</v>
      </c>
      <c r="K56" s="33">
        <f t="shared" si="3"/>
        <v>28573.5</v>
      </c>
      <c r="L56" s="33">
        <f t="shared" si="4"/>
        <v>11296.5</v>
      </c>
      <c r="M56" s="3">
        <v>43</v>
      </c>
      <c r="N56" s="3">
        <f t="shared" si="10"/>
        <v>17</v>
      </c>
      <c r="O56" s="5">
        <f t="shared" si="11"/>
        <v>203049.44</v>
      </c>
      <c r="P56" s="5">
        <f t="shared" si="12"/>
        <v>80275.360000000001</v>
      </c>
      <c r="Q56" s="73" t="s">
        <v>94</v>
      </c>
      <c r="R56" s="76">
        <v>44197</v>
      </c>
      <c r="S56" s="77">
        <v>46022</v>
      </c>
      <c r="Y56" s="99"/>
      <c r="AB56" s="95"/>
    </row>
    <row r="57" spans="1:28" ht="21" x14ac:dyDescent="0.35">
      <c r="A57" s="108">
        <v>53</v>
      </c>
      <c r="B57" s="28" t="s">
        <v>26</v>
      </c>
      <c r="C57" s="78" t="s">
        <v>99</v>
      </c>
      <c r="D57" s="30">
        <v>600000</v>
      </c>
      <c r="E57" s="30">
        <v>47988.12</v>
      </c>
      <c r="F57" s="31">
        <f t="shared" si="0"/>
        <v>647988.12</v>
      </c>
      <c r="G57" s="27">
        <v>36</v>
      </c>
      <c r="H57" s="75">
        <v>17999.669999999998</v>
      </c>
      <c r="I57" s="33">
        <f t="shared" si="8"/>
        <v>959.76240000000007</v>
      </c>
      <c r="J57" s="33">
        <f t="shared" si="9"/>
        <v>12000</v>
      </c>
      <c r="K57" s="33">
        <f t="shared" si="3"/>
        <v>23994.06</v>
      </c>
      <c r="L57" s="33">
        <f t="shared" si="4"/>
        <v>10557.386400000001</v>
      </c>
      <c r="M57" s="1">
        <v>25</v>
      </c>
      <c r="N57" s="1">
        <f t="shared" si="10"/>
        <v>11</v>
      </c>
      <c r="O57" s="5">
        <f t="shared" si="11"/>
        <v>449991.74999999994</v>
      </c>
      <c r="P57" s="5">
        <f t="shared" si="12"/>
        <v>197996.37</v>
      </c>
      <c r="Q57" s="73" t="s">
        <v>94</v>
      </c>
      <c r="R57" s="79">
        <v>44774</v>
      </c>
      <c r="S57" s="80">
        <v>45869</v>
      </c>
      <c r="Y57" s="99"/>
      <c r="AB57" s="95"/>
    </row>
    <row r="58" spans="1:28" ht="21" x14ac:dyDescent="0.35">
      <c r="A58" s="108">
        <v>54</v>
      </c>
      <c r="B58" s="28" t="s">
        <v>26</v>
      </c>
      <c r="C58" s="66" t="s">
        <v>100</v>
      </c>
      <c r="D58" s="30">
        <v>750000</v>
      </c>
      <c r="E58" s="30">
        <v>99975</v>
      </c>
      <c r="F58" s="31">
        <f t="shared" si="0"/>
        <v>849975</v>
      </c>
      <c r="G58" s="27">
        <v>60</v>
      </c>
      <c r="H58" s="40">
        <v>14166.25</v>
      </c>
      <c r="I58" s="33">
        <f t="shared" si="8"/>
        <v>1999.5</v>
      </c>
      <c r="J58" s="33">
        <f t="shared" si="9"/>
        <v>15000</v>
      </c>
      <c r="K58" s="33">
        <f t="shared" si="3"/>
        <v>49987.5</v>
      </c>
      <c r="L58" s="33">
        <f t="shared" si="4"/>
        <v>69982.5</v>
      </c>
      <c r="M58" s="1">
        <v>25</v>
      </c>
      <c r="N58" s="1">
        <f t="shared" si="10"/>
        <v>35</v>
      </c>
      <c r="O58" s="5">
        <f t="shared" si="11"/>
        <v>354156.25</v>
      </c>
      <c r="P58" s="5">
        <f t="shared" si="12"/>
        <v>495818.75</v>
      </c>
      <c r="Q58" s="73" t="s">
        <v>94</v>
      </c>
      <c r="R58" s="79">
        <v>44774</v>
      </c>
      <c r="S58" s="80">
        <v>46599</v>
      </c>
      <c r="Y58" s="99"/>
      <c r="AB58" s="95"/>
    </row>
    <row r="59" spans="1:28" ht="21" x14ac:dyDescent="0.35">
      <c r="A59" s="108">
        <v>55</v>
      </c>
      <c r="B59" s="28" t="s">
        <v>26</v>
      </c>
      <c r="C59" s="66" t="s">
        <v>101</v>
      </c>
      <c r="D59" s="30">
        <v>750000</v>
      </c>
      <c r="E59" s="30">
        <v>99975</v>
      </c>
      <c r="F59" s="31">
        <f t="shared" si="0"/>
        <v>849975</v>
      </c>
      <c r="G59" s="27">
        <v>60</v>
      </c>
      <c r="H59" s="75">
        <v>14166.25</v>
      </c>
      <c r="I59" s="33">
        <f t="shared" si="8"/>
        <v>1999.5</v>
      </c>
      <c r="J59" s="33">
        <f t="shared" si="9"/>
        <v>15000</v>
      </c>
      <c r="K59" s="33">
        <f t="shared" si="3"/>
        <v>49987.5</v>
      </c>
      <c r="L59" s="33">
        <f t="shared" si="4"/>
        <v>69982.5</v>
      </c>
      <c r="M59" s="1">
        <v>25</v>
      </c>
      <c r="N59" s="1">
        <f t="shared" si="10"/>
        <v>35</v>
      </c>
      <c r="O59" s="5">
        <f t="shared" si="11"/>
        <v>354156.25</v>
      </c>
      <c r="P59" s="5">
        <f t="shared" si="12"/>
        <v>495818.75</v>
      </c>
      <c r="Q59" s="73" t="s">
        <v>94</v>
      </c>
      <c r="R59" s="79">
        <v>44774</v>
      </c>
      <c r="S59" s="80">
        <v>46599</v>
      </c>
      <c r="Y59" s="99"/>
      <c r="AB59" s="95"/>
    </row>
    <row r="60" spans="1:28" ht="21" x14ac:dyDescent="0.35">
      <c r="A60" s="108">
        <v>56</v>
      </c>
      <c r="B60" s="28" t="s">
        <v>26</v>
      </c>
      <c r="C60" s="66" t="s">
        <v>103</v>
      </c>
      <c r="D60" s="30">
        <v>750000</v>
      </c>
      <c r="E60" s="30">
        <v>83312.5</v>
      </c>
      <c r="F60" s="31">
        <v>833312.5</v>
      </c>
      <c r="G60" s="27">
        <v>50</v>
      </c>
      <c r="H60" s="75">
        <v>16666.25</v>
      </c>
      <c r="I60" s="33">
        <f t="shared" si="8"/>
        <v>1666.25</v>
      </c>
      <c r="J60" s="33">
        <f t="shared" si="9"/>
        <v>15000</v>
      </c>
      <c r="K60" s="33">
        <f t="shared" si="3"/>
        <v>41656.25</v>
      </c>
      <c r="L60" s="33">
        <f t="shared" si="4"/>
        <v>41656.25</v>
      </c>
      <c r="M60" s="1">
        <v>25</v>
      </c>
      <c r="N60" s="1">
        <f t="shared" si="10"/>
        <v>25</v>
      </c>
      <c r="O60" s="5">
        <f t="shared" si="11"/>
        <v>416656.25</v>
      </c>
      <c r="P60" s="5">
        <f t="shared" si="12"/>
        <v>416656.25</v>
      </c>
      <c r="Q60" s="73" t="s">
        <v>94</v>
      </c>
      <c r="R60" s="81">
        <v>44774</v>
      </c>
      <c r="S60" s="82" t="s">
        <v>102</v>
      </c>
      <c r="Y60" s="99"/>
      <c r="AB60" s="95"/>
    </row>
    <row r="61" spans="1:28" ht="21" x14ac:dyDescent="0.35">
      <c r="A61" s="108">
        <v>57</v>
      </c>
      <c r="B61" s="28" t="s">
        <v>26</v>
      </c>
      <c r="C61" s="66" t="s">
        <v>20</v>
      </c>
      <c r="D61" s="30">
        <v>250000</v>
      </c>
      <c r="E61" s="30">
        <v>27771</v>
      </c>
      <c r="F61" s="31">
        <v>277771</v>
      </c>
      <c r="G61" s="27">
        <v>50</v>
      </c>
      <c r="H61" s="75">
        <v>5555.42</v>
      </c>
      <c r="I61" s="33">
        <f t="shared" si="8"/>
        <v>555.41999999999996</v>
      </c>
      <c r="J61" s="33">
        <f t="shared" si="9"/>
        <v>5000</v>
      </c>
      <c r="K61" s="33">
        <f t="shared" si="3"/>
        <v>13885.499999999998</v>
      </c>
      <c r="L61" s="33">
        <f t="shared" si="4"/>
        <v>13885.499999999998</v>
      </c>
      <c r="M61" s="1">
        <v>25</v>
      </c>
      <c r="N61" s="1">
        <f t="shared" si="10"/>
        <v>25</v>
      </c>
      <c r="O61" s="5">
        <f t="shared" si="11"/>
        <v>138885.5</v>
      </c>
      <c r="P61" s="5">
        <f t="shared" si="12"/>
        <v>138885.5</v>
      </c>
      <c r="Q61" s="73" t="s">
        <v>94</v>
      </c>
      <c r="R61" s="81">
        <v>44774</v>
      </c>
      <c r="S61" s="83" t="s">
        <v>102</v>
      </c>
      <c r="Y61" s="99"/>
      <c r="AB61" s="95"/>
    </row>
    <row r="62" spans="1:28" ht="21" x14ac:dyDescent="0.35">
      <c r="A62" s="108">
        <v>58</v>
      </c>
      <c r="B62" s="28" t="s">
        <v>26</v>
      </c>
      <c r="C62" s="66" t="s">
        <v>15</v>
      </c>
      <c r="D62" s="30">
        <v>750000</v>
      </c>
      <c r="E62" s="30">
        <v>99975</v>
      </c>
      <c r="F62" s="31">
        <f>D62+E62</f>
        <v>849975</v>
      </c>
      <c r="G62" s="27">
        <v>60</v>
      </c>
      <c r="H62" s="75">
        <v>14166.25</v>
      </c>
      <c r="I62" s="33">
        <f t="shared" si="8"/>
        <v>1999.5</v>
      </c>
      <c r="J62" s="33">
        <f t="shared" si="9"/>
        <v>15000</v>
      </c>
      <c r="K62" s="33">
        <f t="shared" si="3"/>
        <v>49987.5</v>
      </c>
      <c r="L62" s="33">
        <f t="shared" si="4"/>
        <v>69982.5</v>
      </c>
      <c r="M62" s="1">
        <v>25</v>
      </c>
      <c r="N62" s="1">
        <f t="shared" si="10"/>
        <v>35</v>
      </c>
      <c r="O62" s="5">
        <f t="shared" si="11"/>
        <v>354156.25</v>
      </c>
      <c r="P62" s="5">
        <f t="shared" si="12"/>
        <v>495818.75</v>
      </c>
      <c r="Q62" s="73" t="s">
        <v>94</v>
      </c>
      <c r="R62" s="81">
        <v>44774</v>
      </c>
      <c r="S62" s="83">
        <v>46599</v>
      </c>
      <c r="Y62" s="99"/>
      <c r="AB62" s="95"/>
    </row>
    <row r="63" spans="1:28" ht="21" x14ac:dyDescent="0.35">
      <c r="A63" s="108">
        <v>59</v>
      </c>
      <c r="B63" s="28" t="s">
        <v>26</v>
      </c>
      <c r="C63" s="66" t="s">
        <v>104</v>
      </c>
      <c r="D63" s="30">
        <v>750000</v>
      </c>
      <c r="E63" s="30">
        <v>83312.5</v>
      </c>
      <c r="F63" s="31">
        <v>833312.5</v>
      </c>
      <c r="G63" s="27">
        <v>50</v>
      </c>
      <c r="H63" s="4">
        <v>16666.25</v>
      </c>
      <c r="I63" s="33">
        <f t="shared" si="8"/>
        <v>1666.25</v>
      </c>
      <c r="J63" s="33">
        <f t="shared" si="9"/>
        <v>15000</v>
      </c>
      <c r="K63" s="33">
        <f t="shared" si="3"/>
        <v>39990</v>
      </c>
      <c r="L63" s="33">
        <f t="shared" si="4"/>
        <v>43322.5</v>
      </c>
      <c r="M63" s="1">
        <v>24</v>
      </c>
      <c r="N63" s="1">
        <f t="shared" si="10"/>
        <v>26</v>
      </c>
      <c r="O63" s="5">
        <f t="shared" si="11"/>
        <v>399990</v>
      </c>
      <c r="P63" s="5">
        <f t="shared" si="12"/>
        <v>433322.5</v>
      </c>
      <c r="Q63" s="73" t="s">
        <v>94</v>
      </c>
      <c r="R63" s="81">
        <v>44805</v>
      </c>
      <c r="S63" s="81" t="s">
        <v>105</v>
      </c>
      <c r="Y63" s="99"/>
      <c r="AB63" s="95"/>
    </row>
    <row r="64" spans="1:28" ht="21" x14ac:dyDescent="0.35">
      <c r="A64" s="108">
        <v>60</v>
      </c>
      <c r="B64" s="28" t="s">
        <v>26</v>
      </c>
      <c r="C64" s="66" t="s">
        <v>106</v>
      </c>
      <c r="D64" s="30">
        <v>750000</v>
      </c>
      <c r="E64" s="30">
        <v>83312.5</v>
      </c>
      <c r="F64" s="31">
        <v>833312.5</v>
      </c>
      <c r="G64" s="27">
        <v>50</v>
      </c>
      <c r="H64" s="4">
        <v>16666.25</v>
      </c>
      <c r="I64" s="33">
        <f t="shared" si="8"/>
        <v>1666.25</v>
      </c>
      <c r="J64" s="33">
        <f t="shared" si="9"/>
        <v>15000</v>
      </c>
      <c r="K64" s="33">
        <f t="shared" si="3"/>
        <v>39990</v>
      </c>
      <c r="L64" s="33">
        <f t="shared" si="4"/>
        <v>43322.5</v>
      </c>
      <c r="M64" s="1">
        <v>24</v>
      </c>
      <c r="N64" s="1">
        <f t="shared" si="10"/>
        <v>26</v>
      </c>
      <c r="O64" s="5">
        <f t="shared" si="11"/>
        <v>399990</v>
      </c>
      <c r="P64" s="5">
        <f t="shared" si="12"/>
        <v>433322.5</v>
      </c>
      <c r="Q64" s="73" t="s">
        <v>94</v>
      </c>
      <c r="R64" s="81">
        <v>44805</v>
      </c>
      <c r="S64" s="81" t="s">
        <v>105</v>
      </c>
      <c r="Y64" s="99"/>
      <c r="AB64" s="95"/>
    </row>
    <row r="65" spans="1:28" ht="21" x14ac:dyDescent="0.35">
      <c r="A65" s="108">
        <v>61</v>
      </c>
      <c r="B65" s="28" t="s">
        <v>26</v>
      </c>
      <c r="C65" s="66" t="s">
        <v>25</v>
      </c>
      <c r="D65" s="30">
        <v>750000</v>
      </c>
      <c r="E65" s="30">
        <v>99975</v>
      </c>
      <c r="F65" s="31">
        <f>D65+E65</f>
        <v>849975</v>
      </c>
      <c r="G65" s="27">
        <v>60</v>
      </c>
      <c r="H65" s="72">
        <v>14166.25</v>
      </c>
      <c r="I65" s="33">
        <f t="shared" si="8"/>
        <v>1999.5</v>
      </c>
      <c r="J65" s="33">
        <f t="shared" si="9"/>
        <v>15000</v>
      </c>
      <c r="K65" s="33">
        <f t="shared" si="3"/>
        <v>57985.5</v>
      </c>
      <c r="L65" s="33">
        <f t="shared" si="4"/>
        <v>61984.5</v>
      </c>
      <c r="M65" s="1">
        <v>29</v>
      </c>
      <c r="N65" s="1">
        <f t="shared" si="10"/>
        <v>31</v>
      </c>
      <c r="O65" s="5">
        <f t="shared" si="11"/>
        <v>410821.25</v>
      </c>
      <c r="P65" s="5">
        <f t="shared" si="12"/>
        <v>439153.75</v>
      </c>
      <c r="Q65" s="73" t="s">
        <v>94</v>
      </c>
      <c r="R65" s="81">
        <v>44805</v>
      </c>
      <c r="S65" s="81">
        <v>46630</v>
      </c>
      <c r="Y65" s="99"/>
      <c r="AB65" s="95"/>
    </row>
    <row r="66" spans="1:28" ht="21" x14ac:dyDescent="0.35">
      <c r="A66" s="108">
        <v>62</v>
      </c>
      <c r="B66" s="28" t="s">
        <v>26</v>
      </c>
      <c r="C66" s="66" t="s">
        <v>107</v>
      </c>
      <c r="D66" s="30">
        <v>600000</v>
      </c>
      <c r="E66" s="30">
        <v>79980</v>
      </c>
      <c r="F66" s="31">
        <f>D66+E66</f>
        <v>679980</v>
      </c>
      <c r="G66" s="27">
        <v>60</v>
      </c>
      <c r="H66" s="84">
        <v>11333</v>
      </c>
      <c r="I66" s="33">
        <f t="shared" si="8"/>
        <v>1599.6</v>
      </c>
      <c r="J66" s="33">
        <f t="shared" si="9"/>
        <v>12000</v>
      </c>
      <c r="K66" s="33">
        <f t="shared" ref="K66:K152" si="13">I66*M66</f>
        <v>36790.799999999996</v>
      </c>
      <c r="L66" s="33">
        <f t="shared" ref="L66:L152" si="14">I66*N66</f>
        <v>59185.2</v>
      </c>
      <c r="M66" s="107">
        <v>23</v>
      </c>
      <c r="N66" s="107">
        <f t="shared" si="10"/>
        <v>37</v>
      </c>
      <c r="O66" s="5">
        <f t="shared" si="11"/>
        <v>260659</v>
      </c>
      <c r="P66" s="5">
        <f t="shared" si="12"/>
        <v>419321</v>
      </c>
      <c r="Q66" s="73" t="s">
        <v>94</v>
      </c>
      <c r="R66" s="79">
        <v>44835</v>
      </c>
      <c r="S66" s="79">
        <v>46660</v>
      </c>
      <c r="Y66" s="99"/>
      <c r="AB66" s="95"/>
    </row>
    <row r="67" spans="1:28" ht="21" x14ac:dyDescent="0.35">
      <c r="A67" s="108">
        <v>63</v>
      </c>
      <c r="B67" s="28" t="s">
        <v>26</v>
      </c>
      <c r="C67" s="66" t="s">
        <v>27</v>
      </c>
      <c r="D67" s="30">
        <v>600000</v>
      </c>
      <c r="E67" s="30">
        <v>79980</v>
      </c>
      <c r="F67" s="31">
        <f>D67+E67</f>
        <v>679980</v>
      </c>
      <c r="G67" s="70">
        <v>60</v>
      </c>
      <c r="H67" s="4">
        <v>11333</v>
      </c>
      <c r="I67" s="33">
        <f t="shared" si="8"/>
        <v>1599.6</v>
      </c>
      <c r="J67" s="33">
        <f t="shared" si="9"/>
        <v>12000</v>
      </c>
      <c r="K67" s="33">
        <f t="shared" si="13"/>
        <v>36790.799999999996</v>
      </c>
      <c r="L67" s="33">
        <f t="shared" si="14"/>
        <v>59185.2</v>
      </c>
      <c r="M67" s="107">
        <v>23</v>
      </c>
      <c r="N67" s="107">
        <f t="shared" si="10"/>
        <v>37</v>
      </c>
      <c r="O67" s="5">
        <f t="shared" si="11"/>
        <v>260659</v>
      </c>
      <c r="P67" s="5">
        <f t="shared" si="12"/>
        <v>419321</v>
      </c>
      <c r="Q67" s="73" t="s">
        <v>94</v>
      </c>
      <c r="R67" s="79">
        <v>44835</v>
      </c>
      <c r="S67" s="79">
        <v>46660</v>
      </c>
      <c r="Y67" s="99"/>
      <c r="AB67" s="95"/>
    </row>
    <row r="68" spans="1:28" ht="21" x14ac:dyDescent="0.35">
      <c r="A68" s="108">
        <v>64</v>
      </c>
      <c r="B68" s="28" t="s">
        <v>26</v>
      </c>
      <c r="C68" s="66" t="s">
        <v>21</v>
      </c>
      <c r="D68" s="30">
        <v>750000</v>
      </c>
      <c r="E68" s="96">
        <v>66650</v>
      </c>
      <c r="F68" s="97">
        <v>816650</v>
      </c>
      <c r="G68" s="87">
        <v>40</v>
      </c>
      <c r="H68" s="85">
        <v>20416.25</v>
      </c>
      <c r="I68" s="33">
        <f t="shared" si="8"/>
        <v>1333</v>
      </c>
      <c r="J68" s="33">
        <f t="shared" si="9"/>
        <v>15000</v>
      </c>
      <c r="K68" s="33">
        <f t="shared" si="13"/>
        <v>30659</v>
      </c>
      <c r="L68" s="33">
        <f t="shared" si="14"/>
        <v>22661</v>
      </c>
      <c r="M68" s="107">
        <v>23</v>
      </c>
      <c r="N68" s="107">
        <f t="shared" si="10"/>
        <v>17</v>
      </c>
      <c r="O68" s="5">
        <f t="shared" si="11"/>
        <v>469573.75</v>
      </c>
      <c r="P68" s="5">
        <f t="shared" si="12"/>
        <v>347076.25</v>
      </c>
      <c r="Q68" s="73" t="s">
        <v>94</v>
      </c>
      <c r="R68" s="79">
        <v>44835</v>
      </c>
      <c r="S68" s="83">
        <v>46053</v>
      </c>
      <c r="Y68" s="99"/>
      <c r="AB68" s="95"/>
    </row>
    <row r="69" spans="1:28" ht="21" x14ac:dyDescent="0.35">
      <c r="A69" s="108">
        <v>65</v>
      </c>
      <c r="B69" s="28" t="s">
        <v>26</v>
      </c>
      <c r="C69" s="66" t="s">
        <v>111</v>
      </c>
      <c r="D69" s="30">
        <v>450000</v>
      </c>
      <c r="E69" s="30">
        <v>59985</v>
      </c>
      <c r="F69" s="31">
        <v>509985</v>
      </c>
      <c r="G69" s="87">
        <v>60</v>
      </c>
      <c r="H69" s="85">
        <v>8499.75</v>
      </c>
      <c r="I69" s="33">
        <f t="shared" si="8"/>
        <v>1199.7</v>
      </c>
      <c r="J69" s="33">
        <f t="shared" si="9"/>
        <v>9000</v>
      </c>
      <c r="K69" s="33">
        <f t="shared" si="13"/>
        <v>27593.100000000002</v>
      </c>
      <c r="L69" s="33">
        <f t="shared" si="14"/>
        <v>44388.9</v>
      </c>
      <c r="M69" s="107">
        <v>23</v>
      </c>
      <c r="N69" s="107">
        <f t="shared" si="10"/>
        <v>37</v>
      </c>
      <c r="O69" s="5">
        <f t="shared" si="11"/>
        <v>195494.25</v>
      </c>
      <c r="P69" s="5">
        <f t="shared" si="12"/>
        <v>314490.75</v>
      </c>
      <c r="Q69" s="73" t="s">
        <v>94</v>
      </c>
      <c r="R69" s="79">
        <v>44835</v>
      </c>
      <c r="S69" s="79">
        <v>46660</v>
      </c>
      <c r="Y69" s="99"/>
      <c r="AB69" s="95"/>
    </row>
    <row r="70" spans="1:28" ht="21" x14ac:dyDescent="0.35">
      <c r="A70" s="108">
        <v>66</v>
      </c>
      <c r="B70" s="28" t="s">
        <v>26</v>
      </c>
      <c r="C70" s="66" t="s">
        <v>112</v>
      </c>
      <c r="D70" s="30">
        <v>750000</v>
      </c>
      <c r="E70" s="30">
        <v>59984.88</v>
      </c>
      <c r="F70" s="31">
        <v>809984.88</v>
      </c>
      <c r="G70" s="87">
        <v>36</v>
      </c>
      <c r="H70" s="31">
        <v>15967.44</v>
      </c>
      <c r="I70" s="33">
        <f t="shared" si="8"/>
        <v>1199.6976</v>
      </c>
      <c r="J70" s="33">
        <f t="shared" si="9"/>
        <v>15000</v>
      </c>
      <c r="K70" s="33">
        <f t="shared" si="13"/>
        <v>25193.649600000001</v>
      </c>
      <c r="L70" s="33">
        <f t="shared" si="14"/>
        <v>17995.464</v>
      </c>
      <c r="M70" s="107">
        <v>21</v>
      </c>
      <c r="N70" s="107">
        <f t="shared" si="10"/>
        <v>15</v>
      </c>
      <c r="O70" s="5">
        <f t="shared" si="11"/>
        <v>335316.24</v>
      </c>
      <c r="P70" s="5">
        <f t="shared" si="12"/>
        <v>239511.6</v>
      </c>
      <c r="Q70" s="73" t="s">
        <v>94</v>
      </c>
      <c r="R70" s="64">
        <v>44896</v>
      </c>
      <c r="S70" s="18">
        <v>45991</v>
      </c>
      <c r="Y70" s="99"/>
      <c r="AB70" s="95"/>
    </row>
    <row r="71" spans="1:28" ht="21" x14ac:dyDescent="0.35">
      <c r="A71" s="108">
        <v>67</v>
      </c>
      <c r="B71" s="28" t="s">
        <v>26</v>
      </c>
      <c r="C71" s="66" t="s">
        <v>116</v>
      </c>
      <c r="D71" s="30">
        <v>750000</v>
      </c>
      <c r="E71" s="30">
        <v>99975</v>
      </c>
      <c r="F71" s="31">
        <f t="shared" ref="F71:F73" si="15">D71+E71</f>
        <v>849975</v>
      </c>
      <c r="G71" s="27">
        <v>60</v>
      </c>
      <c r="H71" s="75">
        <v>14166.25</v>
      </c>
      <c r="I71" s="33">
        <f t="shared" si="8"/>
        <v>1999.5</v>
      </c>
      <c r="J71" s="33">
        <f t="shared" si="9"/>
        <v>15000</v>
      </c>
      <c r="K71" s="33">
        <f t="shared" si="13"/>
        <v>55986</v>
      </c>
      <c r="L71" s="33">
        <f t="shared" si="14"/>
        <v>63984</v>
      </c>
      <c r="M71" s="29">
        <v>28</v>
      </c>
      <c r="N71" s="34">
        <f t="shared" si="10"/>
        <v>32</v>
      </c>
      <c r="O71" s="35">
        <f t="shared" si="11"/>
        <v>396655</v>
      </c>
      <c r="P71" s="36">
        <f t="shared" si="12"/>
        <v>453320</v>
      </c>
      <c r="Q71" s="73" t="s">
        <v>37</v>
      </c>
      <c r="R71" s="100">
        <v>44682</v>
      </c>
      <c r="S71" s="100">
        <v>46507</v>
      </c>
      <c r="Y71" s="99"/>
      <c r="AB71" s="95"/>
    </row>
    <row r="72" spans="1:28" ht="21" x14ac:dyDescent="0.35">
      <c r="A72" s="108">
        <v>68</v>
      </c>
      <c r="B72" s="28" t="s">
        <v>26</v>
      </c>
      <c r="C72" s="66" t="s">
        <v>117</v>
      </c>
      <c r="D72" s="30">
        <v>150000</v>
      </c>
      <c r="E72" s="30">
        <v>19995</v>
      </c>
      <c r="F72" s="31">
        <f t="shared" si="15"/>
        <v>169995</v>
      </c>
      <c r="G72" s="27">
        <v>50</v>
      </c>
      <c r="H72" s="54">
        <v>3399.9</v>
      </c>
      <c r="I72" s="33">
        <f t="shared" si="8"/>
        <v>399.9</v>
      </c>
      <c r="J72" s="33">
        <f t="shared" si="9"/>
        <v>3000</v>
      </c>
      <c r="K72" s="33">
        <f t="shared" si="13"/>
        <v>5998.5</v>
      </c>
      <c r="L72" s="33">
        <f t="shared" si="14"/>
        <v>13996.5</v>
      </c>
      <c r="M72" s="29">
        <v>15</v>
      </c>
      <c r="N72" s="34">
        <f t="shared" si="10"/>
        <v>35</v>
      </c>
      <c r="O72" s="35">
        <f t="shared" si="11"/>
        <v>50998.5</v>
      </c>
      <c r="P72" s="36">
        <f t="shared" si="12"/>
        <v>118996.5</v>
      </c>
      <c r="Q72" s="73"/>
      <c r="R72" s="93">
        <v>44986</v>
      </c>
      <c r="S72" s="93">
        <v>45688</v>
      </c>
      <c r="Y72" s="99"/>
      <c r="AB72" s="95"/>
    </row>
    <row r="73" spans="1:28" ht="21" x14ac:dyDescent="0.35">
      <c r="A73" s="108">
        <v>69</v>
      </c>
      <c r="B73" s="28" t="s">
        <v>26</v>
      </c>
      <c r="C73" s="66" t="s">
        <v>118</v>
      </c>
      <c r="D73" s="30">
        <v>450000</v>
      </c>
      <c r="E73" s="30">
        <v>59985</v>
      </c>
      <c r="F73" s="31">
        <f t="shared" si="15"/>
        <v>509985</v>
      </c>
      <c r="G73" s="27">
        <v>50</v>
      </c>
      <c r="H73" s="54">
        <v>13622.25</v>
      </c>
      <c r="I73" s="33">
        <f t="shared" ref="I73:I136" si="16">E73/50</f>
        <v>1199.7</v>
      </c>
      <c r="J73" s="33">
        <f t="shared" ref="J73:J152" si="17">D73/50</f>
        <v>9000</v>
      </c>
      <c r="K73" s="33">
        <f t="shared" si="13"/>
        <v>17995.5</v>
      </c>
      <c r="L73" s="33">
        <f t="shared" si="14"/>
        <v>41989.5</v>
      </c>
      <c r="M73" s="29">
        <v>15</v>
      </c>
      <c r="N73" s="34">
        <f t="shared" si="10"/>
        <v>35</v>
      </c>
      <c r="O73" s="35">
        <f t="shared" si="11"/>
        <v>204333.75</v>
      </c>
      <c r="P73" s="36">
        <f t="shared" si="12"/>
        <v>476778.75</v>
      </c>
      <c r="Q73" s="73" t="s">
        <v>94</v>
      </c>
      <c r="R73" s="93">
        <v>45078</v>
      </c>
      <c r="S73" s="103">
        <v>46599</v>
      </c>
      <c r="Y73" s="99"/>
      <c r="AB73" s="95"/>
    </row>
    <row r="74" spans="1:28" ht="21" x14ac:dyDescent="0.35">
      <c r="A74" s="108">
        <v>70</v>
      </c>
      <c r="B74" s="28" t="s">
        <v>26</v>
      </c>
      <c r="C74" s="66" t="s">
        <v>119</v>
      </c>
      <c r="D74" s="30">
        <v>750000</v>
      </c>
      <c r="E74" s="30">
        <v>49987.5</v>
      </c>
      <c r="F74" s="31">
        <v>799987.5</v>
      </c>
      <c r="G74" s="27">
        <v>30</v>
      </c>
      <c r="H74" s="75">
        <v>26666.25</v>
      </c>
      <c r="I74" s="33">
        <f t="shared" si="16"/>
        <v>999.75</v>
      </c>
      <c r="J74" s="33">
        <f t="shared" si="17"/>
        <v>15000</v>
      </c>
      <c r="K74" s="33">
        <f t="shared" si="13"/>
        <v>14996.25</v>
      </c>
      <c r="L74" s="33">
        <f t="shared" si="14"/>
        <v>14996.25</v>
      </c>
      <c r="M74" s="29">
        <v>15</v>
      </c>
      <c r="N74" s="34">
        <f t="shared" si="10"/>
        <v>15</v>
      </c>
      <c r="O74" s="35">
        <f t="shared" si="11"/>
        <v>399993.75</v>
      </c>
      <c r="P74" s="36">
        <f t="shared" si="12"/>
        <v>399993.75</v>
      </c>
      <c r="Q74" s="73" t="s">
        <v>94</v>
      </c>
      <c r="R74" s="93">
        <v>45078</v>
      </c>
      <c r="S74" s="104">
        <v>45991</v>
      </c>
      <c r="Y74" s="99"/>
      <c r="AB74" s="95"/>
    </row>
    <row r="75" spans="1:28" ht="21" x14ac:dyDescent="0.35">
      <c r="A75" s="108">
        <v>71</v>
      </c>
      <c r="B75" s="28" t="s">
        <v>26</v>
      </c>
      <c r="C75" s="66" t="s">
        <v>120</v>
      </c>
      <c r="D75" s="30">
        <v>750000</v>
      </c>
      <c r="E75" s="30">
        <v>99975</v>
      </c>
      <c r="F75" s="31">
        <f t="shared" ref="F75" si="18">D75+E75</f>
        <v>849975</v>
      </c>
      <c r="G75" s="27">
        <v>60</v>
      </c>
      <c r="H75" s="75">
        <v>14166.25</v>
      </c>
      <c r="I75" s="33">
        <f t="shared" si="16"/>
        <v>1999.5</v>
      </c>
      <c r="J75" s="33">
        <f t="shared" si="17"/>
        <v>15000</v>
      </c>
      <c r="K75" s="33">
        <f t="shared" si="13"/>
        <v>29992.5</v>
      </c>
      <c r="L75" s="33">
        <f t="shared" si="14"/>
        <v>89977.5</v>
      </c>
      <c r="M75" s="29">
        <v>15</v>
      </c>
      <c r="N75" s="34">
        <f t="shared" si="10"/>
        <v>45</v>
      </c>
      <c r="O75" s="35">
        <f t="shared" si="11"/>
        <v>212493.75</v>
      </c>
      <c r="P75" s="36">
        <f t="shared" si="12"/>
        <v>637481.25</v>
      </c>
      <c r="Q75" s="73" t="s">
        <v>94</v>
      </c>
      <c r="R75" s="93">
        <v>45078</v>
      </c>
      <c r="S75" s="105">
        <v>46904</v>
      </c>
      <c r="Y75" s="99"/>
      <c r="AB75" s="95"/>
    </row>
    <row r="76" spans="1:28" ht="21" x14ac:dyDescent="0.35">
      <c r="A76" s="108">
        <v>72</v>
      </c>
      <c r="B76" s="28" t="s">
        <v>26</v>
      </c>
      <c r="C76" s="66" t="s">
        <v>122</v>
      </c>
      <c r="D76" s="30">
        <v>250000</v>
      </c>
      <c r="E76" s="30">
        <v>27771</v>
      </c>
      <c r="F76" s="31">
        <v>277771</v>
      </c>
      <c r="G76" s="27">
        <v>50</v>
      </c>
      <c r="H76" s="75">
        <v>5555.42</v>
      </c>
      <c r="I76" s="33">
        <f t="shared" si="16"/>
        <v>555.41999999999996</v>
      </c>
      <c r="J76" s="33">
        <f t="shared" si="17"/>
        <v>5000</v>
      </c>
      <c r="K76" s="33">
        <f t="shared" si="13"/>
        <v>7775.8799999999992</v>
      </c>
      <c r="L76" s="33">
        <f t="shared" si="14"/>
        <v>19995.12</v>
      </c>
      <c r="M76" s="29">
        <v>14</v>
      </c>
      <c r="N76" s="34">
        <f t="shared" si="10"/>
        <v>36</v>
      </c>
      <c r="O76" s="35">
        <f t="shared" si="11"/>
        <v>77775.88</v>
      </c>
      <c r="P76" s="36">
        <f t="shared" si="12"/>
        <v>199995.12</v>
      </c>
      <c r="Q76" s="73" t="s">
        <v>94</v>
      </c>
      <c r="R76" s="109">
        <v>45139</v>
      </c>
      <c r="S76" s="110">
        <v>46660</v>
      </c>
      <c r="Y76" s="99"/>
      <c r="AB76" s="95"/>
    </row>
    <row r="77" spans="1:28" ht="21" x14ac:dyDescent="0.35">
      <c r="A77" s="108">
        <v>73</v>
      </c>
      <c r="B77" s="28" t="s">
        <v>26</v>
      </c>
      <c r="C77" s="66" t="s">
        <v>121</v>
      </c>
      <c r="D77" s="30">
        <v>250000</v>
      </c>
      <c r="E77" s="30">
        <v>33225</v>
      </c>
      <c r="F77" s="31">
        <f t="shared" ref="F77:F89" si="19">D77+E77</f>
        <v>283225</v>
      </c>
      <c r="G77" s="27">
        <v>60</v>
      </c>
      <c r="H77" s="75">
        <v>4722.08</v>
      </c>
      <c r="I77" s="33">
        <f t="shared" si="16"/>
        <v>664.5</v>
      </c>
      <c r="J77" s="33">
        <f t="shared" si="17"/>
        <v>5000</v>
      </c>
      <c r="K77" s="33">
        <f t="shared" si="13"/>
        <v>24586.5</v>
      </c>
      <c r="L77" s="33">
        <f t="shared" si="14"/>
        <v>15283.5</v>
      </c>
      <c r="M77" s="29">
        <v>37</v>
      </c>
      <c r="N77" s="34">
        <f t="shared" si="10"/>
        <v>23</v>
      </c>
      <c r="O77" s="35">
        <f t="shared" si="11"/>
        <v>174716.96</v>
      </c>
      <c r="P77" s="36">
        <f t="shared" si="12"/>
        <v>108607.84</v>
      </c>
      <c r="Q77" s="113" t="s">
        <v>123</v>
      </c>
      <c r="R77" s="109">
        <v>44409</v>
      </c>
      <c r="S77" s="111">
        <v>46234</v>
      </c>
      <c r="Y77" s="99"/>
      <c r="AB77" s="95"/>
    </row>
    <row r="78" spans="1:28" ht="21" x14ac:dyDescent="0.35">
      <c r="A78" s="108">
        <v>74</v>
      </c>
      <c r="B78" s="28" t="s">
        <v>26</v>
      </c>
      <c r="C78" s="66" t="s">
        <v>129</v>
      </c>
      <c r="D78" s="30">
        <v>750000</v>
      </c>
      <c r="E78" s="30">
        <v>99975</v>
      </c>
      <c r="F78" s="31">
        <f t="shared" si="19"/>
        <v>849975</v>
      </c>
      <c r="G78" s="27">
        <v>60</v>
      </c>
      <c r="H78" s="72">
        <v>14166.25</v>
      </c>
      <c r="I78" s="33">
        <f t="shared" si="16"/>
        <v>1999.5</v>
      </c>
      <c r="J78" s="33">
        <f t="shared" si="17"/>
        <v>15000</v>
      </c>
      <c r="K78" s="33">
        <f t="shared" si="13"/>
        <v>23994</v>
      </c>
      <c r="L78" s="33">
        <f t="shared" si="14"/>
        <v>95976</v>
      </c>
      <c r="M78" s="29">
        <v>12</v>
      </c>
      <c r="N78" s="34">
        <f t="shared" si="10"/>
        <v>48</v>
      </c>
      <c r="O78" s="35">
        <f t="shared" si="11"/>
        <v>169995</v>
      </c>
      <c r="P78" s="36">
        <f t="shared" si="12"/>
        <v>679980</v>
      </c>
      <c r="Q78" s="73" t="s">
        <v>94</v>
      </c>
      <c r="R78" s="109">
        <v>45200</v>
      </c>
      <c r="S78" s="110">
        <v>47026</v>
      </c>
      <c r="Y78" s="99"/>
      <c r="AB78" s="95"/>
    </row>
    <row r="79" spans="1:28" ht="21" x14ac:dyDescent="0.35">
      <c r="A79" s="108">
        <v>75</v>
      </c>
      <c r="B79" s="28" t="s">
        <v>26</v>
      </c>
      <c r="C79" s="66" t="s">
        <v>124</v>
      </c>
      <c r="D79" s="30">
        <v>750000</v>
      </c>
      <c r="E79" s="30">
        <v>62688.75</v>
      </c>
      <c r="F79" s="31">
        <f t="shared" si="19"/>
        <v>812688.75</v>
      </c>
      <c r="G79" s="115">
        <v>47</v>
      </c>
      <c r="H79" s="75">
        <v>17291.25</v>
      </c>
      <c r="I79" s="33">
        <f t="shared" si="16"/>
        <v>1253.7750000000001</v>
      </c>
      <c r="J79" s="33">
        <f t="shared" si="17"/>
        <v>15000</v>
      </c>
      <c r="K79" s="33">
        <f t="shared" si="13"/>
        <v>15045.300000000001</v>
      </c>
      <c r="L79" s="33">
        <f t="shared" si="14"/>
        <v>43882.125</v>
      </c>
      <c r="M79" s="29">
        <v>12</v>
      </c>
      <c r="N79" s="34">
        <f t="shared" si="10"/>
        <v>35</v>
      </c>
      <c r="O79" s="35">
        <f t="shared" si="11"/>
        <v>207495</v>
      </c>
      <c r="P79" s="36">
        <f t="shared" si="12"/>
        <v>605193.75</v>
      </c>
      <c r="Q79" s="73" t="s">
        <v>94</v>
      </c>
      <c r="R79" s="109">
        <v>45200</v>
      </c>
      <c r="S79" s="110">
        <v>46630</v>
      </c>
      <c r="Y79" s="99"/>
      <c r="AB79" s="95"/>
    </row>
    <row r="80" spans="1:28" ht="21" x14ac:dyDescent="0.35">
      <c r="A80" s="108">
        <v>76</v>
      </c>
      <c r="B80" s="28" t="s">
        <v>26</v>
      </c>
      <c r="C80" s="66" t="s">
        <v>132</v>
      </c>
      <c r="D80" s="30">
        <v>750000</v>
      </c>
      <c r="E80" s="30">
        <v>99975</v>
      </c>
      <c r="F80" s="31">
        <f t="shared" si="19"/>
        <v>849975</v>
      </c>
      <c r="G80" s="27">
        <v>60</v>
      </c>
      <c r="H80" s="72">
        <v>14166.25</v>
      </c>
      <c r="I80" s="33">
        <f t="shared" si="16"/>
        <v>1999.5</v>
      </c>
      <c r="J80" s="33">
        <f t="shared" si="17"/>
        <v>15000</v>
      </c>
      <c r="K80" s="33">
        <f t="shared" si="13"/>
        <v>23994</v>
      </c>
      <c r="L80" s="33">
        <f t="shared" si="14"/>
        <v>95976</v>
      </c>
      <c r="M80" s="29">
        <v>12</v>
      </c>
      <c r="N80" s="34">
        <f t="shared" si="10"/>
        <v>48</v>
      </c>
      <c r="O80" s="35">
        <f t="shared" si="11"/>
        <v>169995</v>
      </c>
      <c r="P80" s="36">
        <f t="shared" si="12"/>
        <v>679980</v>
      </c>
      <c r="Q80" s="73" t="s">
        <v>94</v>
      </c>
      <c r="R80" s="109">
        <v>45200</v>
      </c>
      <c r="S80" s="110">
        <v>47026</v>
      </c>
      <c r="Y80" s="99"/>
      <c r="AB80" s="95"/>
    </row>
    <row r="81" spans="1:28" ht="21" x14ac:dyDescent="0.35">
      <c r="A81" s="108">
        <v>77</v>
      </c>
      <c r="B81" s="28" t="s">
        <v>26</v>
      </c>
      <c r="C81" s="66" t="s">
        <v>130</v>
      </c>
      <c r="D81" s="30">
        <v>450000</v>
      </c>
      <c r="E81" s="30">
        <v>59985</v>
      </c>
      <c r="F81" s="31">
        <f t="shared" si="19"/>
        <v>509985</v>
      </c>
      <c r="G81" s="27">
        <v>60</v>
      </c>
      <c r="H81" s="75">
        <v>8499.75</v>
      </c>
      <c r="I81" s="33">
        <f t="shared" si="16"/>
        <v>1199.7</v>
      </c>
      <c r="J81" s="33">
        <f t="shared" si="17"/>
        <v>9000</v>
      </c>
      <c r="K81" s="33">
        <f t="shared" si="13"/>
        <v>14396.400000000001</v>
      </c>
      <c r="L81" s="33">
        <f t="shared" si="14"/>
        <v>57585.600000000006</v>
      </c>
      <c r="M81" s="29">
        <v>12</v>
      </c>
      <c r="N81" s="34">
        <f t="shared" si="10"/>
        <v>48</v>
      </c>
      <c r="O81" s="35">
        <f t="shared" si="11"/>
        <v>101997</v>
      </c>
      <c r="P81" s="36">
        <f t="shared" si="12"/>
        <v>407988</v>
      </c>
      <c r="Q81" s="73" t="s">
        <v>94</v>
      </c>
      <c r="R81" s="109">
        <v>45200</v>
      </c>
      <c r="S81" s="110">
        <v>47026</v>
      </c>
      <c r="Y81" s="99"/>
      <c r="AB81" s="95"/>
    </row>
    <row r="82" spans="1:28" ht="21" x14ac:dyDescent="0.35">
      <c r="A82" s="108">
        <v>78</v>
      </c>
      <c r="B82" s="28" t="s">
        <v>26</v>
      </c>
      <c r="C82" s="66" t="s">
        <v>127</v>
      </c>
      <c r="D82" s="30">
        <v>450000</v>
      </c>
      <c r="E82" s="30">
        <v>59985</v>
      </c>
      <c r="F82" s="31">
        <f t="shared" si="19"/>
        <v>509985</v>
      </c>
      <c r="G82" s="27">
        <v>60</v>
      </c>
      <c r="H82" s="75">
        <v>8499.75</v>
      </c>
      <c r="I82" s="33">
        <f t="shared" si="16"/>
        <v>1199.7</v>
      </c>
      <c r="J82" s="33">
        <f t="shared" si="17"/>
        <v>9000</v>
      </c>
      <c r="K82" s="33">
        <f t="shared" si="13"/>
        <v>14396.400000000001</v>
      </c>
      <c r="L82" s="33">
        <f t="shared" si="14"/>
        <v>57585.600000000006</v>
      </c>
      <c r="M82" s="29">
        <v>12</v>
      </c>
      <c r="N82" s="34">
        <f t="shared" si="10"/>
        <v>48</v>
      </c>
      <c r="O82" s="35">
        <f t="shared" si="11"/>
        <v>101997</v>
      </c>
      <c r="P82" s="36">
        <f t="shared" si="12"/>
        <v>407988</v>
      </c>
      <c r="Q82" s="73" t="s">
        <v>94</v>
      </c>
      <c r="R82" s="109">
        <v>45200</v>
      </c>
      <c r="S82" s="110">
        <v>47026</v>
      </c>
      <c r="Y82" s="99"/>
      <c r="AB82" s="95"/>
    </row>
    <row r="83" spans="1:28" ht="21" x14ac:dyDescent="0.35">
      <c r="A83" s="108">
        <v>79</v>
      </c>
      <c r="B83" s="28" t="s">
        <v>26</v>
      </c>
      <c r="C83" s="66" t="s">
        <v>133</v>
      </c>
      <c r="D83" s="30">
        <v>450000</v>
      </c>
      <c r="E83" s="30">
        <v>59985</v>
      </c>
      <c r="F83" s="31">
        <f t="shared" si="19"/>
        <v>509985</v>
      </c>
      <c r="G83" s="27">
        <v>60</v>
      </c>
      <c r="H83" s="75">
        <v>8499.75</v>
      </c>
      <c r="I83" s="33">
        <f t="shared" si="16"/>
        <v>1199.7</v>
      </c>
      <c r="J83" s="33">
        <f t="shared" si="17"/>
        <v>9000</v>
      </c>
      <c r="K83" s="33">
        <f t="shared" si="13"/>
        <v>14396.400000000001</v>
      </c>
      <c r="L83" s="33">
        <f t="shared" si="14"/>
        <v>57585.600000000006</v>
      </c>
      <c r="M83" s="29">
        <v>12</v>
      </c>
      <c r="N83" s="34">
        <f t="shared" si="10"/>
        <v>48</v>
      </c>
      <c r="O83" s="35">
        <f t="shared" si="11"/>
        <v>101997</v>
      </c>
      <c r="P83" s="36">
        <f t="shared" si="12"/>
        <v>407988</v>
      </c>
      <c r="Q83" s="73" t="s">
        <v>94</v>
      </c>
      <c r="R83" s="109">
        <v>45200</v>
      </c>
      <c r="S83" s="110">
        <v>47026</v>
      </c>
      <c r="Y83" s="99"/>
      <c r="AB83" s="95"/>
    </row>
    <row r="84" spans="1:28" ht="21" x14ac:dyDescent="0.35">
      <c r="A84" s="108">
        <v>80</v>
      </c>
      <c r="B84" s="28" t="s">
        <v>26</v>
      </c>
      <c r="C84" s="66" t="s">
        <v>22</v>
      </c>
      <c r="D84" s="30">
        <v>250000</v>
      </c>
      <c r="E84" s="30">
        <v>27771</v>
      </c>
      <c r="F84" s="31">
        <f t="shared" si="19"/>
        <v>277771</v>
      </c>
      <c r="G84" s="115">
        <v>50</v>
      </c>
      <c r="H84" s="75">
        <v>5555.42</v>
      </c>
      <c r="I84" s="33">
        <f t="shared" si="16"/>
        <v>555.41999999999996</v>
      </c>
      <c r="J84" s="33">
        <f t="shared" si="17"/>
        <v>5000</v>
      </c>
      <c r="K84" s="33">
        <f t="shared" si="13"/>
        <v>6665.0399999999991</v>
      </c>
      <c r="L84" s="33">
        <f t="shared" si="14"/>
        <v>21105.96</v>
      </c>
      <c r="M84" s="29">
        <v>12</v>
      </c>
      <c r="N84" s="34">
        <f t="shared" si="10"/>
        <v>38</v>
      </c>
      <c r="O84" s="35">
        <f t="shared" si="11"/>
        <v>66665.040000000008</v>
      </c>
      <c r="P84" s="36">
        <f t="shared" si="12"/>
        <v>211105.96</v>
      </c>
      <c r="Q84" s="73" t="s">
        <v>94</v>
      </c>
      <c r="R84" s="109">
        <v>45200</v>
      </c>
      <c r="S84" s="110">
        <v>46721</v>
      </c>
      <c r="Y84" s="99"/>
      <c r="AB84" s="95"/>
    </row>
    <row r="85" spans="1:28" ht="21" x14ac:dyDescent="0.35">
      <c r="A85" s="108">
        <v>81</v>
      </c>
      <c r="B85" s="28" t="s">
        <v>26</v>
      </c>
      <c r="C85" s="66" t="s">
        <v>126</v>
      </c>
      <c r="D85" s="30">
        <v>450000</v>
      </c>
      <c r="E85" s="30">
        <v>59985</v>
      </c>
      <c r="F85" s="31">
        <f t="shared" si="19"/>
        <v>509985</v>
      </c>
      <c r="G85" s="27">
        <v>60</v>
      </c>
      <c r="H85" s="75">
        <v>8499.75</v>
      </c>
      <c r="I85" s="33">
        <f t="shared" si="16"/>
        <v>1199.7</v>
      </c>
      <c r="J85" s="33">
        <f t="shared" si="17"/>
        <v>9000</v>
      </c>
      <c r="K85" s="33">
        <f t="shared" si="13"/>
        <v>14396.400000000001</v>
      </c>
      <c r="L85" s="33">
        <f t="shared" si="14"/>
        <v>57585.600000000006</v>
      </c>
      <c r="M85" s="29">
        <v>12</v>
      </c>
      <c r="N85" s="34">
        <f t="shared" si="10"/>
        <v>48</v>
      </c>
      <c r="O85" s="35">
        <f t="shared" si="11"/>
        <v>101997</v>
      </c>
      <c r="P85" s="36">
        <f t="shared" si="12"/>
        <v>407988</v>
      </c>
      <c r="Q85" s="73" t="s">
        <v>94</v>
      </c>
      <c r="R85" s="109">
        <v>45200</v>
      </c>
      <c r="S85" s="110">
        <v>47026</v>
      </c>
      <c r="Y85" s="99"/>
      <c r="AB85" s="95"/>
    </row>
    <row r="86" spans="1:28" ht="21" x14ac:dyDescent="0.35">
      <c r="A86" s="108">
        <v>82</v>
      </c>
      <c r="B86" s="28" t="s">
        <v>26</v>
      </c>
      <c r="C86" s="66" t="s">
        <v>128</v>
      </c>
      <c r="D86" s="30">
        <v>450000</v>
      </c>
      <c r="E86" s="30">
        <v>59985</v>
      </c>
      <c r="F86" s="31">
        <f t="shared" si="19"/>
        <v>509985</v>
      </c>
      <c r="G86" s="27">
        <v>60</v>
      </c>
      <c r="H86" s="75">
        <v>8499.75</v>
      </c>
      <c r="I86" s="33">
        <f t="shared" si="16"/>
        <v>1199.7</v>
      </c>
      <c r="J86" s="33">
        <f t="shared" si="17"/>
        <v>9000</v>
      </c>
      <c r="K86" s="33">
        <f t="shared" si="13"/>
        <v>34791.300000000003</v>
      </c>
      <c r="L86" s="33">
        <f t="shared" si="14"/>
        <v>37190.700000000004</v>
      </c>
      <c r="M86" s="29">
        <v>29</v>
      </c>
      <c r="N86" s="34">
        <f t="shared" si="10"/>
        <v>31</v>
      </c>
      <c r="O86" s="35">
        <f t="shared" si="11"/>
        <v>246492.75</v>
      </c>
      <c r="P86" s="36">
        <f t="shared" si="12"/>
        <v>263492.25</v>
      </c>
      <c r="Q86" s="73" t="s">
        <v>37</v>
      </c>
      <c r="R86" s="109">
        <v>44682</v>
      </c>
      <c r="S86" s="110">
        <v>46507</v>
      </c>
      <c r="Y86" s="99"/>
      <c r="AB86" s="95"/>
    </row>
    <row r="87" spans="1:28" ht="21" x14ac:dyDescent="0.35">
      <c r="A87" s="108">
        <v>83</v>
      </c>
      <c r="B87" s="28" t="s">
        <v>26</v>
      </c>
      <c r="C87" s="106" t="s">
        <v>131</v>
      </c>
      <c r="D87" s="30">
        <v>250000</v>
      </c>
      <c r="E87" s="30">
        <v>83325.2</v>
      </c>
      <c r="F87" s="31">
        <f t="shared" si="19"/>
        <v>333325.2</v>
      </c>
      <c r="G87" s="115">
        <v>60</v>
      </c>
      <c r="H87" s="85">
        <v>5555.42</v>
      </c>
      <c r="I87" s="33">
        <f t="shared" si="16"/>
        <v>1666.5039999999999</v>
      </c>
      <c r="J87" s="33">
        <f t="shared" si="17"/>
        <v>5000</v>
      </c>
      <c r="K87" s="33">
        <f t="shared" si="13"/>
        <v>48328.615999999995</v>
      </c>
      <c r="L87" s="33">
        <f t="shared" si="14"/>
        <v>51661.623999999996</v>
      </c>
      <c r="M87" s="29">
        <v>29</v>
      </c>
      <c r="N87" s="34">
        <f t="shared" si="10"/>
        <v>31</v>
      </c>
      <c r="O87" s="35">
        <f t="shared" si="11"/>
        <v>161107.18</v>
      </c>
      <c r="P87" s="36">
        <f t="shared" si="12"/>
        <v>172218.02</v>
      </c>
      <c r="Q87" s="73" t="s">
        <v>37</v>
      </c>
      <c r="R87" s="105">
        <v>44652</v>
      </c>
      <c r="S87" s="105">
        <v>46477</v>
      </c>
      <c r="Y87" s="99"/>
      <c r="AB87" s="95"/>
    </row>
    <row r="88" spans="1:28" ht="21" x14ac:dyDescent="0.35">
      <c r="A88" s="108">
        <v>84</v>
      </c>
      <c r="B88" s="28" t="s">
        <v>26</v>
      </c>
      <c r="C88" s="106" t="s">
        <v>125</v>
      </c>
      <c r="D88" s="30">
        <v>450000</v>
      </c>
      <c r="E88" s="30">
        <v>49987.5</v>
      </c>
      <c r="F88" s="31">
        <f t="shared" si="19"/>
        <v>499987.5</v>
      </c>
      <c r="G88" s="27">
        <v>50</v>
      </c>
      <c r="H88" s="84">
        <v>9999.75</v>
      </c>
      <c r="I88" s="33">
        <f t="shared" si="16"/>
        <v>999.75</v>
      </c>
      <c r="J88" s="33">
        <f t="shared" si="17"/>
        <v>9000</v>
      </c>
      <c r="K88" s="33">
        <f t="shared" si="13"/>
        <v>11997</v>
      </c>
      <c r="L88" s="33">
        <f t="shared" si="14"/>
        <v>37990.5</v>
      </c>
      <c r="M88" s="29">
        <v>12</v>
      </c>
      <c r="N88" s="34">
        <f t="shared" si="10"/>
        <v>38</v>
      </c>
      <c r="O88" s="35">
        <f t="shared" si="11"/>
        <v>119997</v>
      </c>
      <c r="P88" s="36">
        <f t="shared" si="12"/>
        <v>379990.5</v>
      </c>
      <c r="Q88" s="73" t="s">
        <v>37</v>
      </c>
      <c r="R88" s="105">
        <v>45170</v>
      </c>
      <c r="S88" s="105">
        <v>46691</v>
      </c>
      <c r="Y88" s="99"/>
      <c r="AB88" s="95"/>
    </row>
    <row r="89" spans="1:28" ht="21" x14ac:dyDescent="0.35">
      <c r="A89" s="108">
        <v>85</v>
      </c>
      <c r="B89" s="28" t="s">
        <v>26</v>
      </c>
      <c r="C89" s="106" t="s">
        <v>140</v>
      </c>
      <c r="D89" s="30">
        <v>250000</v>
      </c>
      <c r="E89" s="30">
        <v>33324.800000000003</v>
      </c>
      <c r="F89" s="31">
        <f t="shared" si="19"/>
        <v>283324.79999999999</v>
      </c>
      <c r="G89" s="115">
        <v>60</v>
      </c>
      <c r="H89" s="75">
        <v>4722.08</v>
      </c>
      <c r="I89" s="33">
        <f t="shared" si="16"/>
        <v>666.49600000000009</v>
      </c>
      <c r="J89" s="33">
        <f t="shared" si="17"/>
        <v>5000</v>
      </c>
      <c r="K89" s="33">
        <f t="shared" si="13"/>
        <v>27326.336000000003</v>
      </c>
      <c r="L89" s="33">
        <f t="shared" si="14"/>
        <v>12663.424000000003</v>
      </c>
      <c r="M89" s="29">
        <v>41</v>
      </c>
      <c r="N89" s="34">
        <f t="shared" si="10"/>
        <v>19</v>
      </c>
      <c r="O89" s="35">
        <f t="shared" si="11"/>
        <v>193605.28</v>
      </c>
      <c r="P89" s="36">
        <f t="shared" si="12"/>
        <v>89719.52</v>
      </c>
      <c r="Q89" s="73" t="s">
        <v>37</v>
      </c>
      <c r="R89" s="105">
        <v>44287</v>
      </c>
      <c r="S89" s="105">
        <v>46112</v>
      </c>
      <c r="Y89" s="99"/>
      <c r="AB89" s="95"/>
    </row>
    <row r="90" spans="1:28" ht="21" x14ac:dyDescent="0.35">
      <c r="A90" s="108">
        <v>86</v>
      </c>
      <c r="B90" s="28" t="s">
        <v>26</v>
      </c>
      <c r="C90" s="66" t="s">
        <v>137</v>
      </c>
      <c r="D90" s="30">
        <v>750000</v>
      </c>
      <c r="E90" s="30">
        <v>59984.88</v>
      </c>
      <c r="F90" s="31">
        <v>809984.88</v>
      </c>
      <c r="G90" s="87">
        <v>36</v>
      </c>
      <c r="H90" s="72">
        <v>22499.58</v>
      </c>
      <c r="I90" s="33">
        <f t="shared" si="16"/>
        <v>1199.6976</v>
      </c>
      <c r="J90" s="33">
        <f t="shared" si="17"/>
        <v>15000</v>
      </c>
      <c r="K90" s="33">
        <f t="shared" si="13"/>
        <v>11996.975999999999</v>
      </c>
      <c r="L90" s="33">
        <f t="shared" si="14"/>
        <v>31192.137599999998</v>
      </c>
      <c r="M90" s="29">
        <v>10</v>
      </c>
      <c r="N90" s="34">
        <f t="shared" si="10"/>
        <v>26</v>
      </c>
      <c r="O90" s="35">
        <f t="shared" si="11"/>
        <v>224995.80000000002</v>
      </c>
      <c r="P90" s="36">
        <f t="shared" si="12"/>
        <v>584989.08000000007</v>
      </c>
      <c r="Q90" s="73" t="s">
        <v>94</v>
      </c>
      <c r="R90" s="62">
        <v>45231</v>
      </c>
      <c r="S90" s="42">
        <v>46326</v>
      </c>
      <c r="Y90" s="99"/>
      <c r="AB90" s="95"/>
    </row>
    <row r="91" spans="1:28" ht="21" x14ac:dyDescent="0.35">
      <c r="A91" s="108">
        <v>87</v>
      </c>
      <c r="B91" s="28" t="s">
        <v>26</v>
      </c>
      <c r="C91" s="66" t="s">
        <v>141</v>
      </c>
      <c r="D91" s="30">
        <v>750000</v>
      </c>
      <c r="E91" s="30">
        <v>83312.5</v>
      </c>
      <c r="F91" s="31">
        <v>833312.5</v>
      </c>
      <c r="G91" s="27">
        <v>50</v>
      </c>
      <c r="H91" s="72">
        <v>16666.25</v>
      </c>
      <c r="I91" s="33">
        <f t="shared" si="16"/>
        <v>1666.25</v>
      </c>
      <c r="J91" s="33">
        <f t="shared" si="17"/>
        <v>15000</v>
      </c>
      <c r="K91" s="33">
        <f t="shared" si="13"/>
        <v>16662.5</v>
      </c>
      <c r="L91" s="33">
        <f t="shared" si="14"/>
        <v>66650</v>
      </c>
      <c r="M91" s="29">
        <v>10</v>
      </c>
      <c r="N91" s="34">
        <f t="shared" si="10"/>
        <v>40</v>
      </c>
      <c r="O91" s="35">
        <f t="shared" si="11"/>
        <v>166662.5</v>
      </c>
      <c r="P91" s="36">
        <f t="shared" si="12"/>
        <v>666650</v>
      </c>
      <c r="Q91" s="73" t="s">
        <v>94</v>
      </c>
      <c r="R91" s="62">
        <v>45231</v>
      </c>
      <c r="S91" s="42">
        <v>46752</v>
      </c>
      <c r="Y91" s="99"/>
      <c r="AB91" s="95"/>
    </row>
    <row r="92" spans="1:28" ht="21" x14ac:dyDescent="0.35">
      <c r="A92" s="108">
        <v>88</v>
      </c>
      <c r="B92" s="28" t="s">
        <v>26</v>
      </c>
      <c r="C92" s="116" t="s">
        <v>144</v>
      </c>
      <c r="D92" s="30">
        <v>750000</v>
      </c>
      <c r="E92" s="30">
        <v>99975</v>
      </c>
      <c r="F92" s="31">
        <f t="shared" ref="F92:F93" si="20">D92+E92</f>
        <v>849975</v>
      </c>
      <c r="G92" s="27">
        <v>60</v>
      </c>
      <c r="H92" s="72">
        <v>14166.25</v>
      </c>
      <c r="I92" s="33">
        <f t="shared" si="16"/>
        <v>1999.5</v>
      </c>
      <c r="J92" s="33">
        <f t="shared" si="17"/>
        <v>15000</v>
      </c>
      <c r="K92" s="33">
        <f t="shared" si="13"/>
        <v>19995</v>
      </c>
      <c r="L92" s="33">
        <f t="shared" si="14"/>
        <v>99975</v>
      </c>
      <c r="M92" s="29">
        <v>10</v>
      </c>
      <c r="N92" s="34">
        <f t="shared" si="10"/>
        <v>50</v>
      </c>
      <c r="O92" s="35">
        <f t="shared" si="11"/>
        <v>141662.5</v>
      </c>
      <c r="P92" s="36">
        <f t="shared" si="12"/>
        <v>708312.5</v>
      </c>
      <c r="Q92" s="73" t="s">
        <v>94</v>
      </c>
      <c r="R92" s="62">
        <v>45231</v>
      </c>
      <c r="S92" s="42">
        <v>47057</v>
      </c>
      <c r="Y92" s="99"/>
      <c r="AB92" s="95"/>
    </row>
    <row r="93" spans="1:28" ht="21" x14ac:dyDescent="0.35">
      <c r="A93" s="108">
        <v>89</v>
      </c>
      <c r="B93" s="28" t="s">
        <v>26</v>
      </c>
      <c r="C93" s="66" t="s">
        <v>134</v>
      </c>
      <c r="D93" s="30">
        <v>750000</v>
      </c>
      <c r="E93" s="30">
        <v>99975</v>
      </c>
      <c r="F93" s="31">
        <f t="shared" si="20"/>
        <v>849975</v>
      </c>
      <c r="G93" s="27">
        <v>60</v>
      </c>
      <c r="H93" s="72">
        <v>13709.27</v>
      </c>
      <c r="I93" s="33">
        <f t="shared" si="16"/>
        <v>1999.5</v>
      </c>
      <c r="J93" s="33">
        <f t="shared" si="17"/>
        <v>15000</v>
      </c>
      <c r="K93" s="33">
        <f t="shared" si="13"/>
        <v>19995</v>
      </c>
      <c r="L93" s="33">
        <f t="shared" si="14"/>
        <v>99975</v>
      </c>
      <c r="M93" s="29">
        <v>10</v>
      </c>
      <c r="N93" s="34">
        <f t="shared" si="10"/>
        <v>50</v>
      </c>
      <c r="O93" s="35">
        <f t="shared" si="11"/>
        <v>137092.70000000001</v>
      </c>
      <c r="P93" s="36">
        <f t="shared" si="12"/>
        <v>685463.5</v>
      </c>
      <c r="Q93" s="73" t="s">
        <v>94</v>
      </c>
      <c r="R93" s="62">
        <v>45231</v>
      </c>
      <c r="S93" s="42">
        <v>47057</v>
      </c>
      <c r="Y93" s="99"/>
      <c r="AB93" s="95"/>
    </row>
    <row r="94" spans="1:28" ht="21" x14ac:dyDescent="0.35">
      <c r="A94" s="108">
        <v>90</v>
      </c>
      <c r="B94" s="28" t="s">
        <v>26</v>
      </c>
      <c r="C94" s="66" t="s">
        <v>136</v>
      </c>
      <c r="D94" s="30">
        <v>750000</v>
      </c>
      <c r="E94" s="30">
        <v>59984.88</v>
      </c>
      <c r="F94" s="31">
        <v>809984.88</v>
      </c>
      <c r="G94" s="87">
        <v>36</v>
      </c>
      <c r="H94" s="72">
        <v>22499.58</v>
      </c>
      <c r="I94" s="33">
        <f t="shared" si="16"/>
        <v>1199.6976</v>
      </c>
      <c r="J94" s="33">
        <f t="shared" si="17"/>
        <v>15000</v>
      </c>
      <c r="K94" s="33">
        <f t="shared" si="13"/>
        <v>11996.975999999999</v>
      </c>
      <c r="L94" s="33">
        <f t="shared" si="14"/>
        <v>31192.137599999998</v>
      </c>
      <c r="M94" s="29">
        <v>10</v>
      </c>
      <c r="N94" s="34">
        <f t="shared" si="10"/>
        <v>26</v>
      </c>
      <c r="O94" s="35">
        <f t="shared" si="11"/>
        <v>224995.80000000002</v>
      </c>
      <c r="P94" s="36">
        <f t="shared" si="12"/>
        <v>584989.08000000007</v>
      </c>
      <c r="Q94" s="73" t="s">
        <v>94</v>
      </c>
      <c r="R94" s="62">
        <v>45231</v>
      </c>
      <c r="S94" s="42">
        <v>46326</v>
      </c>
      <c r="Y94" s="99"/>
      <c r="AB94" s="95"/>
    </row>
    <row r="95" spans="1:28" ht="21" x14ac:dyDescent="0.35">
      <c r="A95" s="108">
        <v>91</v>
      </c>
      <c r="B95" s="28" t="s">
        <v>26</v>
      </c>
      <c r="C95" s="66" t="s">
        <v>138</v>
      </c>
      <c r="D95" s="30">
        <v>750000</v>
      </c>
      <c r="E95" s="30">
        <v>99975</v>
      </c>
      <c r="F95" s="31">
        <f t="shared" ref="F95:F100" si="21">D95+E95</f>
        <v>849975</v>
      </c>
      <c r="G95" s="27">
        <v>60</v>
      </c>
      <c r="H95" s="72">
        <v>14166.25</v>
      </c>
      <c r="I95" s="33">
        <f t="shared" si="16"/>
        <v>1999.5</v>
      </c>
      <c r="J95" s="33">
        <f t="shared" si="17"/>
        <v>15000</v>
      </c>
      <c r="K95" s="33">
        <f t="shared" si="13"/>
        <v>19995</v>
      </c>
      <c r="L95" s="33">
        <f t="shared" si="14"/>
        <v>99975</v>
      </c>
      <c r="M95" s="29">
        <v>10</v>
      </c>
      <c r="N95" s="34">
        <f t="shared" si="10"/>
        <v>50</v>
      </c>
      <c r="O95" s="35">
        <f t="shared" si="11"/>
        <v>141662.5</v>
      </c>
      <c r="P95" s="36">
        <f t="shared" si="12"/>
        <v>708312.5</v>
      </c>
      <c r="Q95" s="73" t="s">
        <v>94</v>
      </c>
      <c r="R95" s="62">
        <v>45231</v>
      </c>
      <c r="S95" s="42">
        <v>47057</v>
      </c>
      <c r="Y95" s="99"/>
      <c r="AB95" s="95"/>
    </row>
    <row r="96" spans="1:28" ht="21" x14ac:dyDescent="0.35">
      <c r="A96" s="108">
        <v>92</v>
      </c>
      <c r="B96" s="28" t="s">
        <v>26</v>
      </c>
      <c r="C96" s="66" t="s">
        <v>139</v>
      </c>
      <c r="D96" s="30">
        <v>750000</v>
      </c>
      <c r="E96" s="30">
        <v>99975</v>
      </c>
      <c r="F96" s="31">
        <f t="shared" si="21"/>
        <v>849975</v>
      </c>
      <c r="G96" s="27">
        <v>60</v>
      </c>
      <c r="H96" s="72">
        <v>14166.25</v>
      </c>
      <c r="I96" s="33">
        <f t="shared" si="16"/>
        <v>1999.5</v>
      </c>
      <c r="J96" s="33">
        <f t="shared" si="17"/>
        <v>15000</v>
      </c>
      <c r="K96" s="33">
        <f t="shared" si="13"/>
        <v>19995</v>
      </c>
      <c r="L96" s="33">
        <f t="shared" si="14"/>
        <v>99975</v>
      </c>
      <c r="M96" s="29">
        <v>10</v>
      </c>
      <c r="N96" s="34">
        <f t="shared" si="10"/>
        <v>50</v>
      </c>
      <c r="O96" s="35">
        <f t="shared" si="11"/>
        <v>141662.5</v>
      </c>
      <c r="P96" s="36">
        <f t="shared" si="12"/>
        <v>708312.5</v>
      </c>
      <c r="Q96" s="73" t="s">
        <v>94</v>
      </c>
      <c r="R96" s="62">
        <v>45231</v>
      </c>
      <c r="S96" s="42">
        <v>47057</v>
      </c>
      <c r="Y96" s="99"/>
      <c r="AB96" s="95"/>
    </row>
    <row r="97" spans="1:28" ht="21" x14ac:dyDescent="0.35">
      <c r="A97" s="108">
        <v>93</v>
      </c>
      <c r="B97" s="28" t="s">
        <v>26</v>
      </c>
      <c r="C97" s="66" t="s">
        <v>143</v>
      </c>
      <c r="D97" s="30">
        <v>250000</v>
      </c>
      <c r="E97" s="30">
        <v>33324.800000000003</v>
      </c>
      <c r="F97" s="31">
        <f t="shared" si="21"/>
        <v>283324.79999999999</v>
      </c>
      <c r="G97" s="115">
        <v>60</v>
      </c>
      <c r="H97" s="75">
        <v>4722.08</v>
      </c>
      <c r="I97" s="33">
        <f t="shared" si="16"/>
        <v>666.49600000000009</v>
      </c>
      <c r="J97" s="33">
        <f t="shared" si="17"/>
        <v>5000</v>
      </c>
      <c r="K97" s="33">
        <f t="shared" si="13"/>
        <v>6664.9600000000009</v>
      </c>
      <c r="L97" s="33">
        <f t="shared" si="14"/>
        <v>33324.800000000003</v>
      </c>
      <c r="M97" s="29">
        <v>10</v>
      </c>
      <c r="N97" s="34">
        <f t="shared" si="10"/>
        <v>50</v>
      </c>
      <c r="O97" s="35">
        <f t="shared" si="11"/>
        <v>47220.800000000003</v>
      </c>
      <c r="P97" s="36">
        <f t="shared" si="12"/>
        <v>236104</v>
      </c>
      <c r="Q97" s="73" t="s">
        <v>94</v>
      </c>
      <c r="R97" s="62">
        <v>45231</v>
      </c>
      <c r="S97" s="42">
        <v>47057</v>
      </c>
      <c r="Y97" s="99"/>
      <c r="AB97" s="95"/>
    </row>
    <row r="98" spans="1:28" ht="21" x14ac:dyDescent="0.35">
      <c r="A98" s="108">
        <v>94</v>
      </c>
      <c r="B98" s="28" t="s">
        <v>26</v>
      </c>
      <c r="C98" s="66" t="s">
        <v>135</v>
      </c>
      <c r="D98" s="30">
        <v>250000</v>
      </c>
      <c r="E98" s="30">
        <v>33324.800000000003</v>
      </c>
      <c r="F98" s="31">
        <f t="shared" si="21"/>
        <v>283324.79999999999</v>
      </c>
      <c r="G98" s="115">
        <v>60</v>
      </c>
      <c r="H98" s="72">
        <v>4722.08</v>
      </c>
      <c r="I98" s="33">
        <f t="shared" si="16"/>
        <v>666.49600000000009</v>
      </c>
      <c r="J98" s="33">
        <f t="shared" si="17"/>
        <v>5000</v>
      </c>
      <c r="K98" s="33">
        <f t="shared" si="13"/>
        <v>6664.9600000000009</v>
      </c>
      <c r="L98" s="33">
        <f t="shared" si="14"/>
        <v>33324.800000000003</v>
      </c>
      <c r="M98" s="29">
        <v>10</v>
      </c>
      <c r="N98" s="34">
        <f t="shared" si="10"/>
        <v>50</v>
      </c>
      <c r="O98" s="35">
        <f t="shared" si="11"/>
        <v>47220.800000000003</v>
      </c>
      <c r="P98" s="36">
        <f t="shared" si="12"/>
        <v>236104</v>
      </c>
      <c r="Q98" s="73" t="s">
        <v>94</v>
      </c>
      <c r="R98" s="62">
        <v>45231</v>
      </c>
      <c r="S98" s="42">
        <v>47057</v>
      </c>
      <c r="Y98" s="99"/>
      <c r="AB98" s="95"/>
    </row>
    <row r="99" spans="1:28" ht="21" x14ac:dyDescent="0.35">
      <c r="A99" s="108">
        <v>95</v>
      </c>
      <c r="B99" s="28" t="s">
        <v>26</v>
      </c>
      <c r="C99" s="66" t="s">
        <v>142</v>
      </c>
      <c r="D99" s="30">
        <v>250000</v>
      </c>
      <c r="E99" s="30">
        <v>33325.1</v>
      </c>
      <c r="F99" s="31">
        <f t="shared" si="21"/>
        <v>283325.09999999998</v>
      </c>
      <c r="G99" s="115">
        <v>30</v>
      </c>
      <c r="H99" s="72">
        <v>9444.17</v>
      </c>
      <c r="I99" s="33">
        <f t="shared" si="16"/>
        <v>666.50199999999995</v>
      </c>
      <c r="J99" s="33">
        <f t="shared" si="17"/>
        <v>5000</v>
      </c>
      <c r="K99" s="33">
        <f t="shared" si="13"/>
        <v>6665.0199999999995</v>
      </c>
      <c r="L99" s="33">
        <f t="shared" si="14"/>
        <v>13330.039999999999</v>
      </c>
      <c r="M99" s="29">
        <v>10</v>
      </c>
      <c r="N99" s="34">
        <f t="shared" si="10"/>
        <v>20</v>
      </c>
      <c r="O99" s="35">
        <f t="shared" si="11"/>
        <v>94441.7</v>
      </c>
      <c r="P99" s="36">
        <f t="shared" si="12"/>
        <v>188883.4</v>
      </c>
      <c r="Q99" s="73" t="s">
        <v>94</v>
      </c>
      <c r="R99" s="62">
        <v>45231</v>
      </c>
      <c r="S99" s="42">
        <v>46142</v>
      </c>
      <c r="Y99" s="99"/>
      <c r="AB99" s="95"/>
    </row>
    <row r="100" spans="1:28" ht="21" x14ac:dyDescent="0.35">
      <c r="A100" s="108">
        <v>96</v>
      </c>
      <c r="B100" s="28" t="s">
        <v>26</v>
      </c>
      <c r="C100" s="66" t="s">
        <v>146</v>
      </c>
      <c r="D100" s="30">
        <v>250000</v>
      </c>
      <c r="E100" s="30">
        <v>33324.800000000003</v>
      </c>
      <c r="F100" s="31">
        <f t="shared" si="21"/>
        <v>283324.79999999999</v>
      </c>
      <c r="G100" s="115">
        <v>60</v>
      </c>
      <c r="H100" s="72">
        <v>4722.08</v>
      </c>
      <c r="I100" s="33">
        <f t="shared" si="16"/>
        <v>666.49600000000009</v>
      </c>
      <c r="J100" s="33">
        <f t="shared" si="17"/>
        <v>5000</v>
      </c>
      <c r="K100" s="33">
        <f t="shared" si="13"/>
        <v>6664.9600000000009</v>
      </c>
      <c r="L100" s="33">
        <f t="shared" si="14"/>
        <v>33324.800000000003</v>
      </c>
      <c r="M100" s="29">
        <v>10</v>
      </c>
      <c r="N100" s="34">
        <f t="shared" si="10"/>
        <v>50</v>
      </c>
      <c r="O100" s="35">
        <f t="shared" si="11"/>
        <v>47220.800000000003</v>
      </c>
      <c r="P100" s="36">
        <f t="shared" si="12"/>
        <v>236104</v>
      </c>
      <c r="Q100" s="73" t="s">
        <v>94</v>
      </c>
      <c r="R100" s="62">
        <v>45261</v>
      </c>
      <c r="S100" s="42">
        <v>47087</v>
      </c>
      <c r="Y100" s="99"/>
      <c r="AB100" s="95"/>
    </row>
    <row r="101" spans="1:28" ht="21" x14ac:dyDescent="0.35">
      <c r="A101" s="108">
        <v>97</v>
      </c>
      <c r="B101" s="28" t="s">
        <v>26</v>
      </c>
      <c r="C101" s="66" t="s">
        <v>147</v>
      </c>
      <c r="D101" s="30">
        <v>750000</v>
      </c>
      <c r="E101" s="30">
        <v>49987.5</v>
      </c>
      <c r="F101" s="31">
        <v>799987.5</v>
      </c>
      <c r="G101" s="27">
        <v>30</v>
      </c>
      <c r="H101" s="75">
        <v>26666.25</v>
      </c>
      <c r="I101" s="33">
        <f t="shared" si="16"/>
        <v>999.75</v>
      </c>
      <c r="J101" s="33">
        <f t="shared" si="17"/>
        <v>15000</v>
      </c>
      <c r="K101" s="33">
        <f t="shared" si="13"/>
        <v>7998</v>
      </c>
      <c r="L101" s="33">
        <f t="shared" si="14"/>
        <v>21994.5</v>
      </c>
      <c r="M101" s="29">
        <v>8</v>
      </c>
      <c r="N101" s="34">
        <f t="shared" si="10"/>
        <v>22</v>
      </c>
      <c r="O101" s="35">
        <f t="shared" si="11"/>
        <v>213330</v>
      </c>
      <c r="P101" s="36">
        <f t="shared" si="12"/>
        <v>586657.5</v>
      </c>
      <c r="Q101" s="73" t="s">
        <v>94</v>
      </c>
      <c r="R101" s="62">
        <v>45292</v>
      </c>
      <c r="S101" s="42">
        <v>46203</v>
      </c>
      <c r="Y101" s="99"/>
      <c r="AB101" s="95"/>
    </row>
    <row r="102" spans="1:28" ht="21" x14ac:dyDescent="0.35">
      <c r="A102" s="108">
        <v>98</v>
      </c>
      <c r="B102" s="28" t="s">
        <v>26</v>
      </c>
      <c r="C102" s="66" t="s">
        <v>148</v>
      </c>
      <c r="D102" s="30">
        <v>750000</v>
      </c>
      <c r="E102" s="30">
        <v>83312.5</v>
      </c>
      <c r="F102" s="31">
        <v>833312.5</v>
      </c>
      <c r="G102" s="27">
        <v>50</v>
      </c>
      <c r="H102" s="4">
        <v>16666.25</v>
      </c>
      <c r="I102" s="33">
        <f t="shared" si="16"/>
        <v>1666.25</v>
      </c>
      <c r="J102" s="33">
        <f t="shared" si="17"/>
        <v>15000</v>
      </c>
      <c r="K102" s="33">
        <f t="shared" si="13"/>
        <v>13330</v>
      </c>
      <c r="L102" s="33">
        <f t="shared" si="14"/>
        <v>69982.5</v>
      </c>
      <c r="M102" s="29">
        <v>8</v>
      </c>
      <c r="N102" s="34">
        <f t="shared" si="10"/>
        <v>42</v>
      </c>
      <c r="O102" s="35">
        <f t="shared" si="11"/>
        <v>133330</v>
      </c>
      <c r="P102" s="36">
        <f t="shared" si="12"/>
        <v>699982.5</v>
      </c>
      <c r="Q102" s="73" t="s">
        <v>94</v>
      </c>
      <c r="R102" s="62">
        <v>45292</v>
      </c>
      <c r="S102" s="42">
        <v>46811</v>
      </c>
      <c r="Y102" s="99"/>
      <c r="AB102" s="95"/>
    </row>
    <row r="103" spans="1:28" ht="21" x14ac:dyDescent="0.35">
      <c r="A103" s="108">
        <v>99</v>
      </c>
      <c r="B103" s="28" t="s">
        <v>26</v>
      </c>
      <c r="C103" s="66" t="s">
        <v>149</v>
      </c>
      <c r="D103" s="30">
        <v>750000</v>
      </c>
      <c r="E103" s="96">
        <v>66650</v>
      </c>
      <c r="F103" s="97">
        <v>816650</v>
      </c>
      <c r="G103" s="87">
        <v>40</v>
      </c>
      <c r="H103" s="85">
        <v>20416.25</v>
      </c>
      <c r="I103" s="33">
        <f t="shared" si="16"/>
        <v>1333</v>
      </c>
      <c r="J103" s="33">
        <f t="shared" si="17"/>
        <v>15000</v>
      </c>
      <c r="K103" s="33">
        <f t="shared" si="13"/>
        <v>10664</v>
      </c>
      <c r="L103" s="33">
        <f t="shared" si="14"/>
        <v>42656</v>
      </c>
      <c r="M103" s="29">
        <v>8</v>
      </c>
      <c r="N103" s="34">
        <f t="shared" si="10"/>
        <v>32</v>
      </c>
      <c r="O103" s="35">
        <f t="shared" si="11"/>
        <v>163330</v>
      </c>
      <c r="P103" s="36">
        <f t="shared" si="12"/>
        <v>653320</v>
      </c>
      <c r="Q103" s="73" t="s">
        <v>94</v>
      </c>
      <c r="R103" s="62">
        <v>45292</v>
      </c>
      <c r="S103" s="42">
        <v>46507</v>
      </c>
      <c r="Y103" s="99"/>
      <c r="AB103" s="95"/>
    </row>
    <row r="104" spans="1:28" ht="21" x14ac:dyDescent="0.35">
      <c r="A104" s="108">
        <v>100</v>
      </c>
      <c r="B104" s="28" t="s">
        <v>26</v>
      </c>
      <c r="C104" s="66" t="s">
        <v>150</v>
      </c>
      <c r="D104" s="30">
        <v>600000</v>
      </c>
      <c r="E104" s="30">
        <v>33325</v>
      </c>
      <c r="F104" s="31">
        <v>633325</v>
      </c>
      <c r="G104" s="115">
        <v>25</v>
      </c>
      <c r="H104" s="72">
        <v>25333</v>
      </c>
      <c r="I104" s="33">
        <f t="shared" si="16"/>
        <v>666.5</v>
      </c>
      <c r="J104" s="33">
        <f t="shared" si="17"/>
        <v>12000</v>
      </c>
      <c r="K104" s="33">
        <f t="shared" si="13"/>
        <v>5332</v>
      </c>
      <c r="L104" s="33">
        <f t="shared" si="14"/>
        <v>11330.5</v>
      </c>
      <c r="M104" s="29">
        <v>8</v>
      </c>
      <c r="N104" s="34">
        <f t="shared" si="10"/>
        <v>17</v>
      </c>
      <c r="O104" s="35">
        <f t="shared" si="11"/>
        <v>202664</v>
      </c>
      <c r="P104" s="36">
        <f t="shared" si="12"/>
        <v>430661</v>
      </c>
      <c r="Q104" s="73" t="s">
        <v>94</v>
      </c>
      <c r="R104" s="62">
        <v>45292</v>
      </c>
      <c r="S104" s="42">
        <v>46052</v>
      </c>
      <c r="Y104" s="99"/>
      <c r="AB104" s="95"/>
    </row>
    <row r="105" spans="1:28" ht="21" x14ac:dyDescent="0.35">
      <c r="A105" s="108">
        <v>101</v>
      </c>
      <c r="B105" s="28" t="s">
        <v>26</v>
      </c>
      <c r="C105" s="66" t="s">
        <v>151</v>
      </c>
      <c r="D105" s="30">
        <v>750000</v>
      </c>
      <c r="E105" s="96">
        <v>66650</v>
      </c>
      <c r="F105" s="97">
        <v>816650</v>
      </c>
      <c r="G105" s="87">
        <v>40</v>
      </c>
      <c r="H105" s="85">
        <v>20416.25</v>
      </c>
      <c r="I105" s="33">
        <f t="shared" si="16"/>
        <v>1333</v>
      </c>
      <c r="J105" s="33">
        <f t="shared" si="17"/>
        <v>15000</v>
      </c>
      <c r="K105" s="33">
        <f t="shared" si="13"/>
        <v>10664</v>
      </c>
      <c r="L105" s="33">
        <f t="shared" si="14"/>
        <v>42656</v>
      </c>
      <c r="M105" s="29">
        <v>8</v>
      </c>
      <c r="N105" s="34">
        <f t="shared" si="10"/>
        <v>32</v>
      </c>
      <c r="O105" s="35">
        <f t="shared" si="11"/>
        <v>163330</v>
      </c>
      <c r="P105" s="36">
        <f t="shared" si="12"/>
        <v>653320</v>
      </c>
      <c r="Q105" s="73" t="s">
        <v>94</v>
      </c>
      <c r="R105" s="62">
        <v>45292</v>
      </c>
      <c r="S105" s="42">
        <v>46507</v>
      </c>
      <c r="Y105" s="99"/>
      <c r="AB105" s="95"/>
    </row>
    <row r="106" spans="1:28" ht="21" x14ac:dyDescent="0.35">
      <c r="A106" s="108">
        <v>102</v>
      </c>
      <c r="B106" s="28" t="s">
        <v>26</v>
      </c>
      <c r="C106" s="66" t="s">
        <v>152</v>
      </c>
      <c r="D106" s="30">
        <v>750000</v>
      </c>
      <c r="E106" s="30">
        <v>33325</v>
      </c>
      <c r="F106" s="31">
        <v>783325</v>
      </c>
      <c r="G106" s="115">
        <v>20</v>
      </c>
      <c r="H106" s="72">
        <v>39166.25</v>
      </c>
      <c r="I106" s="33">
        <f t="shared" si="16"/>
        <v>666.5</v>
      </c>
      <c r="J106" s="33">
        <f t="shared" si="17"/>
        <v>15000</v>
      </c>
      <c r="K106" s="33">
        <f t="shared" si="13"/>
        <v>5332</v>
      </c>
      <c r="L106" s="33">
        <f t="shared" si="14"/>
        <v>7998</v>
      </c>
      <c r="M106" s="29">
        <v>8</v>
      </c>
      <c r="N106" s="34">
        <f t="shared" si="10"/>
        <v>12</v>
      </c>
      <c r="O106" s="35">
        <f t="shared" si="11"/>
        <v>313330</v>
      </c>
      <c r="P106" s="36">
        <f t="shared" si="12"/>
        <v>469995</v>
      </c>
      <c r="Q106" s="73" t="s">
        <v>94</v>
      </c>
      <c r="R106" s="62">
        <v>45292</v>
      </c>
      <c r="S106" s="122">
        <v>45900</v>
      </c>
      <c r="Y106" s="99"/>
      <c r="AB106" s="95"/>
    </row>
    <row r="107" spans="1:28" ht="21" x14ac:dyDescent="0.35">
      <c r="A107" s="108">
        <v>103</v>
      </c>
      <c r="B107" s="28" t="s">
        <v>26</v>
      </c>
      <c r="C107" s="66" t="s">
        <v>154</v>
      </c>
      <c r="D107" s="30">
        <v>750000</v>
      </c>
      <c r="E107" s="30">
        <v>99975</v>
      </c>
      <c r="F107" s="31">
        <f t="shared" ref="F107" si="22">D107+E107</f>
        <v>849975</v>
      </c>
      <c r="G107" s="27">
        <v>60</v>
      </c>
      <c r="H107" s="72">
        <v>14166.25</v>
      </c>
      <c r="I107" s="33">
        <f t="shared" si="16"/>
        <v>1999.5</v>
      </c>
      <c r="J107" s="33">
        <f t="shared" si="17"/>
        <v>15000</v>
      </c>
      <c r="K107" s="33">
        <f t="shared" si="13"/>
        <v>13996.5</v>
      </c>
      <c r="L107" s="33">
        <f t="shared" si="14"/>
        <v>105973.5</v>
      </c>
      <c r="M107" s="29">
        <v>7</v>
      </c>
      <c r="N107" s="34">
        <f t="shared" si="10"/>
        <v>53</v>
      </c>
      <c r="O107" s="35">
        <f t="shared" si="11"/>
        <v>99163.75</v>
      </c>
      <c r="P107" s="36">
        <f t="shared" si="12"/>
        <v>750811.25</v>
      </c>
      <c r="Q107" s="73" t="s">
        <v>94</v>
      </c>
      <c r="R107" s="62">
        <v>45323</v>
      </c>
      <c r="S107" s="42">
        <v>47149</v>
      </c>
      <c r="Y107" s="99"/>
      <c r="AB107" s="95"/>
    </row>
    <row r="108" spans="1:28" ht="21" x14ac:dyDescent="0.35">
      <c r="A108" s="108">
        <v>104</v>
      </c>
      <c r="B108" s="28" t="s">
        <v>26</v>
      </c>
      <c r="C108" s="66" t="s">
        <v>42</v>
      </c>
      <c r="D108" s="30">
        <v>750000</v>
      </c>
      <c r="E108" s="30">
        <v>83312.5</v>
      </c>
      <c r="F108" s="31">
        <v>833312.5</v>
      </c>
      <c r="G108" s="27">
        <v>50</v>
      </c>
      <c r="H108" s="4">
        <v>16666.25</v>
      </c>
      <c r="I108" s="33">
        <f t="shared" si="16"/>
        <v>1666.25</v>
      </c>
      <c r="J108" s="33">
        <f t="shared" si="17"/>
        <v>15000</v>
      </c>
      <c r="K108" s="33">
        <f t="shared" si="13"/>
        <v>9997.5</v>
      </c>
      <c r="L108" s="33">
        <f t="shared" si="14"/>
        <v>73315</v>
      </c>
      <c r="M108" s="29">
        <v>6</v>
      </c>
      <c r="N108" s="34">
        <f t="shared" si="10"/>
        <v>44</v>
      </c>
      <c r="O108" s="35">
        <f t="shared" si="11"/>
        <v>99997.5</v>
      </c>
      <c r="P108" s="36">
        <f t="shared" si="12"/>
        <v>733315</v>
      </c>
      <c r="Q108" s="73" t="s">
        <v>94</v>
      </c>
      <c r="R108" s="62">
        <v>45323</v>
      </c>
      <c r="S108" s="122">
        <v>46843</v>
      </c>
      <c r="Y108" s="99"/>
      <c r="AB108" s="95"/>
    </row>
    <row r="109" spans="1:28" ht="21" x14ac:dyDescent="0.35">
      <c r="A109" s="108">
        <v>105</v>
      </c>
      <c r="B109" s="28" t="s">
        <v>26</v>
      </c>
      <c r="C109" s="66" t="s">
        <v>155</v>
      </c>
      <c r="D109" s="30">
        <v>600000</v>
      </c>
      <c r="E109" s="30">
        <v>79980</v>
      </c>
      <c r="F109" s="31">
        <f>D109+E109</f>
        <v>679980</v>
      </c>
      <c r="G109" s="27">
        <v>60</v>
      </c>
      <c r="H109" s="84">
        <v>11333</v>
      </c>
      <c r="I109" s="33">
        <f t="shared" si="16"/>
        <v>1599.6</v>
      </c>
      <c r="J109" s="33">
        <f t="shared" si="17"/>
        <v>12000</v>
      </c>
      <c r="K109" s="33">
        <f t="shared" si="13"/>
        <v>9597.5999999999985</v>
      </c>
      <c r="L109" s="33">
        <f t="shared" si="14"/>
        <v>86378.4</v>
      </c>
      <c r="M109" s="29">
        <v>6</v>
      </c>
      <c r="N109" s="34">
        <f t="shared" si="10"/>
        <v>54</v>
      </c>
      <c r="O109" s="35">
        <f t="shared" si="11"/>
        <v>67998</v>
      </c>
      <c r="P109" s="36">
        <f t="shared" si="12"/>
        <v>611982</v>
      </c>
      <c r="Q109" s="73" t="s">
        <v>94</v>
      </c>
      <c r="R109" s="62">
        <v>45323</v>
      </c>
      <c r="S109" s="42">
        <v>47149</v>
      </c>
      <c r="Y109" s="99"/>
      <c r="AB109" s="95"/>
    </row>
    <row r="110" spans="1:28" ht="21" x14ac:dyDescent="0.35">
      <c r="A110" s="108">
        <v>106</v>
      </c>
      <c r="B110" s="28" t="s">
        <v>26</v>
      </c>
      <c r="C110" s="66" t="s">
        <v>156</v>
      </c>
      <c r="D110" s="30">
        <v>600000</v>
      </c>
      <c r="E110" s="30">
        <v>79980</v>
      </c>
      <c r="F110" s="31">
        <f>D110+E110</f>
        <v>679980</v>
      </c>
      <c r="G110" s="27">
        <v>60</v>
      </c>
      <c r="H110" s="84">
        <v>11333</v>
      </c>
      <c r="I110" s="33">
        <f t="shared" si="16"/>
        <v>1599.6</v>
      </c>
      <c r="J110" s="33">
        <f t="shared" si="17"/>
        <v>12000</v>
      </c>
      <c r="K110" s="33">
        <f t="shared" si="13"/>
        <v>9597.5999999999985</v>
      </c>
      <c r="L110" s="33">
        <f t="shared" si="14"/>
        <v>86378.4</v>
      </c>
      <c r="M110" s="29">
        <v>6</v>
      </c>
      <c r="N110" s="34">
        <f t="shared" si="10"/>
        <v>54</v>
      </c>
      <c r="O110" s="35">
        <f t="shared" si="11"/>
        <v>67998</v>
      </c>
      <c r="P110" s="36">
        <f t="shared" si="12"/>
        <v>611982</v>
      </c>
      <c r="Q110" s="73" t="s">
        <v>94</v>
      </c>
      <c r="R110" s="62">
        <v>45323</v>
      </c>
      <c r="S110" s="42">
        <v>47149</v>
      </c>
      <c r="Y110" s="99"/>
      <c r="AB110" s="95"/>
    </row>
    <row r="111" spans="1:28" ht="21" x14ac:dyDescent="0.35">
      <c r="A111" s="108">
        <v>107</v>
      </c>
      <c r="B111" s="28" t="s">
        <v>26</v>
      </c>
      <c r="C111" s="116" t="s">
        <v>157</v>
      </c>
      <c r="D111" s="30">
        <v>450000</v>
      </c>
      <c r="E111" s="30">
        <v>49987.5</v>
      </c>
      <c r="F111" s="31">
        <f t="shared" ref="F111:F113" si="23">D111+E111</f>
        <v>499987.5</v>
      </c>
      <c r="G111" s="27">
        <v>50</v>
      </c>
      <c r="H111" s="54">
        <v>9999.75</v>
      </c>
      <c r="I111" s="33">
        <f t="shared" si="16"/>
        <v>999.75</v>
      </c>
      <c r="J111" s="33">
        <f t="shared" si="17"/>
        <v>9000</v>
      </c>
      <c r="K111" s="33">
        <f t="shared" si="13"/>
        <v>6998.25</v>
      </c>
      <c r="L111" s="33">
        <f t="shared" si="14"/>
        <v>42989.25</v>
      </c>
      <c r="M111" s="29">
        <v>7</v>
      </c>
      <c r="N111" s="34">
        <f t="shared" si="10"/>
        <v>43</v>
      </c>
      <c r="O111" s="35">
        <f t="shared" si="11"/>
        <v>69998.25</v>
      </c>
      <c r="P111" s="36">
        <f t="shared" si="12"/>
        <v>429989.25</v>
      </c>
      <c r="Q111" s="73" t="s">
        <v>94</v>
      </c>
      <c r="R111" s="62">
        <v>45323</v>
      </c>
      <c r="S111" s="122">
        <v>46843</v>
      </c>
      <c r="Y111" s="99"/>
      <c r="AB111" s="95"/>
    </row>
    <row r="112" spans="1:28" ht="21" x14ac:dyDescent="0.35">
      <c r="A112" s="108">
        <v>108</v>
      </c>
      <c r="B112" s="28" t="s">
        <v>26</v>
      </c>
      <c r="C112" s="66" t="s">
        <v>158</v>
      </c>
      <c r="D112" s="30">
        <v>450000</v>
      </c>
      <c r="E112" s="30">
        <v>59985</v>
      </c>
      <c r="F112" s="31">
        <f t="shared" si="23"/>
        <v>509985</v>
      </c>
      <c r="G112" s="27">
        <v>60</v>
      </c>
      <c r="H112" s="75">
        <v>8499.75</v>
      </c>
      <c r="I112" s="33">
        <f t="shared" si="16"/>
        <v>1199.7</v>
      </c>
      <c r="J112" s="33">
        <f t="shared" si="17"/>
        <v>9000</v>
      </c>
      <c r="K112" s="33">
        <f t="shared" si="13"/>
        <v>8397.9</v>
      </c>
      <c r="L112" s="33">
        <f t="shared" si="14"/>
        <v>63584.100000000006</v>
      </c>
      <c r="M112" s="29">
        <v>7</v>
      </c>
      <c r="N112" s="34">
        <f t="shared" si="10"/>
        <v>53</v>
      </c>
      <c r="O112" s="35">
        <f t="shared" si="11"/>
        <v>59498.25</v>
      </c>
      <c r="P112" s="36">
        <f t="shared" si="12"/>
        <v>450486.75</v>
      </c>
      <c r="Q112" s="73" t="s">
        <v>94</v>
      </c>
      <c r="R112" s="62">
        <v>45323</v>
      </c>
      <c r="S112" s="42">
        <v>47149</v>
      </c>
      <c r="Y112" s="99"/>
      <c r="AB112" s="95"/>
    </row>
    <row r="113" spans="1:28" ht="21" x14ac:dyDescent="0.35">
      <c r="A113" s="108">
        <v>109</v>
      </c>
      <c r="B113" s="28" t="s">
        <v>26</v>
      </c>
      <c r="C113" s="66" t="s">
        <v>159</v>
      </c>
      <c r="D113" s="30">
        <v>250000</v>
      </c>
      <c r="E113" s="30">
        <v>33324.800000000003</v>
      </c>
      <c r="F113" s="31">
        <f t="shared" si="23"/>
        <v>283324.79999999999</v>
      </c>
      <c r="G113" s="115">
        <v>60</v>
      </c>
      <c r="H113" s="75">
        <v>4722.08</v>
      </c>
      <c r="I113" s="33">
        <f t="shared" si="16"/>
        <v>666.49600000000009</v>
      </c>
      <c r="J113" s="33">
        <f t="shared" si="17"/>
        <v>5000</v>
      </c>
      <c r="K113" s="33">
        <f t="shared" si="13"/>
        <v>4665.4720000000007</v>
      </c>
      <c r="L113" s="33">
        <f t="shared" si="14"/>
        <v>35324.288000000008</v>
      </c>
      <c r="M113" s="29">
        <v>7</v>
      </c>
      <c r="N113" s="34">
        <f t="shared" si="10"/>
        <v>53</v>
      </c>
      <c r="O113" s="35">
        <f t="shared" si="11"/>
        <v>33054.559999999998</v>
      </c>
      <c r="P113" s="36">
        <f t="shared" si="12"/>
        <v>250270.24</v>
      </c>
      <c r="Q113" s="73" t="s">
        <v>94</v>
      </c>
      <c r="R113" s="62">
        <v>45323</v>
      </c>
      <c r="S113" s="42">
        <v>47149</v>
      </c>
      <c r="Y113" s="99"/>
      <c r="AB113" s="95"/>
    </row>
    <row r="114" spans="1:28" ht="21" x14ac:dyDescent="0.35">
      <c r="A114" s="108">
        <v>110</v>
      </c>
      <c r="B114" s="28" t="s">
        <v>26</v>
      </c>
      <c r="C114" s="66" t="s">
        <v>160</v>
      </c>
      <c r="D114" s="30">
        <v>750000</v>
      </c>
      <c r="E114" s="30">
        <v>83312.5</v>
      </c>
      <c r="F114" s="31">
        <v>833312.5</v>
      </c>
      <c r="G114" s="27">
        <v>50</v>
      </c>
      <c r="H114" s="4">
        <v>16666.25</v>
      </c>
      <c r="I114" s="33">
        <f t="shared" si="16"/>
        <v>1666.25</v>
      </c>
      <c r="J114" s="33">
        <f t="shared" si="17"/>
        <v>15000</v>
      </c>
      <c r="K114" s="33">
        <f t="shared" si="13"/>
        <v>11663.75</v>
      </c>
      <c r="L114" s="33">
        <f t="shared" si="14"/>
        <v>71648.75</v>
      </c>
      <c r="M114" s="29">
        <v>7</v>
      </c>
      <c r="N114" s="34">
        <f t="shared" si="10"/>
        <v>43</v>
      </c>
      <c r="O114" s="35">
        <f t="shared" si="11"/>
        <v>116663.75</v>
      </c>
      <c r="P114" s="36">
        <f t="shared" si="12"/>
        <v>716648.75</v>
      </c>
      <c r="Q114" s="73" t="s">
        <v>94</v>
      </c>
      <c r="R114" s="62">
        <v>45323</v>
      </c>
      <c r="S114" s="122">
        <v>46843</v>
      </c>
      <c r="Y114" s="99"/>
      <c r="AB114" s="95"/>
    </row>
    <row r="115" spans="1:28" ht="21" x14ac:dyDescent="0.35">
      <c r="A115" s="108">
        <v>111</v>
      </c>
      <c r="B115" s="28" t="s">
        <v>26</v>
      </c>
      <c r="C115" s="66" t="s">
        <v>93</v>
      </c>
      <c r="D115" s="30">
        <v>750000</v>
      </c>
      <c r="E115" s="30">
        <v>99975</v>
      </c>
      <c r="F115" s="31">
        <f t="shared" ref="F115" si="24">D115+E115</f>
        <v>849975</v>
      </c>
      <c r="G115" s="27">
        <v>30</v>
      </c>
      <c r="H115" s="40">
        <v>26666.25</v>
      </c>
      <c r="I115" s="33">
        <f t="shared" si="16"/>
        <v>1999.5</v>
      </c>
      <c r="J115" s="33">
        <f t="shared" si="17"/>
        <v>15000</v>
      </c>
      <c r="K115" s="33">
        <f t="shared" si="13"/>
        <v>13996.5</v>
      </c>
      <c r="L115" s="33">
        <f t="shared" si="14"/>
        <v>45988.5</v>
      </c>
      <c r="M115" s="29">
        <v>7</v>
      </c>
      <c r="N115" s="34">
        <f t="shared" si="10"/>
        <v>23</v>
      </c>
      <c r="O115" s="35">
        <f t="shared" si="11"/>
        <v>186663.75</v>
      </c>
      <c r="P115" s="36">
        <f t="shared" si="12"/>
        <v>613323.75</v>
      </c>
      <c r="Q115" s="73" t="s">
        <v>94</v>
      </c>
      <c r="R115" s="62">
        <v>45323</v>
      </c>
      <c r="S115" s="129">
        <v>46234</v>
      </c>
      <c r="Y115" s="99"/>
      <c r="AB115" s="95"/>
    </row>
    <row r="116" spans="1:28" ht="21" x14ac:dyDescent="0.35">
      <c r="A116" s="108">
        <v>112</v>
      </c>
      <c r="B116" s="28" t="s">
        <v>26</v>
      </c>
      <c r="C116" s="66" t="s">
        <v>161</v>
      </c>
      <c r="D116" s="30">
        <v>600000</v>
      </c>
      <c r="E116" s="30">
        <v>53320</v>
      </c>
      <c r="F116" s="31">
        <v>653320</v>
      </c>
      <c r="G116" s="115">
        <v>40</v>
      </c>
      <c r="H116" s="72">
        <v>16333</v>
      </c>
      <c r="I116" s="33">
        <f t="shared" si="16"/>
        <v>1066.4000000000001</v>
      </c>
      <c r="J116" s="33">
        <f t="shared" si="17"/>
        <v>12000</v>
      </c>
      <c r="K116" s="33">
        <f t="shared" si="13"/>
        <v>11730.400000000001</v>
      </c>
      <c r="L116" s="33">
        <f t="shared" si="14"/>
        <v>30925.600000000002</v>
      </c>
      <c r="M116" s="29">
        <v>11</v>
      </c>
      <c r="N116" s="34">
        <f t="shared" si="10"/>
        <v>29</v>
      </c>
      <c r="O116" s="35">
        <f t="shared" si="11"/>
        <v>179663</v>
      </c>
      <c r="P116" s="36">
        <f t="shared" si="12"/>
        <v>473657</v>
      </c>
      <c r="Q116" s="113" t="s">
        <v>37</v>
      </c>
      <c r="R116" s="105">
        <v>45200</v>
      </c>
      <c r="S116" s="105">
        <v>46418</v>
      </c>
      <c r="Y116" s="99"/>
      <c r="AB116" s="95"/>
    </row>
    <row r="117" spans="1:28" ht="21" x14ac:dyDescent="0.35">
      <c r="A117" s="108">
        <v>113</v>
      </c>
      <c r="B117" s="28" t="s">
        <v>26</v>
      </c>
      <c r="C117" s="66" t="s">
        <v>163</v>
      </c>
      <c r="D117" s="30">
        <v>450000</v>
      </c>
      <c r="E117" s="30">
        <v>59985</v>
      </c>
      <c r="F117" s="31">
        <f t="shared" ref="F117" si="25">D117+E117</f>
        <v>509985</v>
      </c>
      <c r="G117" s="27">
        <v>60</v>
      </c>
      <c r="H117" s="75">
        <v>8499.75</v>
      </c>
      <c r="I117" s="33">
        <f t="shared" si="16"/>
        <v>1199.7</v>
      </c>
      <c r="J117" s="33">
        <f t="shared" si="17"/>
        <v>9000</v>
      </c>
      <c r="K117" s="33">
        <f t="shared" si="13"/>
        <v>45588.6</v>
      </c>
      <c r="L117" s="33">
        <f t="shared" si="14"/>
        <v>26393.4</v>
      </c>
      <c r="M117" s="29">
        <v>38</v>
      </c>
      <c r="N117" s="34">
        <f t="shared" si="10"/>
        <v>22</v>
      </c>
      <c r="O117" s="35">
        <f t="shared" si="11"/>
        <v>322990.5</v>
      </c>
      <c r="P117" s="36">
        <f t="shared" si="12"/>
        <v>186994.5</v>
      </c>
      <c r="Q117" s="113" t="s">
        <v>37</v>
      </c>
      <c r="R117" s="105">
        <v>44378</v>
      </c>
      <c r="S117" s="105">
        <v>46203</v>
      </c>
      <c r="Y117" s="99"/>
      <c r="AB117" s="95"/>
    </row>
    <row r="118" spans="1:28" ht="21" x14ac:dyDescent="0.35">
      <c r="A118" s="108">
        <v>114</v>
      </c>
      <c r="B118" s="28" t="s">
        <v>26</v>
      </c>
      <c r="C118" s="66" t="s">
        <v>164</v>
      </c>
      <c r="D118" s="30">
        <v>750000</v>
      </c>
      <c r="E118" s="30">
        <v>83312.5</v>
      </c>
      <c r="F118" s="31">
        <v>833312.5</v>
      </c>
      <c r="G118" s="27">
        <v>50</v>
      </c>
      <c r="H118" s="4">
        <v>16666.25</v>
      </c>
      <c r="I118" s="33">
        <f t="shared" si="16"/>
        <v>1666.25</v>
      </c>
      <c r="J118" s="33">
        <f t="shared" si="17"/>
        <v>15000</v>
      </c>
      <c r="K118" s="33">
        <f t="shared" si="13"/>
        <v>9997.5</v>
      </c>
      <c r="L118" s="33">
        <f t="shared" si="14"/>
        <v>73315</v>
      </c>
      <c r="M118" s="29">
        <v>6</v>
      </c>
      <c r="N118" s="34">
        <f t="shared" si="10"/>
        <v>44</v>
      </c>
      <c r="O118" s="35">
        <f t="shared" si="11"/>
        <v>99997.5</v>
      </c>
      <c r="P118" s="36">
        <f t="shared" si="12"/>
        <v>733315</v>
      </c>
      <c r="Q118" s="73" t="s">
        <v>94</v>
      </c>
      <c r="R118" s="62">
        <v>45352</v>
      </c>
      <c r="S118" s="42">
        <v>46873</v>
      </c>
      <c r="Y118" s="99"/>
      <c r="AB118" s="95"/>
    </row>
    <row r="119" spans="1:28" ht="21" x14ac:dyDescent="0.35">
      <c r="A119" s="108">
        <v>115</v>
      </c>
      <c r="B119" s="28" t="s">
        <v>26</v>
      </c>
      <c r="C119" s="66" t="s">
        <v>80</v>
      </c>
      <c r="D119" s="30">
        <v>750000</v>
      </c>
      <c r="E119" s="30">
        <v>99975</v>
      </c>
      <c r="F119" s="31">
        <f t="shared" ref="F119" si="26">D119+E119</f>
        <v>849975</v>
      </c>
      <c r="G119" s="27">
        <v>60</v>
      </c>
      <c r="H119" s="72">
        <v>14166.25</v>
      </c>
      <c r="I119" s="33">
        <f t="shared" si="16"/>
        <v>1999.5</v>
      </c>
      <c r="J119" s="33">
        <f t="shared" si="17"/>
        <v>15000</v>
      </c>
      <c r="K119" s="33">
        <f t="shared" si="13"/>
        <v>11997</v>
      </c>
      <c r="L119" s="33">
        <f t="shared" si="14"/>
        <v>107973</v>
      </c>
      <c r="M119" s="29">
        <v>6</v>
      </c>
      <c r="N119" s="34">
        <f t="shared" si="10"/>
        <v>54</v>
      </c>
      <c r="O119" s="35">
        <f t="shared" si="11"/>
        <v>84997.5</v>
      </c>
      <c r="P119" s="36">
        <f t="shared" si="12"/>
        <v>764977.5</v>
      </c>
      <c r="Q119" s="73" t="s">
        <v>94</v>
      </c>
      <c r="R119" s="62">
        <v>45352</v>
      </c>
      <c r="S119" s="42">
        <v>47177</v>
      </c>
      <c r="Y119" s="99"/>
      <c r="AB119" s="95"/>
    </row>
    <row r="120" spans="1:28" ht="21" x14ac:dyDescent="0.35">
      <c r="A120" s="108">
        <v>116</v>
      </c>
      <c r="B120" s="28" t="s">
        <v>26</v>
      </c>
      <c r="C120" s="66" t="s">
        <v>165</v>
      </c>
      <c r="D120" s="30">
        <v>750000</v>
      </c>
      <c r="E120" s="30">
        <v>59984.88</v>
      </c>
      <c r="F120" s="31">
        <v>809984.88</v>
      </c>
      <c r="G120" s="87">
        <v>36</v>
      </c>
      <c r="H120" s="72">
        <v>22499.58</v>
      </c>
      <c r="I120" s="33">
        <f t="shared" si="16"/>
        <v>1199.6976</v>
      </c>
      <c r="J120" s="33">
        <f t="shared" si="17"/>
        <v>15000</v>
      </c>
      <c r="K120" s="33">
        <f t="shared" si="13"/>
        <v>7198.1855999999998</v>
      </c>
      <c r="L120" s="33">
        <f t="shared" si="14"/>
        <v>35990.928</v>
      </c>
      <c r="M120" s="29">
        <v>6</v>
      </c>
      <c r="N120" s="34">
        <f t="shared" si="10"/>
        <v>30</v>
      </c>
      <c r="O120" s="35">
        <f t="shared" si="11"/>
        <v>134997.48000000001</v>
      </c>
      <c r="P120" s="36">
        <f t="shared" si="12"/>
        <v>674987.4</v>
      </c>
      <c r="Q120" s="73" t="s">
        <v>94</v>
      </c>
      <c r="R120" s="62">
        <v>45352</v>
      </c>
      <c r="S120" s="42">
        <v>46446</v>
      </c>
      <c r="Y120" s="99"/>
      <c r="AB120" s="95"/>
    </row>
    <row r="121" spans="1:28" ht="21" x14ac:dyDescent="0.35">
      <c r="A121" s="108">
        <v>117</v>
      </c>
      <c r="B121" s="28" t="s">
        <v>26</v>
      </c>
      <c r="C121" s="66" t="s">
        <v>166</v>
      </c>
      <c r="D121" s="30">
        <v>450000</v>
      </c>
      <c r="E121" s="30">
        <v>49987.5</v>
      </c>
      <c r="F121" s="31">
        <f t="shared" ref="F121:F122" si="27">D121+E121</f>
        <v>499987.5</v>
      </c>
      <c r="G121" s="27">
        <v>50</v>
      </c>
      <c r="H121" s="54">
        <v>9999.75</v>
      </c>
      <c r="I121" s="33">
        <f t="shared" si="16"/>
        <v>999.75</v>
      </c>
      <c r="J121" s="33">
        <f t="shared" si="17"/>
        <v>9000</v>
      </c>
      <c r="K121" s="33">
        <f t="shared" si="13"/>
        <v>5998.5</v>
      </c>
      <c r="L121" s="33">
        <f t="shared" si="14"/>
        <v>43989</v>
      </c>
      <c r="M121" s="29">
        <v>6</v>
      </c>
      <c r="N121" s="34">
        <f t="shared" si="10"/>
        <v>44</v>
      </c>
      <c r="O121" s="35">
        <f t="shared" si="11"/>
        <v>59998.5</v>
      </c>
      <c r="P121" s="36">
        <f t="shared" si="12"/>
        <v>439989</v>
      </c>
      <c r="Q121" s="73" t="s">
        <v>94</v>
      </c>
      <c r="R121" s="62">
        <v>45352</v>
      </c>
      <c r="S121" s="42">
        <v>46873</v>
      </c>
      <c r="Y121" s="99"/>
      <c r="AB121" s="95"/>
    </row>
    <row r="122" spans="1:28" ht="21" x14ac:dyDescent="0.35">
      <c r="A122" s="108">
        <v>118</v>
      </c>
      <c r="B122" s="28" t="s">
        <v>26</v>
      </c>
      <c r="C122" s="66" t="s">
        <v>167</v>
      </c>
      <c r="D122" s="88">
        <v>450000</v>
      </c>
      <c r="E122" s="88">
        <v>47988</v>
      </c>
      <c r="F122" s="89">
        <f t="shared" si="27"/>
        <v>497988</v>
      </c>
      <c r="G122" s="70">
        <v>48</v>
      </c>
      <c r="H122" s="86">
        <v>10374.75</v>
      </c>
      <c r="I122" s="33">
        <f t="shared" si="16"/>
        <v>959.76</v>
      </c>
      <c r="J122" s="33">
        <f t="shared" si="17"/>
        <v>9000</v>
      </c>
      <c r="K122" s="33">
        <f t="shared" si="13"/>
        <v>5758.5599999999995</v>
      </c>
      <c r="L122" s="33">
        <f t="shared" si="14"/>
        <v>40309.919999999998</v>
      </c>
      <c r="M122" s="29">
        <v>6</v>
      </c>
      <c r="N122" s="34">
        <f t="shared" si="10"/>
        <v>42</v>
      </c>
      <c r="O122" s="35">
        <f t="shared" si="11"/>
        <v>62248.5</v>
      </c>
      <c r="P122" s="36">
        <f t="shared" si="12"/>
        <v>435739.5</v>
      </c>
      <c r="Q122" s="73" t="s">
        <v>94</v>
      </c>
      <c r="R122" s="62">
        <v>45352</v>
      </c>
      <c r="S122" s="42">
        <v>46811</v>
      </c>
      <c r="Y122" s="99"/>
      <c r="AB122" s="95"/>
    </row>
    <row r="123" spans="1:28" ht="21" x14ac:dyDescent="0.35">
      <c r="A123" s="108">
        <v>119</v>
      </c>
      <c r="B123" s="28" t="s">
        <v>26</v>
      </c>
      <c r="C123" s="66" t="s">
        <v>170</v>
      </c>
      <c r="D123" s="30">
        <v>750000</v>
      </c>
      <c r="E123" s="30">
        <v>59984.88</v>
      </c>
      <c r="F123" s="31">
        <v>809984.88</v>
      </c>
      <c r="G123" s="87">
        <v>36</v>
      </c>
      <c r="H123" s="72">
        <v>22499.59</v>
      </c>
      <c r="I123" s="33">
        <f t="shared" si="16"/>
        <v>1199.6976</v>
      </c>
      <c r="J123" s="33">
        <f t="shared" si="17"/>
        <v>15000</v>
      </c>
      <c r="K123" s="33">
        <f t="shared" si="13"/>
        <v>7198.1855999999998</v>
      </c>
      <c r="L123" s="33">
        <f t="shared" si="14"/>
        <v>35990.928</v>
      </c>
      <c r="M123" s="29">
        <v>6</v>
      </c>
      <c r="N123" s="34">
        <f t="shared" si="10"/>
        <v>30</v>
      </c>
      <c r="O123" s="35">
        <f t="shared" si="11"/>
        <v>134997.54</v>
      </c>
      <c r="P123" s="36">
        <f t="shared" si="12"/>
        <v>674987.7</v>
      </c>
      <c r="Q123" s="73" t="s">
        <v>94</v>
      </c>
      <c r="R123" s="62">
        <v>45383</v>
      </c>
      <c r="S123" s="42">
        <v>46477</v>
      </c>
      <c r="Y123" s="99"/>
      <c r="AB123" s="95"/>
    </row>
    <row r="124" spans="1:28" ht="21" x14ac:dyDescent="0.35">
      <c r="A124" s="108">
        <v>120</v>
      </c>
      <c r="B124" s="28" t="s">
        <v>26</v>
      </c>
      <c r="C124" s="66" t="s">
        <v>171</v>
      </c>
      <c r="D124" s="30">
        <v>750000</v>
      </c>
      <c r="E124" s="30">
        <v>99975</v>
      </c>
      <c r="F124" s="31">
        <f t="shared" ref="F124:F125" si="28">D124+E124</f>
        <v>849975</v>
      </c>
      <c r="G124" s="27">
        <v>60</v>
      </c>
      <c r="H124" s="72">
        <v>14166.25</v>
      </c>
      <c r="I124" s="33">
        <f t="shared" si="16"/>
        <v>1999.5</v>
      </c>
      <c r="J124" s="33">
        <f t="shared" si="17"/>
        <v>15000</v>
      </c>
      <c r="K124" s="33">
        <f t="shared" si="13"/>
        <v>11997</v>
      </c>
      <c r="L124" s="33">
        <f t="shared" si="14"/>
        <v>107973</v>
      </c>
      <c r="M124" s="29">
        <v>6</v>
      </c>
      <c r="N124" s="34">
        <f t="shared" si="10"/>
        <v>54</v>
      </c>
      <c r="O124" s="35">
        <f t="shared" si="11"/>
        <v>84997.5</v>
      </c>
      <c r="P124" s="36">
        <f t="shared" si="12"/>
        <v>764977.5</v>
      </c>
      <c r="Q124" s="73" t="s">
        <v>94</v>
      </c>
      <c r="R124" s="62">
        <v>45383</v>
      </c>
      <c r="S124" s="42">
        <v>47208</v>
      </c>
      <c r="Y124" s="99"/>
      <c r="AB124" s="95"/>
    </row>
    <row r="125" spans="1:28" ht="21" x14ac:dyDescent="0.35">
      <c r="A125" s="108">
        <v>121</v>
      </c>
      <c r="B125" s="28" t="s">
        <v>26</v>
      </c>
      <c r="C125" s="66" t="s">
        <v>172</v>
      </c>
      <c r="D125" s="30">
        <v>450000</v>
      </c>
      <c r="E125" s="30">
        <v>49987.5</v>
      </c>
      <c r="F125" s="31">
        <f t="shared" si="28"/>
        <v>499987.5</v>
      </c>
      <c r="G125" s="27">
        <v>50</v>
      </c>
      <c r="H125" s="54">
        <v>9999.75</v>
      </c>
      <c r="I125" s="33">
        <f t="shared" si="16"/>
        <v>999.75</v>
      </c>
      <c r="J125" s="33">
        <f t="shared" si="17"/>
        <v>9000</v>
      </c>
      <c r="K125" s="33">
        <f t="shared" si="13"/>
        <v>5998.5</v>
      </c>
      <c r="L125" s="33">
        <f t="shared" si="14"/>
        <v>43989</v>
      </c>
      <c r="M125" s="29">
        <v>6</v>
      </c>
      <c r="N125" s="34">
        <f t="shared" si="10"/>
        <v>44</v>
      </c>
      <c r="O125" s="35">
        <f t="shared" si="11"/>
        <v>59998.5</v>
      </c>
      <c r="P125" s="36">
        <f t="shared" si="12"/>
        <v>439989</v>
      </c>
      <c r="Q125" s="73" t="s">
        <v>94</v>
      </c>
      <c r="R125" s="62">
        <v>45383</v>
      </c>
      <c r="S125" s="42">
        <v>46904</v>
      </c>
      <c r="Y125" s="99"/>
      <c r="AB125" s="95"/>
    </row>
    <row r="126" spans="1:28" ht="21" x14ac:dyDescent="0.35">
      <c r="A126" s="108">
        <v>122</v>
      </c>
      <c r="B126" s="28" t="s">
        <v>26</v>
      </c>
      <c r="C126" s="66" t="s">
        <v>173</v>
      </c>
      <c r="D126" s="30">
        <v>600000</v>
      </c>
      <c r="E126" s="30">
        <v>79980</v>
      </c>
      <c r="F126" s="31">
        <f>D126+E126</f>
        <v>679980</v>
      </c>
      <c r="G126" s="27">
        <v>60</v>
      </c>
      <c r="H126" s="84">
        <v>11333</v>
      </c>
      <c r="I126" s="33">
        <f t="shared" si="16"/>
        <v>1599.6</v>
      </c>
      <c r="J126" s="33">
        <f t="shared" si="17"/>
        <v>12000</v>
      </c>
      <c r="K126" s="33">
        <f t="shared" si="13"/>
        <v>9597.5999999999985</v>
      </c>
      <c r="L126" s="33">
        <f t="shared" si="14"/>
        <v>86378.4</v>
      </c>
      <c r="M126" s="29">
        <v>6</v>
      </c>
      <c r="N126" s="34">
        <f t="shared" si="10"/>
        <v>54</v>
      </c>
      <c r="O126" s="35">
        <f t="shared" si="11"/>
        <v>67998</v>
      </c>
      <c r="P126" s="36">
        <f t="shared" si="12"/>
        <v>611982</v>
      </c>
      <c r="Q126" s="73" t="s">
        <v>94</v>
      </c>
      <c r="R126" s="62">
        <v>45383</v>
      </c>
      <c r="S126" s="42">
        <v>47208</v>
      </c>
      <c r="Y126" s="99"/>
      <c r="AB126" s="95"/>
    </row>
    <row r="127" spans="1:28" ht="21" x14ac:dyDescent="0.35">
      <c r="A127" s="108">
        <v>123</v>
      </c>
      <c r="B127" s="28" t="s">
        <v>26</v>
      </c>
      <c r="C127" s="66" t="s">
        <v>174</v>
      </c>
      <c r="D127" s="30">
        <v>750000</v>
      </c>
      <c r="E127" s="30">
        <v>62688.75</v>
      </c>
      <c r="F127" s="31">
        <f t="shared" ref="F127:F130" si="29">D127+E127</f>
        <v>812688.75</v>
      </c>
      <c r="G127" s="115">
        <v>47</v>
      </c>
      <c r="H127" s="75">
        <v>17291.25</v>
      </c>
      <c r="I127" s="33">
        <f t="shared" si="16"/>
        <v>1253.7750000000001</v>
      </c>
      <c r="J127" s="33">
        <f t="shared" si="17"/>
        <v>15000</v>
      </c>
      <c r="K127" s="33">
        <f t="shared" si="13"/>
        <v>7522.6500000000005</v>
      </c>
      <c r="L127" s="33">
        <f t="shared" si="14"/>
        <v>51404.775000000001</v>
      </c>
      <c r="M127" s="29">
        <v>6</v>
      </c>
      <c r="N127" s="34">
        <f t="shared" si="10"/>
        <v>41</v>
      </c>
      <c r="O127" s="35">
        <f t="shared" si="11"/>
        <v>103747.5</v>
      </c>
      <c r="P127" s="36">
        <f t="shared" si="12"/>
        <v>708941.25</v>
      </c>
      <c r="Q127" s="73" t="s">
        <v>94</v>
      </c>
      <c r="R127" s="62">
        <v>45383</v>
      </c>
      <c r="S127" s="129">
        <v>46843</v>
      </c>
      <c r="Y127" s="99"/>
      <c r="AB127" s="95"/>
    </row>
    <row r="128" spans="1:28" ht="21" x14ac:dyDescent="0.35">
      <c r="A128" s="108">
        <v>124</v>
      </c>
      <c r="B128" s="28" t="s">
        <v>26</v>
      </c>
      <c r="C128" s="66" t="s">
        <v>145</v>
      </c>
      <c r="D128" s="30">
        <v>250000</v>
      </c>
      <c r="E128" s="30">
        <v>27771</v>
      </c>
      <c r="F128" s="31">
        <f t="shared" si="29"/>
        <v>277771</v>
      </c>
      <c r="G128" s="115">
        <v>50</v>
      </c>
      <c r="H128" s="75">
        <v>5555.42</v>
      </c>
      <c r="I128" s="33">
        <f t="shared" si="16"/>
        <v>555.41999999999996</v>
      </c>
      <c r="J128" s="33">
        <f t="shared" si="17"/>
        <v>5000</v>
      </c>
      <c r="K128" s="33">
        <f t="shared" si="13"/>
        <v>3332.5199999999995</v>
      </c>
      <c r="L128" s="33">
        <f t="shared" si="14"/>
        <v>24438.48</v>
      </c>
      <c r="M128" s="29">
        <v>6</v>
      </c>
      <c r="N128" s="34">
        <f t="shared" si="10"/>
        <v>44</v>
      </c>
      <c r="O128" s="35">
        <f t="shared" si="11"/>
        <v>33332.520000000004</v>
      </c>
      <c r="P128" s="36">
        <f t="shared" si="12"/>
        <v>244438.48</v>
      </c>
      <c r="Q128" s="73" t="s">
        <v>94</v>
      </c>
      <c r="R128" s="62">
        <v>45383</v>
      </c>
      <c r="S128" s="42">
        <v>46904</v>
      </c>
      <c r="Y128" s="99"/>
      <c r="AB128" s="95"/>
    </row>
    <row r="129" spans="1:28" ht="21" x14ac:dyDescent="0.35">
      <c r="A129" s="108">
        <v>125</v>
      </c>
      <c r="B129" s="28" t="s">
        <v>26</v>
      </c>
      <c r="C129" s="66" t="s">
        <v>175</v>
      </c>
      <c r="D129" s="30">
        <v>600000</v>
      </c>
      <c r="E129" s="30">
        <v>79980</v>
      </c>
      <c r="F129" s="31">
        <f>D129+E129</f>
        <v>679980</v>
      </c>
      <c r="G129" s="27">
        <v>60</v>
      </c>
      <c r="H129" s="84">
        <v>11333</v>
      </c>
      <c r="I129" s="33">
        <f t="shared" si="16"/>
        <v>1599.6</v>
      </c>
      <c r="J129" s="33">
        <f t="shared" si="17"/>
        <v>12000</v>
      </c>
      <c r="K129" s="33">
        <f t="shared" si="13"/>
        <v>6398.4</v>
      </c>
      <c r="L129" s="33">
        <f t="shared" si="14"/>
        <v>89577.599999999991</v>
      </c>
      <c r="M129" s="29">
        <v>4</v>
      </c>
      <c r="N129" s="34">
        <f t="shared" si="10"/>
        <v>56</v>
      </c>
      <c r="O129" s="35">
        <f t="shared" si="11"/>
        <v>45332</v>
      </c>
      <c r="P129" s="36">
        <f t="shared" si="12"/>
        <v>634648</v>
      </c>
      <c r="Q129" s="73"/>
      <c r="R129" s="62">
        <v>45413</v>
      </c>
      <c r="S129" s="42"/>
      <c r="Y129" s="99"/>
      <c r="AB129" s="95"/>
    </row>
    <row r="130" spans="1:28" ht="21" x14ac:dyDescent="0.35">
      <c r="A130" s="108">
        <v>126</v>
      </c>
      <c r="B130" s="28" t="s">
        <v>26</v>
      </c>
      <c r="C130" s="66" t="s">
        <v>176</v>
      </c>
      <c r="D130" s="30">
        <v>150000</v>
      </c>
      <c r="E130" s="30">
        <v>19995</v>
      </c>
      <c r="F130" s="31">
        <f t="shared" si="29"/>
        <v>169995</v>
      </c>
      <c r="G130" s="27">
        <v>50</v>
      </c>
      <c r="H130" s="54">
        <v>3399.9</v>
      </c>
      <c r="I130" s="33">
        <f t="shared" si="16"/>
        <v>399.9</v>
      </c>
      <c r="J130" s="33">
        <f t="shared" si="17"/>
        <v>3000</v>
      </c>
      <c r="K130" s="33">
        <f t="shared" si="13"/>
        <v>1599.6</v>
      </c>
      <c r="L130" s="33">
        <f t="shared" si="14"/>
        <v>18395.399999999998</v>
      </c>
      <c r="M130" s="29">
        <v>4</v>
      </c>
      <c r="N130" s="34">
        <f t="shared" si="10"/>
        <v>46</v>
      </c>
      <c r="O130" s="35">
        <f t="shared" si="11"/>
        <v>13599.6</v>
      </c>
      <c r="P130" s="36">
        <f t="shared" si="12"/>
        <v>156395.4</v>
      </c>
      <c r="Q130" s="73" t="s">
        <v>94</v>
      </c>
      <c r="R130" s="62">
        <v>45413</v>
      </c>
      <c r="S130" s="42"/>
      <c r="Y130" s="99"/>
      <c r="AB130" s="95"/>
    </row>
    <row r="131" spans="1:28" ht="21" x14ac:dyDescent="0.35">
      <c r="A131" s="108">
        <v>127</v>
      </c>
      <c r="B131" s="28" t="s">
        <v>26</v>
      </c>
      <c r="C131" s="66" t="s">
        <v>177</v>
      </c>
      <c r="D131" s="30">
        <v>750000</v>
      </c>
      <c r="E131" s="30">
        <v>83312.5</v>
      </c>
      <c r="F131" s="31">
        <v>833312.5</v>
      </c>
      <c r="G131" s="27">
        <v>50</v>
      </c>
      <c r="H131" s="4">
        <v>16666.25</v>
      </c>
      <c r="I131" s="33">
        <f t="shared" si="16"/>
        <v>1666.25</v>
      </c>
      <c r="J131" s="33">
        <f t="shared" si="17"/>
        <v>15000</v>
      </c>
      <c r="K131" s="33">
        <f t="shared" si="13"/>
        <v>6665</v>
      </c>
      <c r="L131" s="33">
        <f t="shared" si="14"/>
        <v>76647.5</v>
      </c>
      <c r="M131" s="29">
        <v>4</v>
      </c>
      <c r="N131" s="34">
        <f t="shared" si="10"/>
        <v>46</v>
      </c>
      <c r="O131" s="35">
        <f t="shared" si="11"/>
        <v>66665</v>
      </c>
      <c r="P131" s="36">
        <f t="shared" si="12"/>
        <v>766647.5</v>
      </c>
      <c r="Q131" s="73" t="s">
        <v>94</v>
      </c>
      <c r="R131" s="62">
        <v>45413</v>
      </c>
      <c r="S131" s="42">
        <v>46934</v>
      </c>
      <c r="Y131" s="99"/>
      <c r="AB131" s="95"/>
    </row>
    <row r="132" spans="1:28" ht="21" x14ac:dyDescent="0.35">
      <c r="A132" s="108">
        <v>128</v>
      </c>
      <c r="B132" s="28" t="s">
        <v>26</v>
      </c>
      <c r="C132" s="66" t="s">
        <v>178</v>
      </c>
      <c r="D132" s="30">
        <v>750000</v>
      </c>
      <c r="E132" s="30">
        <v>99975</v>
      </c>
      <c r="F132" s="31">
        <f t="shared" ref="F132:F135" si="30">D132+E132</f>
        <v>849975</v>
      </c>
      <c r="G132" s="27">
        <v>60</v>
      </c>
      <c r="H132" s="72">
        <v>14166.25</v>
      </c>
      <c r="I132" s="33">
        <f t="shared" si="16"/>
        <v>1999.5</v>
      </c>
      <c r="J132" s="33">
        <f t="shared" si="17"/>
        <v>15000</v>
      </c>
      <c r="K132" s="33">
        <f t="shared" si="13"/>
        <v>7998</v>
      </c>
      <c r="L132" s="33">
        <f t="shared" si="14"/>
        <v>111972</v>
      </c>
      <c r="M132" s="29">
        <v>4</v>
      </c>
      <c r="N132" s="34">
        <f t="shared" si="10"/>
        <v>56</v>
      </c>
      <c r="O132" s="35">
        <f t="shared" si="11"/>
        <v>56665</v>
      </c>
      <c r="P132" s="36">
        <f t="shared" si="12"/>
        <v>793310</v>
      </c>
      <c r="Q132" s="73" t="s">
        <v>94</v>
      </c>
      <c r="R132" s="62">
        <v>45413</v>
      </c>
      <c r="S132" s="42">
        <v>47238</v>
      </c>
      <c r="Y132" s="99"/>
      <c r="AB132" s="95"/>
    </row>
    <row r="133" spans="1:28" ht="21" x14ac:dyDescent="0.35">
      <c r="A133" s="108">
        <v>129</v>
      </c>
      <c r="B133" s="28" t="s">
        <v>26</v>
      </c>
      <c r="C133" s="66" t="s">
        <v>17</v>
      </c>
      <c r="D133" s="88">
        <v>450000</v>
      </c>
      <c r="E133" s="88">
        <v>47988</v>
      </c>
      <c r="F133" s="89">
        <f t="shared" si="30"/>
        <v>497988</v>
      </c>
      <c r="G133" s="70">
        <v>48</v>
      </c>
      <c r="H133" s="86">
        <v>10374.75</v>
      </c>
      <c r="I133" s="33">
        <f t="shared" si="16"/>
        <v>959.76</v>
      </c>
      <c r="J133" s="33">
        <f t="shared" si="17"/>
        <v>9000</v>
      </c>
      <c r="K133" s="33">
        <f t="shared" si="13"/>
        <v>3839.04</v>
      </c>
      <c r="L133" s="33">
        <f t="shared" si="14"/>
        <v>42229.440000000002</v>
      </c>
      <c r="M133" s="29">
        <v>4</v>
      </c>
      <c r="N133" s="34">
        <f t="shared" si="10"/>
        <v>44</v>
      </c>
      <c r="O133" s="35">
        <f t="shared" si="11"/>
        <v>41499</v>
      </c>
      <c r="P133" s="36">
        <f t="shared" si="12"/>
        <v>456489</v>
      </c>
      <c r="Q133" s="73" t="s">
        <v>94</v>
      </c>
      <c r="R133" s="62">
        <v>45413</v>
      </c>
      <c r="S133" s="42">
        <v>46873</v>
      </c>
      <c r="Y133" s="99"/>
      <c r="AB133" s="95"/>
    </row>
    <row r="134" spans="1:28" ht="21" x14ac:dyDescent="0.35">
      <c r="A134" s="108">
        <v>130</v>
      </c>
      <c r="B134" s="28" t="s">
        <v>26</v>
      </c>
      <c r="C134" s="66" t="s">
        <v>179</v>
      </c>
      <c r="D134" s="30">
        <v>750000</v>
      </c>
      <c r="E134" s="30">
        <v>99975</v>
      </c>
      <c r="F134" s="31">
        <f t="shared" si="30"/>
        <v>849975</v>
      </c>
      <c r="G134" s="27">
        <v>30</v>
      </c>
      <c r="H134" s="40">
        <v>26666.25</v>
      </c>
      <c r="I134" s="33">
        <f t="shared" si="16"/>
        <v>1999.5</v>
      </c>
      <c r="J134" s="33">
        <f t="shared" si="17"/>
        <v>15000</v>
      </c>
      <c r="K134" s="33">
        <f t="shared" si="13"/>
        <v>7998</v>
      </c>
      <c r="L134" s="33">
        <f t="shared" si="14"/>
        <v>51987</v>
      </c>
      <c r="M134" s="29">
        <v>4</v>
      </c>
      <c r="N134" s="34">
        <f t="shared" si="10"/>
        <v>26</v>
      </c>
      <c r="O134" s="35">
        <f t="shared" si="11"/>
        <v>106665</v>
      </c>
      <c r="P134" s="36">
        <f t="shared" si="12"/>
        <v>693322.5</v>
      </c>
      <c r="Q134" s="73" t="s">
        <v>94</v>
      </c>
      <c r="R134" s="62">
        <v>45413</v>
      </c>
      <c r="S134" s="42">
        <v>46326</v>
      </c>
      <c r="Y134" s="99"/>
      <c r="AB134" s="95"/>
    </row>
    <row r="135" spans="1:28" ht="21" x14ac:dyDescent="0.35">
      <c r="A135" s="108">
        <v>131</v>
      </c>
      <c r="B135" s="28" t="s">
        <v>26</v>
      </c>
      <c r="C135" s="66" t="s">
        <v>181</v>
      </c>
      <c r="D135" s="30">
        <v>750000</v>
      </c>
      <c r="E135" s="30">
        <v>99975</v>
      </c>
      <c r="F135" s="31">
        <f t="shared" si="30"/>
        <v>849975</v>
      </c>
      <c r="G135" s="27">
        <v>30</v>
      </c>
      <c r="H135" s="40">
        <v>26666.25</v>
      </c>
      <c r="I135" s="33">
        <f t="shared" si="16"/>
        <v>1999.5</v>
      </c>
      <c r="J135" s="33">
        <f t="shared" si="17"/>
        <v>15000</v>
      </c>
      <c r="K135" s="33">
        <f t="shared" si="13"/>
        <v>3999</v>
      </c>
      <c r="L135" s="33">
        <f t="shared" si="14"/>
        <v>55986</v>
      </c>
      <c r="M135" s="29">
        <v>2</v>
      </c>
      <c r="N135" s="34">
        <f t="shared" si="10"/>
        <v>28</v>
      </c>
      <c r="O135" s="35">
        <f t="shared" si="11"/>
        <v>53332.5</v>
      </c>
      <c r="P135" s="36">
        <f t="shared" si="12"/>
        <v>746655</v>
      </c>
      <c r="Q135" s="73" t="s">
        <v>94</v>
      </c>
      <c r="R135" s="62">
        <v>45474</v>
      </c>
      <c r="S135" s="42" t="s">
        <v>190</v>
      </c>
      <c r="Y135" s="99"/>
      <c r="AB135" s="95"/>
    </row>
    <row r="136" spans="1:28" ht="21" x14ac:dyDescent="0.35">
      <c r="A136" s="108">
        <v>132</v>
      </c>
      <c r="B136" s="28" t="s">
        <v>26</v>
      </c>
      <c r="C136" s="66" t="s">
        <v>182</v>
      </c>
      <c r="D136" s="30">
        <v>750000</v>
      </c>
      <c r="E136" s="30">
        <v>59984.88</v>
      </c>
      <c r="F136" s="31">
        <v>809984.88</v>
      </c>
      <c r="G136" s="87">
        <v>36</v>
      </c>
      <c r="H136" s="72">
        <v>22499.58</v>
      </c>
      <c r="I136" s="33">
        <f t="shared" si="16"/>
        <v>1199.6976</v>
      </c>
      <c r="J136" s="33">
        <f t="shared" si="17"/>
        <v>15000</v>
      </c>
      <c r="K136" s="33">
        <f t="shared" si="13"/>
        <v>2399.3951999999999</v>
      </c>
      <c r="L136" s="33">
        <f t="shared" si="14"/>
        <v>40789.718399999998</v>
      </c>
      <c r="M136" s="29">
        <v>2</v>
      </c>
      <c r="N136" s="34">
        <f t="shared" si="10"/>
        <v>34</v>
      </c>
      <c r="O136" s="35">
        <f t="shared" si="11"/>
        <v>44999.16</v>
      </c>
      <c r="P136" s="36">
        <f t="shared" si="12"/>
        <v>764985.72000000009</v>
      </c>
      <c r="Q136" s="73" t="s">
        <v>94</v>
      </c>
      <c r="R136" s="62">
        <v>45474</v>
      </c>
      <c r="S136" s="42" t="s">
        <v>191</v>
      </c>
      <c r="Y136" s="99"/>
      <c r="AB136" s="95"/>
    </row>
    <row r="137" spans="1:28" ht="21" x14ac:dyDescent="0.35">
      <c r="A137" s="108">
        <v>133</v>
      </c>
      <c r="B137" s="28" t="s">
        <v>26</v>
      </c>
      <c r="C137" s="66" t="s">
        <v>183</v>
      </c>
      <c r="D137" s="30">
        <v>450000</v>
      </c>
      <c r="E137" s="30">
        <v>22010.400000000001</v>
      </c>
      <c r="F137" s="31">
        <v>472010.4</v>
      </c>
      <c r="G137" s="115">
        <v>48</v>
      </c>
      <c r="H137" s="40">
        <v>9833.5499999999993</v>
      </c>
      <c r="I137" s="33">
        <f t="shared" ref="I137:I152" si="31">E137/50</f>
        <v>440.20800000000003</v>
      </c>
      <c r="J137" s="33">
        <f t="shared" si="17"/>
        <v>9000</v>
      </c>
      <c r="K137" s="33">
        <f t="shared" si="13"/>
        <v>880.41600000000005</v>
      </c>
      <c r="L137" s="33">
        <f t="shared" si="14"/>
        <v>20249.568000000003</v>
      </c>
      <c r="M137" s="29">
        <v>2</v>
      </c>
      <c r="N137" s="34">
        <f t="shared" si="10"/>
        <v>46</v>
      </c>
      <c r="O137" s="35">
        <f t="shared" si="11"/>
        <v>19667.099999999999</v>
      </c>
      <c r="P137" s="36">
        <f t="shared" si="12"/>
        <v>452343.3</v>
      </c>
      <c r="Q137" s="73" t="s">
        <v>94</v>
      </c>
      <c r="R137" s="62">
        <v>45474</v>
      </c>
      <c r="S137" s="42" t="s">
        <v>192</v>
      </c>
      <c r="Y137" s="99"/>
      <c r="AB137" s="95"/>
    </row>
    <row r="138" spans="1:28" ht="21" x14ac:dyDescent="0.35">
      <c r="A138" s="108">
        <v>134</v>
      </c>
      <c r="B138" s="28" t="s">
        <v>26</v>
      </c>
      <c r="C138" s="133" t="s">
        <v>184</v>
      </c>
      <c r="D138" s="30">
        <v>750000</v>
      </c>
      <c r="E138" s="30">
        <v>99975</v>
      </c>
      <c r="F138" s="31">
        <f t="shared" ref="F138" si="32">D138+E138</f>
        <v>849975</v>
      </c>
      <c r="G138" s="27">
        <v>30</v>
      </c>
      <c r="H138" s="40">
        <v>26666.25</v>
      </c>
      <c r="I138" s="33">
        <f t="shared" si="31"/>
        <v>1999.5</v>
      </c>
      <c r="J138" s="33">
        <f t="shared" si="17"/>
        <v>15000</v>
      </c>
      <c r="K138" s="33">
        <f t="shared" si="13"/>
        <v>3999</v>
      </c>
      <c r="L138" s="33">
        <f t="shared" si="14"/>
        <v>55986</v>
      </c>
      <c r="M138" s="29">
        <v>2</v>
      </c>
      <c r="N138" s="34">
        <f t="shared" si="10"/>
        <v>28</v>
      </c>
      <c r="O138" s="35">
        <f t="shared" si="11"/>
        <v>53332.5</v>
      </c>
      <c r="P138" s="36">
        <f t="shared" si="12"/>
        <v>746655</v>
      </c>
      <c r="Q138" s="73" t="s">
        <v>94</v>
      </c>
      <c r="R138" s="62">
        <v>45474</v>
      </c>
      <c r="S138" s="42" t="s">
        <v>190</v>
      </c>
      <c r="Y138" s="99"/>
      <c r="AB138" s="95"/>
    </row>
    <row r="139" spans="1:28" ht="21" x14ac:dyDescent="0.35">
      <c r="A139" s="108">
        <v>135</v>
      </c>
      <c r="B139" s="28" t="s">
        <v>26</v>
      </c>
      <c r="C139" s="66" t="s">
        <v>185</v>
      </c>
      <c r="D139" s="30">
        <v>450000</v>
      </c>
      <c r="E139" s="30">
        <v>22010.400000000001</v>
      </c>
      <c r="F139" s="31">
        <v>472010.4</v>
      </c>
      <c r="G139" s="115">
        <v>48</v>
      </c>
      <c r="H139" s="40">
        <v>9833.5499999999993</v>
      </c>
      <c r="I139" s="33">
        <f t="shared" si="31"/>
        <v>440.20800000000003</v>
      </c>
      <c r="J139" s="33">
        <f t="shared" si="17"/>
        <v>9000</v>
      </c>
      <c r="K139" s="33">
        <f t="shared" si="13"/>
        <v>880.41600000000005</v>
      </c>
      <c r="L139" s="33">
        <f t="shared" si="14"/>
        <v>20249.568000000003</v>
      </c>
      <c r="M139" s="29">
        <v>2</v>
      </c>
      <c r="N139" s="34">
        <f t="shared" si="10"/>
        <v>46</v>
      </c>
      <c r="O139" s="35">
        <f t="shared" si="11"/>
        <v>19667.099999999999</v>
      </c>
      <c r="P139" s="36">
        <f t="shared" si="12"/>
        <v>452343.3</v>
      </c>
      <c r="Q139" s="73" t="s">
        <v>94</v>
      </c>
      <c r="R139" s="62">
        <v>45474</v>
      </c>
      <c r="S139" s="42" t="s">
        <v>192</v>
      </c>
      <c r="Y139" s="99"/>
      <c r="AB139" s="95"/>
    </row>
    <row r="140" spans="1:28" ht="21" x14ac:dyDescent="0.35">
      <c r="A140" s="108">
        <v>136</v>
      </c>
      <c r="B140" s="28" t="s">
        <v>26</v>
      </c>
      <c r="C140" s="66" t="s">
        <v>186</v>
      </c>
      <c r="D140" s="88">
        <v>450000</v>
      </c>
      <c r="E140" s="88">
        <v>47988</v>
      </c>
      <c r="F140" s="89">
        <f t="shared" ref="F140" si="33">D140+E140</f>
        <v>497988</v>
      </c>
      <c r="G140" s="70">
        <v>48</v>
      </c>
      <c r="H140" s="86">
        <v>10374.75</v>
      </c>
      <c r="I140" s="33">
        <f t="shared" si="31"/>
        <v>959.76</v>
      </c>
      <c r="J140" s="33">
        <f t="shared" si="17"/>
        <v>9000</v>
      </c>
      <c r="K140" s="33">
        <f t="shared" si="13"/>
        <v>1919.52</v>
      </c>
      <c r="L140" s="33">
        <f t="shared" si="14"/>
        <v>44148.959999999999</v>
      </c>
      <c r="M140" s="29">
        <v>2</v>
      </c>
      <c r="N140" s="34">
        <f t="shared" si="10"/>
        <v>46</v>
      </c>
      <c r="O140" s="35">
        <f t="shared" si="11"/>
        <v>20749.5</v>
      </c>
      <c r="P140" s="36">
        <f t="shared" si="12"/>
        <v>477238.5</v>
      </c>
      <c r="Q140" s="73" t="s">
        <v>94</v>
      </c>
      <c r="R140" s="62">
        <v>45474</v>
      </c>
      <c r="S140" s="42" t="s">
        <v>192</v>
      </c>
      <c r="Y140" s="99"/>
      <c r="AB140" s="95"/>
    </row>
    <row r="141" spans="1:28" ht="21" x14ac:dyDescent="0.35">
      <c r="A141" s="108">
        <v>137</v>
      </c>
      <c r="B141" s="28" t="s">
        <v>26</v>
      </c>
      <c r="C141" s="66" t="s">
        <v>187</v>
      </c>
      <c r="D141" s="30">
        <v>750000</v>
      </c>
      <c r="E141" s="30">
        <v>83312.5</v>
      </c>
      <c r="F141" s="31">
        <v>833312.5</v>
      </c>
      <c r="G141" s="27">
        <v>50</v>
      </c>
      <c r="H141" s="4">
        <v>16666.25</v>
      </c>
      <c r="I141" s="33">
        <f t="shared" si="31"/>
        <v>1666.25</v>
      </c>
      <c r="J141" s="33">
        <f t="shared" si="17"/>
        <v>15000</v>
      </c>
      <c r="K141" s="33">
        <f t="shared" si="13"/>
        <v>3332.5</v>
      </c>
      <c r="L141" s="33">
        <f t="shared" si="14"/>
        <v>79980</v>
      </c>
      <c r="M141" s="29">
        <v>2</v>
      </c>
      <c r="N141" s="34">
        <f t="shared" si="10"/>
        <v>48</v>
      </c>
      <c r="O141" s="35">
        <f t="shared" si="11"/>
        <v>33332.5</v>
      </c>
      <c r="P141" s="36">
        <f t="shared" si="12"/>
        <v>799980</v>
      </c>
      <c r="Q141" s="73" t="s">
        <v>94</v>
      </c>
      <c r="R141" s="62">
        <v>45474</v>
      </c>
      <c r="S141" s="42" t="s">
        <v>193</v>
      </c>
      <c r="Y141" s="99"/>
      <c r="AB141" s="95"/>
    </row>
    <row r="142" spans="1:28" ht="21" x14ac:dyDescent="0.35">
      <c r="A142" s="108">
        <v>138</v>
      </c>
      <c r="B142" s="28" t="s">
        <v>26</v>
      </c>
      <c r="C142" s="66" t="s">
        <v>188</v>
      </c>
      <c r="D142" s="30">
        <v>750000</v>
      </c>
      <c r="E142" s="30">
        <v>99975</v>
      </c>
      <c r="F142" s="31">
        <f t="shared" ref="F142:F144" si="34">D142+E142</f>
        <v>849975</v>
      </c>
      <c r="G142" s="27">
        <v>30</v>
      </c>
      <c r="H142" s="40">
        <v>26666.25</v>
      </c>
      <c r="I142" s="33">
        <f t="shared" si="31"/>
        <v>1999.5</v>
      </c>
      <c r="J142" s="33">
        <f t="shared" si="17"/>
        <v>15000</v>
      </c>
      <c r="K142" s="33">
        <f t="shared" si="13"/>
        <v>3999</v>
      </c>
      <c r="L142" s="33">
        <f t="shared" si="14"/>
        <v>55986</v>
      </c>
      <c r="M142" s="29">
        <v>2</v>
      </c>
      <c r="N142" s="34">
        <f t="shared" si="10"/>
        <v>28</v>
      </c>
      <c r="O142" s="35">
        <f t="shared" si="11"/>
        <v>53332.5</v>
      </c>
      <c r="P142" s="36">
        <f t="shared" si="12"/>
        <v>746655</v>
      </c>
      <c r="Q142" s="73" t="s">
        <v>94</v>
      </c>
      <c r="R142" s="62">
        <v>45474</v>
      </c>
      <c r="S142" s="134">
        <v>46387</v>
      </c>
      <c r="Y142" s="99"/>
      <c r="AB142" s="95"/>
    </row>
    <row r="143" spans="1:28" ht="21" x14ac:dyDescent="0.35">
      <c r="A143" s="108">
        <v>139</v>
      </c>
      <c r="B143" s="28" t="s">
        <v>26</v>
      </c>
      <c r="C143" s="66" t="s">
        <v>189</v>
      </c>
      <c r="D143" s="30">
        <v>600000</v>
      </c>
      <c r="E143" s="30">
        <v>47979.839999999997</v>
      </c>
      <c r="F143" s="31">
        <f t="shared" si="34"/>
        <v>647979.84</v>
      </c>
      <c r="G143" s="27">
        <v>36</v>
      </c>
      <c r="H143" s="75">
        <v>17999.439999999999</v>
      </c>
      <c r="I143" s="33">
        <f t="shared" si="31"/>
        <v>959.59679999999992</v>
      </c>
      <c r="J143" s="33">
        <f t="shared" si="17"/>
        <v>12000</v>
      </c>
      <c r="K143" s="33">
        <f t="shared" si="13"/>
        <v>1919.1935999999998</v>
      </c>
      <c r="L143" s="33">
        <f t="shared" si="14"/>
        <v>32626.291199999996</v>
      </c>
      <c r="M143" s="29">
        <v>2</v>
      </c>
      <c r="N143" s="34">
        <f t="shared" si="10"/>
        <v>34</v>
      </c>
      <c r="O143" s="35">
        <f t="shared" si="11"/>
        <v>35998.879999999997</v>
      </c>
      <c r="P143" s="36">
        <f t="shared" si="12"/>
        <v>611980.96</v>
      </c>
      <c r="Q143" s="73" t="s">
        <v>94</v>
      </c>
      <c r="R143" s="62">
        <v>45474</v>
      </c>
      <c r="S143" s="42" t="s">
        <v>191</v>
      </c>
      <c r="Y143" s="99"/>
      <c r="AB143" s="95"/>
    </row>
    <row r="144" spans="1:28" ht="21" x14ac:dyDescent="0.35">
      <c r="A144" s="108">
        <v>140</v>
      </c>
      <c r="B144" s="28" t="s">
        <v>26</v>
      </c>
      <c r="C144" s="66" t="s">
        <v>195</v>
      </c>
      <c r="D144" s="30">
        <v>450000</v>
      </c>
      <c r="E144" s="30">
        <v>59985</v>
      </c>
      <c r="F144" s="31">
        <f t="shared" si="34"/>
        <v>509985</v>
      </c>
      <c r="G144" s="27">
        <v>60</v>
      </c>
      <c r="H144" s="75">
        <v>8499.5</v>
      </c>
      <c r="I144" s="33">
        <f t="shared" si="31"/>
        <v>1199.7</v>
      </c>
      <c r="J144" s="33">
        <f t="shared" si="17"/>
        <v>9000</v>
      </c>
      <c r="K144" s="33">
        <f t="shared" si="13"/>
        <v>1199.7</v>
      </c>
      <c r="L144" s="33">
        <f t="shared" si="14"/>
        <v>70782.3</v>
      </c>
      <c r="M144" s="29">
        <v>1</v>
      </c>
      <c r="N144" s="34">
        <f t="shared" si="10"/>
        <v>59</v>
      </c>
      <c r="O144" s="35">
        <f t="shared" si="11"/>
        <v>8499.5</v>
      </c>
      <c r="P144" s="36">
        <f t="shared" si="12"/>
        <v>501470.5</v>
      </c>
      <c r="Q144" s="73" t="s">
        <v>94</v>
      </c>
      <c r="R144" s="62">
        <v>45505</v>
      </c>
      <c r="S144" s="42">
        <v>47330</v>
      </c>
      <c r="Y144" s="99"/>
      <c r="AB144" s="95"/>
    </row>
    <row r="145" spans="1:28" ht="21" x14ac:dyDescent="0.35">
      <c r="A145" s="108">
        <v>141</v>
      </c>
      <c r="B145" s="28" t="s">
        <v>26</v>
      </c>
      <c r="C145" s="66" t="s">
        <v>196</v>
      </c>
      <c r="D145" s="30">
        <v>750000</v>
      </c>
      <c r="E145" s="30">
        <v>99975</v>
      </c>
      <c r="F145" s="31">
        <v>849975</v>
      </c>
      <c r="G145" s="115">
        <v>30</v>
      </c>
      <c r="H145" s="75">
        <v>28332.5</v>
      </c>
      <c r="I145" s="33">
        <f t="shared" si="31"/>
        <v>1999.5</v>
      </c>
      <c r="J145" s="33">
        <f t="shared" si="17"/>
        <v>15000</v>
      </c>
      <c r="K145" s="33">
        <f t="shared" si="13"/>
        <v>1999.5</v>
      </c>
      <c r="L145" s="33">
        <f t="shared" si="14"/>
        <v>57985.5</v>
      </c>
      <c r="M145" s="29">
        <v>1</v>
      </c>
      <c r="N145" s="34">
        <f t="shared" si="10"/>
        <v>29</v>
      </c>
      <c r="O145" s="35">
        <f t="shared" si="11"/>
        <v>28332.5</v>
      </c>
      <c r="P145" s="36">
        <f t="shared" si="12"/>
        <v>821642.5</v>
      </c>
      <c r="Q145" s="73" t="s">
        <v>94</v>
      </c>
      <c r="R145" s="62">
        <v>45505</v>
      </c>
      <c r="S145" s="42">
        <v>46418</v>
      </c>
      <c r="Y145" s="99"/>
      <c r="AB145" s="95"/>
    </row>
    <row r="146" spans="1:28" ht="21" x14ac:dyDescent="0.35">
      <c r="A146" s="108">
        <v>142</v>
      </c>
      <c r="B146" s="28" t="s">
        <v>26</v>
      </c>
      <c r="C146" s="66" t="s">
        <v>197</v>
      </c>
      <c r="D146" s="30">
        <v>750000</v>
      </c>
      <c r="E146" s="30">
        <v>62688.75</v>
      </c>
      <c r="F146" s="31">
        <f t="shared" ref="F146" si="35">D146+E146</f>
        <v>812688.75</v>
      </c>
      <c r="G146" s="115">
        <v>47</v>
      </c>
      <c r="H146" s="75">
        <v>17291.25</v>
      </c>
      <c r="I146" s="33">
        <f t="shared" si="31"/>
        <v>1253.7750000000001</v>
      </c>
      <c r="J146" s="33">
        <f t="shared" si="17"/>
        <v>15000</v>
      </c>
      <c r="K146" s="33">
        <f t="shared" si="13"/>
        <v>1253.7750000000001</v>
      </c>
      <c r="L146" s="33">
        <f t="shared" si="14"/>
        <v>57673.65</v>
      </c>
      <c r="M146" s="29">
        <v>1</v>
      </c>
      <c r="N146" s="34">
        <f t="shared" si="10"/>
        <v>46</v>
      </c>
      <c r="O146" s="35">
        <f t="shared" si="11"/>
        <v>17291.25</v>
      </c>
      <c r="P146" s="36">
        <f t="shared" si="12"/>
        <v>795397.5</v>
      </c>
      <c r="Q146" s="73" t="s">
        <v>94</v>
      </c>
      <c r="R146" s="62">
        <v>45505</v>
      </c>
      <c r="S146" s="42">
        <v>46934</v>
      </c>
      <c r="Y146" s="99"/>
      <c r="AB146" s="95"/>
    </row>
    <row r="147" spans="1:28" ht="21" x14ac:dyDescent="0.35">
      <c r="A147" s="108">
        <v>143</v>
      </c>
      <c r="B147" s="28" t="s">
        <v>26</v>
      </c>
      <c r="C147" s="66" t="s">
        <v>198</v>
      </c>
      <c r="D147" s="30">
        <v>450000</v>
      </c>
      <c r="E147" s="30">
        <v>22010.400000000001</v>
      </c>
      <c r="F147" s="31">
        <v>472010.4</v>
      </c>
      <c r="G147" s="115">
        <v>48</v>
      </c>
      <c r="H147" s="40">
        <v>9833.5499999999993</v>
      </c>
      <c r="I147" s="33">
        <f t="shared" si="31"/>
        <v>440.20800000000003</v>
      </c>
      <c r="J147" s="33">
        <f t="shared" si="17"/>
        <v>9000</v>
      </c>
      <c r="K147" s="33">
        <f t="shared" si="13"/>
        <v>440.20800000000003</v>
      </c>
      <c r="L147" s="33">
        <f t="shared" si="14"/>
        <v>20689.776000000002</v>
      </c>
      <c r="M147" s="29">
        <v>1</v>
      </c>
      <c r="N147" s="34">
        <f t="shared" si="10"/>
        <v>47</v>
      </c>
      <c r="O147" s="35">
        <f t="shared" si="11"/>
        <v>9833.5499999999993</v>
      </c>
      <c r="P147" s="36">
        <f t="shared" si="12"/>
        <v>462176.85</v>
      </c>
      <c r="Q147" s="73" t="s">
        <v>94</v>
      </c>
      <c r="R147" s="62">
        <v>45505</v>
      </c>
      <c r="S147" s="42">
        <v>46965</v>
      </c>
      <c r="Y147" s="99"/>
      <c r="AB147" s="95"/>
    </row>
    <row r="148" spans="1:28" ht="21" x14ac:dyDescent="0.35">
      <c r="A148" s="108">
        <v>144</v>
      </c>
      <c r="B148" s="28" t="s">
        <v>26</v>
      </c>
      <c r="C148" s="66" t="s">
        <v>199</v>
      </c>
      <c r="D148" s="30">
        <v>750000</v>
      </c>
      <c r="E148" s="30">
        <v>99975</v>
      </c>
      <c r="F148" s="31">
        <f t="shared" ref="F148" si="36">D148+E148</f>
        <v>849975</v>
      </c>
      <c r="G148" s="27">
        <v>60</v>
      </c>
      <c r="H148" s="72">
        <v>14166.25</v>
      </c>
      <c r="I148" s="33">
        <f t="shared" si="31"/>
        <v>1999.5</v>
      </c>
      <c r="J148" s="33">
        <f t="shared" si="17"/>
        <v>15000</v>
      </c>
      <c r="K148" s="33">
        <f t="shared" si="13"/>
        <v>1999.5</v>
      </c>
      <c r="L148" s="33">
        <f t="shared" si="14"/>
        <v>117970.5</v>
      </c>
      <c r="M148" s="29">
        <v>1</v>
      </c>
      <c r="N148" s="34">
        <f t="shared" si="10"/>
        <v>59</v>
      </c>
      <c r="O148" s="35">
        <f t="shared" si="11"/>
        <v>14166.25</v>
      </c>
      <c r="P148" s="36">
        <f t="shared" si="12"/>
        <v>835808.75</v>
      </c>
      <c r="Q148" s="73" t="s">
        <v>94</v>
      </c>
      <c r="R148" s="62">
        <v>45505</v>
      </c>
      <c r="S148" s="42">
        <v>47330</v>
      </c>
      <c r="Y148" s="99"/>
      <c r="AB148" s="95"/>
    </row>
    <row r="149" spans="1:28" ht="21" x14ac:dyDescent="0.35">
      <c r="A149" s="108">
        <v>145</v>
      </c>
      <c r="B149" s="28" t="s">
        <v>26</v>
      </c>
      <c r="C149" s="66" t="s">
        <v>200</v>
      </c>
      <c r="D149" s="30">
        <v>450000</v>
      </c>
      <c r="E149" s="30">
        <v>35991.199999999997</v>
      </c>
      <c r="F149" s="31">
        <v>485991.2</v>
      </c>
      <c r="G149" s="115">
        <v>40</v>
      </c>
      <c r="H149" s="75">
        <v>12149.78</v>
      </c>
      <c r="I149" s="33">
        <f t="shared" si="31"/>
        <v>719.82399999999996</v>
      </c>
      <c r="J149" s="33">
        <f t="shared" si="17"/>
        <v>9000</v>
      </c>
      <c r="K149" s="33">
        <f t="shared" si="13"/>
        <v>719.82399999999996</v>
      </c>
      <c r="L149" s="33">
        <f t="shared" si="14"/>
        <v>28073.135999999999</v>
      </c>
      <c r="M149" s="29">
        <v>1</v>
      </c>
      <c r="N149" s="34">
        <f t="shared" si="10"/>
        <v>39</v>
      </c>
      <c r="O149" s="35">
        <f t="shared" si="11"/>
        <v>12149.78</v>
      </c>
      <c r="P149" s="36">
        <f t="shared" si="12"/>
        <v>473841.42000000004</v>
      </c>
      <c r="Q149" s="73" t="s">
        <v>94</v>
      </c>
      <c r="R149" s="62">
        <v>45505</v>
      </c>
      <c r="S149" s="135" t="s">
        <v>204</v>
      </c>
      <c r="Y149" s="99"/>
      <c r="AB149" s="95"/>
    </row>
    <row r="150" spans="1:28" ht="21" x14ac:dyDescent="0.35">
      <c r="A150" s="108">
        <v>146</v>
      </c>
      <c r="B150" s="28" t="s">
        <v>26</v>
      </c>
      <c r="C150" s="66" t="s">
        <v>201</v>
      </c>
      <c r="D150" s="30">
        <v>450000</v>
      </c>
      <c r="E150" s="30">
        <v>49987.5</v>
      </c>
      <c r="F150" s="31">
        <f t="shared" ref="F150" si="37">D150+E150</f>
        <v>499987.5</v>
      </c>
      <c r="G150" s="27">
        <v>50</v>
      </c>
      <c r="H150" s="54">
        <v>9999.75</v>
      </c>
      <c r="I150" s="33">
        <f t="shared" si="31"/>
        <v>999.75</v>
      </c>
      <c r="J150" s="33">
        <f t="shared" si="17"/>
        <v>9000</v>
      </c>
      <c r="K150" s="33">
        <f t="shared" si="13"/>
        <v>999.75</v>
      </c>
      <c r="L150" s="33">
        <f t="shared" si="14"/>
        <v>48987.75</v>
      </c>
      <c r="M150" s="29">
        <v>1</v>
      </c>
      <c r="N150" s="34">
        <f t="shared" si="10"/>
        <v>49</v>
      </c>
      <c r="O150" s="35">
        <f t="shared" si="11"/>
        <v>9999.75</v>
      </c>
      <c r="P150" s="36">
        <f t="shared" si="12"/>
        <v>489987.75</v>
      </c>
      <c r="Q150" s="73" t="s">
        <v>94</v>
      </c>
      <c r="R150" s="62">
        <v>45505</v>
      </c>
      <c r="S150" s="42">
        <v>47026</v>
      </c>
      <c r="Y150" s="99"/>
      <c r="AB150" s="95"/>
    </row>
    <row r="151" spans="1:28" ht="21" x14ac:dyDescent="0.35">
      <c r="A151" s="108">
        <v>147</v>
      </c>
      <c r="B151" s="28" t="s">
        <v>26</v>
      </c>
      <c r="C151" s="66" t="s">
        <v>202</v>
      </c>
      <c r="D151" s="30">
        <v>600000</v>
      </c>
      <c r="E151" s="30">
        <v>63984</v>
      </c>
      <c r="F151" s="31">
        <v>663984</v>
      </c>
      <c r="G151" s="115">
        <v>48</v>
      </c>
      <c r="H151" s="75">
        <v>13833</v>
      </c>
      <c r="I151" s="33">
        <f t="shared" si="31"/>
        <v>1279.68</v>
      </c>
      <c r="J151" s="33">
        <f t="shared" si="17"/>
        <v>12000</v>
      </c>
      <c r="K151" s="33">
        <f t="shared" si="13"/>
        <v>1279.68</v>
      </c>
      <c r="L151" s="33">
        <f t="shared" si="14"/>
        <v>60144.960000000006</v>
      </c>
      <c r="M151" s="29">
        <v>1</v>
      </c>
      <c r="N151" s="34">
        <f t="shared" si="10"/>
        <v>47</v>
      </c>
      <c r="O151" s="35">
        <f t="shared" si="11"/>
        <v>13833</v>
      </c>
      <c r="P151" s="36">
        <f t="shared" si="12"/>
        <v>650151</v>
      </c>
      <c r="Q151" s="73" t="s">
        <v>94</v>
      </c>
      <c r="R151" s="62">
        <v>45505</v>
      </c>
      <c r="S151" s="42">
        <v>46965</v>
      </c>
      <c r="Y151" s="99"/>
      <c r="AB151" s="95"/>
    </row>
    <row r="152" spans="1:28" ht="21" x14ac:dyDescent="0.35">
      <c r="A152" s="108">
        <v>148</v>
      </c>
      <c r="B152" s="28" t="s">
        <v>26</v>
      </c>
      <c r="C152" s="66" t="s">
        <v>203</v>
      </c>
      <c r="D152" s="30">
        <v>450000</v>
      </c>
      <c r="E152" s="30">
        <v>59985</v>
      </c>
      <c r="F152" s="31">
        <f t="shared" ref="F152" si="38">D152+E152</f>
        <v>509985</v>
      </c>
      <c r="G152" s="27">
        <v>60</v>
      </c>
      <c r="H152" s="75">
        <v>8499.75</v>
      </c>
      <c r="I152" s="33">
        <f t="shared" si="31"/>
        <v>1199.7</v>
      </c>
      <c r="J152" s="33">
        <f t="shared" si="17"/>
        <v>9000</v>
      </c>
      <c r="K152" s="33">
        <f t="shared" si="13"/>
        <v>1199.7</v>
      </c>
      <c r="L152" s="33">
        <f t="shared" si="14"/>
        <v>70782.3</v>
      </c>
      <c r="M152" s="29">
        <v>1</v>
      </c>
      <c r="N152" s="34">
        <f t="shared" si="10"/>
        <v>59</v>
      </c>
      <c r="O152" s="35">
        <f t="shared" si="11"/>
        <v>8499.75</v>
      </c>
      <c r="P152" s="36">
        <f t="shared" si="12"/>
        <v>501485.25</v>
      </c>
      <c r="Q152" s="73" t="s">
        <v>94</v>
      </c>
      <c r="R152" s="62">
        <v>45505</v>
      </c>
      <c r="S152" s="42">
        <v>47330</v>
      </c>
      <c r="Y152" s="99"/>
      <c r="AB152" s="95"/>
    </row>
    <row r="153" spans="1:28" ht="19.5" x14ac:dyDescent="0.3">
      <c r="B153" s="28"/>
      <c r="C153" s="46" t="s">
        <v>169</v>
      </c>
      <c r="D153" s="47">
        <f>SUM(D5:D152)</f>
        <v>83050000</v>
      </c>
      <c r="E153" s="47">
        <f>SUM(E5:E152)</f>
        <v>9882815.6899999995</v>
      </c>
      <c r="F153" s="47">
        <f>SUM(F5:F152)</f>
        <v>92932815.690000013</v>
      </c>
      <c r="G153" s="98"/>
      <c r="H153" s="47">
        <f>SUM(H5:H152)</f>
        <v>1886415.2800000003</v>
      </c>
      <c r="I153" s="47">
        <f>SUM(I5:I152)</f>
        <v>196034.49713333347</v>
      </c>
      <c r="J153" s="47">
        <f>SUM(J5:J152)</f>
        <v>1648833.3333333335</v>
      </c>
      <c r="K153" s="47">
        <f>SUM(K5:K152)</f>
        <v>4255739.1912666652</v>
      </c>
      <c r="L153" s="47">
        <f>SUM(L5:L152)</f>
        <v>6136391.7885333346</v>
      </c>
      <c r="M153" s="48"/>
      <c r="N153" s="41"/>
      <c r="O153" s="47">
        <f>SUM(O5:O152)</f>
        <v>35496473.210000001</v>
      </c>
      <c r="P153" s="47">
        <f>SUM(P5:P152)</f>
        <v>56906062.579999991</v>
      </c>
      <c r="Q153" s="43"/>
      <c r="R153" s="39"/>
      <c r="S153" s="22"/>
      <c r="Y153" s="99"/>
      <c r="AB153" s="95"/>
    </row>
    <row r="154" spans="1:28" ht="19.5" x14ac:dyDescent="0.3">
      <c r="B154" s="28"/>
      <c r="C154" s="46"/>
      <c r="D154" s="47"/>
      <c r="E154" s="47"/>
      <c r="F154" s="47"/>
      <c r="G154" s="98"/>
      <c r="H154" s="47"/>
      <c r="I154" s="47"/>
      <c r="J154" s="47"/>
      <c r="K154" s="47"/>
      <c r="L154" s="47"/>
      <c r="M154" s="48"/>
      <c r="N154" s="41"/>
      <c r="O154" s="47"/>
      <c r="P154" s="47"/>
      <c r="Q154" s="43"/>
      <c r="R154" s="37"/>
      <c r="S154" s="22"/>
      <c r="Y154" s="99"/>
      <c r="AB154" s="95"/>
    </row>
    <row r="155" spans="1:28" ht="21" x14ac:dyDescent="0.35">
      <c r="B155" s="90" t="s">
        <v>82</v>
      </c>
      <c r="J155" s="6"/>
      <c r="Y155" s="99"/>
      <c r="AB155" s="95"/>
    </row>
    <row r="156" spans="1:28" ht="19.5" x14ac:dyDescent="0.3">
      <c r="A156" s="132">
        <v>1</v>
      </c>
      <c r="B156" s="28" t="s">
        <v>26</v>
      </c>
      <c r="C156" s="66" t="s">
        <v>72</v>
      </c>
      <c r="D156" s="30">
        <v>600000</v>
      </c>
      <c r="E156" s="30">
        <v>47987.76</v>
      </c>
      <c r="F156" s="31">
        <f t="shared" ref="F156:F158" si="39">D156+E156</f>
        <v>647987.76</v>
      </c>
      <c r="G156" s="27">
        <v>36</v>
      </c>
      <c r="H156" s="54">
        <v>17999.66</v>
      </c>
      <c r="I156" s="33">
        <f t="shared" ref="I156:I158" si="40">E156/50</f>
        <v>959.75520000000006</v>
      </c>
      <c r="J156" s="33">
        <f t="shared" ref="J156:J158" si="41">D156/50</f>
        <v>12000</v>
      </c>
      <c r="K156" s="33">
        <f t="shared" ref="K156:K158" si="42">I156*M156</f>
        <v>34551.1872</v>
      </c>
      <c r="L156" s="33">
        <f t="shared" ref="L156:L158" si="43">I156*N156</f>
        <v>0</v>
      </c>
      <c r="M156" s="29">
        <v>36</v>
      </c>
      <c r="N156" s="34">
        <f t="shared" ref="N156:N158" si="44">G156-M156</f>
        <v>0</v>
      </c>
      <c r="O156" s="35">
        <f t="shared" ref="O156:O158" si="45">H156*M156</f>
        <v>647987.76</v>
      </c>
      <c r="P156" s="36">
        <f t="shared" ref="P156:P158" si="46">H156*N156</f>
        <v>0</v>
      </c>
      <c r="Q156" s="43" t="s">
        <v>53</v>
      </c>
      <c r="R156" s="67">
        <v>44409</v>
      </c>
      <c r="S156" s="67">
        <v>45504</v>
      </c>
      <c r="Y156" s="99"/>
      <c r="AB156" s="95"/>
    </row>
    <row r="157" spans="1:28" ht="19.5" x14ac:dyDescent="0.3">
      <c r="A157" s="132">
        <v>2</v>
      </c>
      <c r="B157" s="28" t="s">
        <v>26</v>
      </c>
      <c r="C157" s="66" t="s">
        <v>83</v>
      </c>
      <c r="D157" s="30">
        <v>500000</v>
      </c>
      <c r="E157" s="30">
        <v>66650</v>
      </c>
      <c r="F157" s="31">
        <f t="shared" si="39"/>
        <v>566650</v>
      </c>
      <c r="G157" s="27">
        <v>50</v>
      </c>
      <c r="H157" s="54">
        <v>11333</v>
      </c>
      <c r="I157" s="33">
        <f t="shared" si="40"/>
        <v>1333</v>
      </c>
      <c r="J157" s="33">
        <f t="shared" si="41"/>
        <v>10000</v>
      </c>
      <c r="K157" s="33">
        <f t="shared" si="42"/>
        <v>66650</v>
      </c>
      <c r="L157" s="33">
        <f t="shared" si="43"/>
        <v>0</v>
      </c>
      <c r="M157" s="29">
        <v>50</v>
      </c>
      <c r="N157" s="34">
        <f t="shared" si="44"/>
        <v>0</v>
      </c>
      <c r="O157" s="35">
        <f t="shared" si="45"/>
        <v>566650</v>
      </c>
      <c r="P157" s="36">
        <f t="shared" si="46"/>
        <v>0</v>
      </c>
      <c r="Q157" s="43" t="s">
        <v>53</v>
      </c>
      <c r="R157" s="68">
        <v>43497</v>
      </c>
      <c r="S157" s="69">
        <v>45504</v>
      </c>
      <c r="Y157" s="99"/>
      <c r="AB157" s="95"/>
    </row>
    <row r="158" spans="1:28" ht="19.5" x14ac:dyDescent="0.3">
      <c r="A158" s="132"/>
      <c r="B158" s="28" t="s">
        <v>26</v>
      </c>
      <c r="C158" s="66" t="s">
        <v>78</v>
      </c>
      <c r="D158" s="30">
        <v>600000</v>
      </c>
      <c r="E158" s="30">
        <v>47987.76</v>
      </c>
      <c r="F158" s="31">
        <f t="shared" si="39"/>
        <v>647987.76</v>
      </c>
      <c r="G158" s="27">
        <v>36</v>
      </c>
      <c r="H158" s="54">
        <v>17999.599999999999</v>
      </c>
      <c r="I158" s="33">
        <f t="shared" si="40"/>
        <v>959.75520000000006</v>
      </c>
      <c r="J158" s="33">
        <f t="shared" si="41"/>
        <v>12000</v>
      </c>
      <c r="K158" s="33">
        <f t="shared" si="42"/>
        <v>34551.1872</v>
      </c>
      <c r="L158" s="33">
        <f t="shared" si="43"/>
        <v>0</v>
      </c>
      <c r="M158" s="29">
        <v>36</v>
      </c>
      <c r="N158" s="34">
        <f t="shared" si="44"/>
        <v>0</v>
      </c>
      <c r="O158" s="35">
        <f t="shared" si="45"/>
        <v>647985.6</v>
      </c>
      <c r="P158" s="36">
        <f t="shared" si="46"/>
        <v>0</v>
      </c>
      <c r="Q158" s="43" t="s">
        <v>53</v>
      </c>
      <c r="R158" s="67">
        <v>44409</v>
      </c>
      <c r="S158" s="67">
        <v>45504</v>
      </c>
      <c r="Y158" s="99"/>
      <c r="AB158" s="95"/>
    </row>
    <row r="159" spans="1:28" ht="19.5" x14ac:dyDescent="0.3">
      <c r="A159" s="132"/>
      <c r="B159" s="28"/>
      <c r="C159" s="66"/>
      <c r="D159" s="30"/>
      <c r="E159" s="30"/>
      <c r="F159" s="31"/>
      <c r="G159" s="27"/>
      <c r="H159" s="54"/>
      <c r="I159" s="33"/>
      <c r="J159" s="33"/>
      <c r="K159" s="33"/>
      <c r="L159" s="33"/>
      <c r="M159" s="29"/>
      <c r="N159" s="34"/>
      <c r="O159" s="35"/>
      <c r="P159" s="36"/>
      <c r="Q159" s="43"/>
      <c r="R159" s="68"/>
      <c r="S159" s="69"/>
      <c r="Y159" s="99"/>
      <c r="AB159" s="95"/>
    </row>
    <row r="160" spans="1:28" ht="19.5" x14ac:dyDescent="0.3">
      <c r="B160" s="28"/>
      <c r="C160" s="38"/>
      <c r="D160" s="30"/>
      <c r="E160" s="30"/>
      <c r="F160" s="31"/>
      <c r="G160" s="27"/>
      <c r="H160" s="32"/>
      <c r="I160" s="33"/>
      <c r="J160" s="33"/>
      <c r="K160" s="33"/>
      <c r="L160" s="33"/>
      <c r="M160" s="29"/>
      <c r="N160" s="34"/>
      <c r="O160" s="35"/>
      <c r="P160" s="36"/>
      <c r="Q160" s="53"/>
      <c r="R160" s="62"/>
      <c r="S160" s="42"/>
      <c r="Y160" s="99"/>
      <c r="AB160" s="95"/>
    </row>
    <row r="161" spans="1:28" ht="19.5" x14ac:dyDescent="0.3">
      <c r="B161" s="28"/>
      <c r="C161" s="66"/>
      <c r="D161" s="30"/>
      <c r="E161" s="30"/>
      <c r="F161" s="31"/>
      <c r="G161" s="27"/>
      <c r="H161" s="75"/>
      <c r="I161" s="33"/>
      <c r="J161" s="33"/>
      <c r="K161" s="33"/>
      <c r="L161" s="33"/>
      <c r="M161" s="29"/>
      <c r="N161" s="34"/>
      <c r="O161" s="35"/>
      <c r="P161" s="36"/>
      <c r="Q161" s="123"/>
      <c r="R161" s="62"/>
      <c r="S161" s="42"/>
      <c r="Y161" s="99"/>
      <c r="AB161" s="95"/>
    </row>
    <row r="162" spans="1:28" ht="19.5" x14ac:dyDescent="0.3">
      <c r="B162" s="23" t="s">
        <v>30</v>
      </c>
      <c r="C162" s="24"/>
      <c r="D162" s="24"/>
      <c r="E162" s="22"/>
      <c r="F162" s="47"/>
      <c r="G162" s="98"/>
      <c r="H162" s="47"/>
      <c r="I162" s="47"/>
      <c r="J162" s="47"/>
      <c r="K162" s="47"/>
      <c r="L162" s="47"/>
      <c r="M162" s="48"/>
      <c r="N162" s="41"/>
      <c r="O162" s="47"/>
      <c r="P162" s="47"/>
      <c r="Q162" s="43"/>
      <c r="R162" s="37"/>
      <c r="S162" s="22"/>
      <c r="Y162" s="99"/>
      <c r="AB162" s="95"/>
    </row>
    <row r="163" spans="1:28" ht="19.5" x14ac:dyDescent="0.3">
      <c r="B163" s="25" t="s">
        <v>194</v>
      </c>
      <c r="D163" s="24"/>
      <c r="E163" s="22"/>
      <c r="F163" s="47"/>
      <c r="G163" s="98"/>
      <c r="H163" s="47"/>
      <c r="I163" s="47"/>
      <c r="J163" s="47"/>
      <c r="K163" s="47"/>
      <c r="L163" s="47"/>
      <c r="M163" s="48"/>
      <c r="N163" s="41"/>
      <c r="O163" s="47"/>
      <c r="P163" s="47"/>
      <c r="Q163" s="43"/>
      <c r="R163" s="37"/>
      <c r="S163" s="22"/>
      <c r="Y163" s="99"/>
      <c r="AB163" s="95"/>
    </row>
    <row r="164" spans="1:28" ht="19.5" x14ac:dyDescent="0.3">
      <c r="B164" s="28"/>
      <c r="C164" s="24" t="s">
        <v>23</v>
      </c>
      <c r="D164" s="22"/>
      <c r="E164" s="22"/>
      <c r="F164" s="31"/>
      <c r="G164" s="22"/>
      <c r="H164" s="22"/>
      <c r="I164" s="46"/>
      <c r="J164" s="46"/>
      <c r="K164" s="46"/>
      <c r="L164" s="46"/>
      <c r="M164" s="22"/>
      <c r="N164" s="41"/>
      <c r="O164" s="41"/>
      <c r="P164" s="36"/>
      <c r="Q164" s="53"/>
      <c r="R164" s="37"/>
      <c r="S164" s="22"/>
      <c r="Y164" s="99"/>
      <c r="AB164" s="95"/>
    </row>
    <row r="165" spans="1:28" ht="75.75" x14ac:dyDescent="0.3">
      <c r="B165" s="26" t="s">
        <v>6</v>
      </c>
      <c r="C165" s="26" t="s">
        <v>0</v>
      </c>
      <c r="D165" s="26" t="s">
        <v>1</v>
      </c>
      <c r="E165" s="26" t="s">
        <v>7</v>
      </c>
      <c r="F165" s="26" t="s">
        <v>2</v>
      </c>
      <c r="G165" s="26" t="s">
        <v>12</v>
      </c>
      <c r="H165" s="26" t="s">
        <v>13</v>
      </c>
      <c r="I165" s="56" t="s">
        <v>9</v>
      </c>
      <c r="J165" s="56" t="s">
        <v>8</v>
      </c>
      <c r="K165" s="56" t="s">
        <v>10</v>
      </c>
      <c r="L165" s="56" t="s">
        <v>11</v>
      </c>
      <c r="M165" s="57" t="s">
        <v>3</v>
      </c>
      <c r="N165" s="57" t="s">
        <v>44</v>
      </c>
      <c r="O165" s="26" t="s">
        <v>4</v>
      </c>
      <c r="P165" s="58" t="s">
        <v>5</v>
      </c>
      <c r="Q165" s="26" t="s">
        <v>29</v>
      </c>
      <c r="R165" s="61" t="s">
        <v>38</v>
      </c>
      <c r="S165" s="52" t="s">
        <v>28</v>
      </c>
      <c r="Y165" s="99"/>
      <c r="AB165" s="95"/>
    </row>
    <row r="166" spans="1:28" ht="21" x14ac:dyDescent="0.35">
      <c r="A166" s="108">
        <v>1</v>
      </c>
      <c r="B166" s="28" t="s">
        <v>26</v>
      </c>
      <c r="C166" s="38" t="s">
        <v>36</v>
      </c>
      <c r="D166" s="30">
        <v>250000</v>
      </c>
      <c r="E166" s="30">
        <v>33225</v>
      </c>
      <c r="F166" s="31">
        <f t="shared" ref="F166:F179" si="47">D166+E166</f>
        <v>283225</v>
      </c>
      <c r="G166" s="27">
        <v>60</v>
      </c>
      <c r="H166" s="40">
        <v>4722.08</v>
      </c>
      <c r="I166" s="33">
        <f t="shared" ref="I166:I184" si="48">E166/50</f>
        <v>664.5</v>
      </c>
      <c r="J166" s="33">
        <f t="shared" ref="J166:J184" si="49">D166/50</f>
        <v>5000</v>
      </c>
      <c r="K166" s="33">
        <f t="shared" ref="K166:K184" si="50">I166*M166</f>
        <v>33225</v>
      </c>
      <c r="L166" s="33">
        <f t="shared" ref="L166:L184" si="51">I166*N166</f>
        <v>6645</v>
      </c>
      <c r="M166" s="55">
        <v>50</v>
      </c>
      <c r="N166" s="34">
        <f t="shared" ref="N166:N184" si="52">G166-M166</f>
        <v>10</v>
      </c>
      <c r="O166" s="35">
        <f t="shared" ref="O166:O184" si="53">H166*M166</f>
        <v>236104</v>
      </c>
      <c r="P166" s="36">
        <f t="shared" ref="P166:P184" si="54">H166*N166</f>
        <v>47220.800000000003</v>
      </c>
      <c r="Q166" s="53"/>
      <c r="R166" s="37"/>
      <c r="S166" s="22"/>
      <c r="Y166" s="99"/>
      <c r="AB166" s="95"/>
    </row>
    <row r="167" spans="1:28" ht="19.5" x14ac:dyDescent="0.3">
      <c r="A167" s="128">
        <v>2</v>
      </c>
      <c r="B167" s="28" t="s">
        <v>26</v>
      </c>
      <c r="C167" s="38" t="s">
        <v>39</v>
      </c>
      <c r="D167" s="30">
        <v>750000</v>
      </c>
      <c r="E167" s="30">
        <v>99975</v>
      </c>
      <c r="F167" s="31">
        <f t="shared" si="47"/>
        <v>849975</v>
      </c>
      <c r="G167" s="27">
        <v>60</v>
      </c>
      <c r="H167" s="40">
        <v>14166.25</v>
      </c>
      <c r="I167" s="33">
        <f t="shared" si="48"/>
        <v>1999.5</v>
      </c>
      <c r="J167" s="33">
        <f t="shared" si="49"/>
        <v>15000</v>
      </c>
      <c r="K167" s="33">
        <f t="shared" si="50"/>
        <v>79980</v>
      </c>
      <c r="L167" s="33">
        <f t="shared" si="51"/>
        <v>39990</v>
      </c>
      <c r="M167" s="55">
        <v>40</v>
      </c>
      <c r="N167" s="34">
        <f t="shared" si="52"/>
        <v>20</v>
      </c>
      <c r="O167" s="35">
        <f t="shared" si="53"/>
        <v>566650</v>
      </c>
      <c r="P167" s="36">
        <f t="shared" si="54"/>
        <v>283325</v>
      </c>
      <c r="Q167" s="53"/>
      <c r="R167" s="62">
        <v>44013</v>
      </c>
      <c r="S167" s="42">
        <v>45838</v>
      </c>
      <c r="Y167" s="99"/>
      <c r="AB167" s="95"/>
    </row>
    <row r="168" spans="1:28" ht="21" x14ac:dyDescent="0.35">
      <c r="A168" s="108">
        <v>3</v>
      </c>
      <c r="B168" s="28" t="s">
        <v>26</v>
      </c>
      <c r="C168" s="38" t="s">
        <v>40</v>
      </c>
      <c r="D168" s="30">
        <v>450000</v>
      </c>
      <c r="E168" s="30">
        <v>59985</v>
      </c>
      <c r="F168" s="31">
        <f t="shared" si="47"/>
        <v>509985</v>
      </c>
      <c r="G168" s="27">
        <v>60</v>
      </c>
      <c r="H168" s="40">
        <v>8499.75</v>
      </c>
      <c r="I168" s="33">
        <f t="shared" si="48"/>
        <v>1199.7</v>
      </c>
      <c r="J168" s="33">
        <f t="shared" si="49"/>
        <v>9000</v>
      </c>
      <c r="K168" s="33">
        <f t="shared" si="50"/>
        <v>47988</v>
      </c>
      <c r="L168" s="33">
        <f t="shared" si="51"/>
        <v>23994</v>
      </c>
      <c r="M168" s="55">
        <v>40</v>
      </c>
      <c r="N168" s="34">
        <f t="shared" si="52"/>
        <v>20</v>
      </c>
      <c r="O168" s="35">
        <f t="shared" si="53"/>
        <v>339990</v>
      </c>
      <c r="P168" s="36">
        <f t="shared" si="54"/>
        <v>169995</v>
      </c>
      <c r="Q168" s="53"/>
      <c r="R168" s="62">
        <v>44013</v>
      </c>
      <c r="S168" s="42">
        <v>45838</v>
      </c>
      <c r="Y168" s="99"/>
      <c r="AB168" s="95"/>
    </row>
    <row r="169" spans="1:28" ht="19.5" x14ac:dyDescent="0.3">
      <c r="A169" s="128">
        <v>4</v>
      </c>
      <c r="B169" s="28" t="s">
        <v>26</v>
      </c>
      <c r="C169" s="38" t="s">
        <v>41</v>
      </c>
      <c r="D169" s="30">
        <v>250000</v>
      </c>
      <c r="E169" s="30">
        <v>33225</v>
      </c>
      <c r="F169" s="31">
        <f t="shared" si="47"/>
        <v>283225</v>
      </c>
      <c r="G169" s="27">
        <v>60</v>
      </c>
      <c r="H169" s="40">
        <v>4722.08</v>
      </c>
      <c r="I169" s="33">
        <f t="shared" si="48"/>
        <v>664.5</v>
      </c>
      <c r="J169" s="33">
        <f t="shared" si="49"/>
        <v>5000</v>
      </c>
      <c r="K169" s="33">
        <f t="shared" si="50"/>
        <v>26580</v>
      </c>
      <c r="L169" s="33">
        <f t="shared" si="51"/>
        <v>13290</v>
      </c>
      <c r="M169" s="55">
        <v>40</v>
      </c>
      <c r="N169" s="34">
        <f t="shared" si="52"/>
        <v>20</v>
      </c>
      <c r="O169" s="35">
        <f t="shared" si="53"/>
        <v>188883.20000000001</v>
      </c>
      <c r="P169" s="36">
        <f t="shared" si="54"/>
        <v>94441.600000000006</v>
      </c>
      <c r="Q169" s="53"/>
      <c r="R169" s="62">
        <v>44013</v>
      </c>
      <c r="S169" s="42">
        <v>45838</v>
      </c>
      <c r="Y169" s="99"/>
      <c r="AB169" s="95"/>
    </row>
    <row r="170" spans="1:28" ht="21" x14ac:dyDescent="0.35">
      <c r="A170" s="108">
        <v>5</v>
      </c>
      <c r="B170" s="28" t="s">
        <v>26</v>
      </c>
      <c r="C170" s="38" t="s">
        <v>24</v>
      </c>
      <c r="D170" s="30">
        <v>600000</v>
      </c>
      <c r="E170" s="30">
        <v>79980</v>
      </c>
      <c r="F170" s="31">
        <f t="shared" si="47"/>
        <v>679980</v>
      </c>
      <c r="G170" s="27">
        <v>60</v>
      </c>
      <c r="H170" s="40">
        <v>11333</v>
      </c>
      <c r="I170" s="33">
        <f t="shared" si="48"/>
        <v>1599.6</v>
      </c>
      <c r="J170" s="33">
        <f t="shared" si="49"/>
        <v>12000</v>
      </c>
      <c r="K170" s="33">
        <f t="shared" si="50"/>
        <v>63984</v>
      </c>
      <c r="L170" s="33">
        <f t="shared" si="51"/>
        <v>31992</v>
      </c>
      <c r="M170" s="55">
        <v>40</v>
      </c>
      <c r="N170" s="34">
        <f t="shared" si="52"/>
        <v>20</v>
      </c>
      <c r="O170" s="35">
        <f t="shared" si="53"/>
        <v>453320</v>
      </c>
      <c r="P170" s="36">
        <f t="shared" si="54"/>
        <v>226660</v>
      </c>
      <c r="Q170" s="43"/>
      <c r="R170" s="63">
        <v>44197</v>
      </c>
      <c r="S170" s="42">
        <v>46022</v>
      </c>
      <c r="Y170" s="99"/>
      <c r="AB170" s="95"/>
    </row>
    <row r="171" spans="1:28" ht="19.5" x14ac:dyDescent="0.3">
      <c r="A171" s="128">
        <v>6</v>
      </c>
      <c r="B171" s="28" t="s">
        <v>26</v>
      </c>
      <c r="C171" s="38" t="s">
        <v>49</v>
      </c>
      <c r="D171" s="30">
        <v>450000</v>
      </c>
      <c r="E171" s="30">
        <v>59985</v>
      </c>
      <c r="F171" s="31">
        <f t="shared" si="47"/>
        <v>509985</v>
      </c>
      <c r="G171" s="27">
        <v>60</v>
      </c>
      <c r="H171" s="40">
        <v>8499.75</v>
      </c>
      <c r="I171" s="33">
        <f t="shared" si="48"/>
        <v>1199.7</v>
      </c>
      <c r="J171" s="33">
        <f t="shared" si="49"/>
        <v>9000</v>
      </c>
      <c r="K171" s="33">
        <f t="shared" si="50"/>
        <v>47988</v>
      </c>
      <c r="L171" s="33">
        <f t="shared" si="51"/>
        <v>23994</v>
      </c>
      <c r="M171" s="55">
        <v>40</v>
      </c>
      <c r="N171" s="34">
        <f t="shared" si="52"/>
        <v>20</v>
      </c>
      <c r="O171" s="35">
        <f t="shared" si="53"/>
        <v>339990</v>
      </c>
      <c r="P171" s="36">
        <f t="shared" si="54"/>
        <v>169995</v>
      </c>
      <c r="Q171" s="43"/>
      <c r="R171" s="63">
        <v>44197</v>
      </c>
      <c r="S171" s="42">
        <v>46022</v>
      </c>
      <c r="Y171" s="99"/>
      <c r="AB171" s="95"/>
    </row>
    <row r="172" spans="1:28" ht="21" x14ac:dyDescent="0.35">
      <c r="A172" s="108">
        <v>7</v>
      </c>
      <c r="B172" s="28" t="s">
        <v>26</v>
      </c>
      <c r="C172" s="66" t="s">
        <v>66</v>
      </c>
      <c r="D172" s="30">
        <v>450000</v>
      </c>
      <c r="E172" s="30">
        <v>59985</v>
      </c>
      <c r="F172" s="31">
        <f t="shared" si="47"/>
        <v>509985</v>
      </c>
      <c r="G172" s="27">
        <v>60</v>
      </c>
      <c r="H172" s="40">
        <v>8499.75</v>
      </c>
      <c r="I172" s="33">
        <f t="shared" si="48"/>
        <v>1199.7</v>
      </c>
      <c r="J172" s="33">
        <f t="shared" si="49"/>
        <v>9000</v>
      </c>
      <c r="K172" s="33">
        <f t="shared" si="50"/>
        <v>44388.9</v>
      </c>
      <c r="L172" s="33">
        <f t="shared" si="51"/>
        <v>27593.100000000002</v>
      </c>
      <c r="M172" s="55">
        <v>37</v>
      </c>
      <c r="N172" s="34">
        <f t="shared" si="52"/>
        <v>23</v>
      </c>
      <c r="O172" s="35">
        <f t="shared" si="53"/>
        <v>314490.75</v>
      </c>
      <c r="P172" s="36">
        <f t="shared" si="54"/>
        <v>195494.25</v>
      </c>
      <c r="Q172" s="43"/>
      <c r="R172" s="18">
        <v>44378</v>
      </c>
      <c r="S172" s="18">
        <v>46203</v>
      </c>
      <c r="Y172" s="99"/>
      <c r="AB172" s="95"/>
    </row>
    <row r="173" spans="1:28" ht="19.5" x14ac:dyDescent="0.3">
      <c r="A173" s="128">
        <v>8</v>
      </c>
      <c r="B173" s="28" t="s">
        <v>26</v>
      </c>
      <c r="C173" s="66" t="s">
        <v>67</v>
      </c>
      <c r="D173" s="30">
        <v>450000</v>
      </c>
      <c r="E173" s="30">
        <v>59985</v>
      </c>
      <c r="F173" s="31">
        <f t="shared" si="47"/>
        <v>509985</v>
      </c>
      <c r="G173" s="27">
        <v>60</v>
      </c>
      <c r="H173" s="40">
        <v>8499.75</v>
      </c>
      <c r="I173" s="33">
        <f t="shared" si="48"/>
        <v>1199.7</v>
      </c>
      <c r="J173" s="33">
        <f t="shared" si="49"/>
        <v>9000</v>
      </c>
      <c r="K173" s="33">
        <f t="shared" si="50"/>
        <v>44388.9</v>
      </c>
      <c r="L173" s="33">
        <f t="shared" si="51"/>
        <v>27593.100000000002</v>
      </c>
      <c r="M173" s="55">
        <v>37</v>
      </c>
      <c r="N173" s="34">
        <f t="shared" si="52"/>
        <v>23</v>
      </c>
      <c r="O173" s="35">
        <f t="shared" si="53"/>
        <v>314490.75</v>
      </c>
      <c r="P173" s="36">
        <f t="shared" si="54"/>
        <v>195494.25</v>
      </c>
      <c r="Q173" s="43"/>
      <c r="R173" s="18">
        <v>44378</v>
      </c>
      <c r="S173" s="18">
        <v>46203</v>
      </c>
      <c r="Y173" s="99"/>
      <c r="AB173" s="95"/>
    </row>
    <row r="174" spans="1:28" ht="21" x14ac:dyDescent="0.35">
      <c r="A174" s="108">
        <v>9</v>
      </c>
      <c r="B174" s="28" t="s">
        <v>26</v>
      </c>
      <c r="C174" s="66" t="s">
        <v>68</v>
      </c>
      <c r="D174" s="30">
        <v>750000</v>
      </c>
      <c r="E174" s="30">
        <v>99975</v>
      </c>
      <c r="F174" s="31">
        <f t="shared" si="47"/>
        <v>849975</v>
      </c>
      <c r="G174" s="27">
        <v>60</v>
      </c>
      <c r="H174" s="40">
        <v>14166.25</v>
      </c>
      <c r="I174" s="33">
        <f t="shared" si="48"/>
        <v>1999.5</v>
      </c>
      <c r="J174" s="33">
        <f t="shared" si="49"/>
        <v>15000</v>
      </c>
      <c r="K174" s="33">
        <f t="shared" si="50"/>
        <v>73981.5</v>
      </c>
      <c r="L174" s="33">
        <f t="shared" si="51"/>
        <v>45988.5</v>
      </c>
      <c r="M174" s="55">
        <v>37</v>
      </c>
      <c r="N174" s="34">
        <f t="shared" si="52"/>
        <v>23</v>
      </c>
      <c r="O174" s="35">
        <f t="shared" si="53"/>
        <v>524151.25</v>
      </c>
      <c r="P174" s="36">
        <f t="shared" si="54"/>
        <v>325823.75</v>
      </c>
      <c r="Q174" s="43"/>
      <c r="R174" s="18">
        <v>44378</v>
      </c>
      <c r="S174" s="18">
        <v>46203</v>
      </c>
      <c r="Y174" s="99"/>
      <c r="AB174" s="95"/>
    </row>
    <row r="175" spans="1:28" ht="19.5" x14ac:dyDescent="0.3">
      <c r="A175" s="128">
        <v>10</v>
      </c>
      <c r="B175" s="28" t="s">
        <v>26</v>
      </c>
      <c r="C175" s="66" t="s">
        <v>69</v>
      </c>
      <c r="D175" s="30">
        <v>450000</v>
      </c>
      <c r="E175" s="30">
        <v>59985</v>
      </c>
      <c r="F175" s="31">
        <f t="shared" si="47"/>
        <v>509985</v>
      </c>
      <c r="G175" s="27">
        <v>60</v>
      </c>
      <c r="H175" s="40">
        <v>8499.75</v>
      </c>
      <c r="I175" s="33">
        <f t="shared" si="48"/>
        <v>1199.7</v>
      </c>
      <c r="J175" s="33">
        <f t="shared" si="49"/>
        <v>9000</v>
      </c>
      <c r="K175" s="33">
        <f t="shared" si="50"/>
        <v>44388.9</v>
      </c>
      <c r="L175" s="33">
        <f t="shared" si="51"/>
        <v>27593.100000000002</v>
      </c>
      <c r="M175" s="55">
        <v>37</v>
      </c>
      <c r="N175" s="34">
        <f t="shared" si="52"/>
        <v>23</v>
      </c>
      <c r="O175" s="35">
        <f t="shared" si="53"/>
        <v>314490.75</v>
      </c>
      <c r="P175" s="36">
        <f t="shared" si="54"/>
        <v>195494.25</v>
      </c>
      <c r="Q175" s="43"/>
      <c r="R175" s="18">
        <v>44378</v>
      </c>
      <c r="S175" s="18">
        <v>46203</v>
      </c>
      <c r="Y175" s="99"/>
      <c r="AB175" s="95"/>
    </row>
    <row r="176" spans="1:28" ht="21" x14ac:dyDescent="0.35">
      <c r="A176" s="108">
        <v>11</v>
      </c>
      <c r="B176" s="28" t="s">
        <v>26</v>
      </c>
      <c r="C176" s="66" t="s">
        <v>70</v>
      </c>
      <c r="D176" s="30">
        <v>450000</v>
      </c>
      <c r="E176" s="30">
        <v>59985</v>
      </c>
      <c r="F176" s="31">
        <f t="shared" si="47"/>
        <v>509985</v>
      </c>
      <c r="G176" s="27">
        <v>60</v>
      </c>
      <c r="H176" s="40">
        <v>8499.75</v>
      </c>
      <c r="I176" s="33">
        <f t="shared" si="48"/>
        <v>1199.7</v>
      </c>
      <c r="J176" s="33">
        <f t="shared" si="49"/>
        <v>9000</v>
      </c>
      <c r="K176" s="33">
        <f t="shared" si="50"/>
        <v>44388.9</v>
      </c>
      <c r="L176" s="33">
        <f t="shared" si="51"/>
        <v>27593.100000000002</v>
      </c>
      <c r="M176" s="55">
        <v>37</v>
      </c>
      <c r="N176" s="34">
        <f t="shared" si="52"/>
        <v>23</v>
      </c>
      <c r="O176" s="35">
        <f t="shared" si="53"/>
        <v>314490.75</v>
      </c>
      <c r="P176" s="36">
        <f t="shared" si="54"/>
        <v>195494.25</v>
      </c>
      <c r="Q176" s="43"/>
      <c r="R176" s="18">
        <v>44378</v>
      </c>
      <c r="S176" s="18">
        <v>46203</v>
      </c>
      <c r="AB176" s="95"/>
    </row>
    <row r="177" spans="1:28" ht="19.5" x14ac:dyDescent="0.3">
      <c r="A177" s="128">
        <v>12</v>
      </c>
      <c r="B177" s="28" t="s">
        <v>26</v>
      </c>
      <c r="C177" s="66" t="s">
        <v>108</v>
      </c>
      <c r="D177" s="30">
        <v>250000</v>
      </c>
      <c r="E177" s="30">
        <v>33225</v>
      </c>
      <c r="F177" s="31">
        <f t="shared" si="47"/>
        <v>283225</v>
      </c>
      <c r="G177" s="27">
        <v>60</v>
      </c>
      <c r="H177" s="85">
        <v>4722.08</v>
      </c>
      <c r="I177" s="33">
        <f t="shared" si="48"/>
        <v>664.5</v>
      </c>
      <c r="J177" s="33">
        <f t="shared" si="49"/>
        <v>5000</v>
      </c>
      <c r="K177" s="33">
        <f t="shared" si="50"/>
        <v>14619</v>
      </c>
      <c r="L177" s="33">
        <f t="shared" si="51"/>
        <v>25251</v>
      </c>
      <c r="M177" s="91">
        <v>22</v>
      </c>
      <c r="N177" s="92">
        <f t="shared" si="52"/>
        <v>38</v>
      </c>
      <c r="O177" s="35">
        <f t="shared" si="53"/>
        <v>103885.75999999999</v>
      </c>
      <c r="P177" s="36">
        <f t="shared" si="54"/>
        <v>179439.04</v>
      </c>
      <c r="Q177" s="19" t="s">
        <v>94</v>
      </c>
      <c r="R177" s="79">
        <v>44835</v>
      </c>
      <c r="S177" s="79">
        <v>46660</v>
      </c>
    </row>
    <row r="178" spans="1:28" ht="21" x14ac:dyDescent="0.35">
      <c r="A178" s="108">
        <v>13</v>
      </c>
      <c r="B178" s="28" t="s">
        <v>26</v>
      </c>
      <c r="C178" s="66" t="s">
        <v>109</v>
      </c>
      <c r="D178" s="30">
        <v>250000</v>
      </c>
      <c r="E178" s="30">
        <v>33225</v>
      </c>
      <c r="F178" s="31">
        <f t="shared" si="47"/>
        <v>283225</v>
      </c>
      <c r="G178" s="27">
        <v>60</v>
      </c>
      <c r="H178" s="85">
        <v>4722.08</v>
      </c>
      <c r="I178" s="33">
        <f t="shared" si="48"/>
        <v>664.5</v>
      </c>
      <c r="J178" s="33">
        <f t="shared" si="49"/>
        <v>5000</v>
      </c>
      <c r="K178" s="33">
        <f t="shared" si="50"/>
        <v>14619</v>
      </c>
      <c r="L178" s="33">
        <f t="shared" si="51"/>
        <v>25251</v>
      </c>
      <c r="M178" s="91">
        <v>22</v>
      </c>
      <c r="N178" s="92">
        <f t="shared" si="52"/>
        <v>38</v>
      </c>
      <c r="O178" s="35">
        <f t="shared" si="53"/>
        <v>103885.75999999999</v>
      </c>
      <c r="P178" s="36">
        <f t="shared" si="54"/>
        <v>179439.04</v>
      </c>
      <c r="Q178" s="19" t="s">
        <v>94</v>
      </c>
      <c r="R178" s="79">
        <v>44835</v>
      </c>
      <c r="S178" s="79">
        <v>46660</v>
      </c>
      <c r="Y178" s="99"/>
      <c r="AB178" s="95"/>
    </row>
    <row r="179" spans="1:28" ht="19.5" x14ac:dyDescent="0.3">
      <c r="A179" s="128">
        <v>14</v>
      </c>
      <c r="B179" s="28" t="s">
        <v>26</v>
      </c>
      <c r="C179" s="66" t="s">
        <v>110</v>
      </c>
      <c r="D179" s="88">
        <v>450000</v>
      </c>
      <c r="E179" s="88">
        <v>47988</v>
      </c>
      <c r="F179" s="89">
        <f t="shared" si="47"/>
        <v>497988</v>
      </c>
      <c r="G179" s="70">
        <v>48</v>
      </c>
      <c r="H179" s="86">
        <v>10374.75</v>
      </c>
      <c r="I179" s="33">
        <f t="shared" si="48"/>
        <v>959.76</v>
      </c>
      <c r="J179" s="33">
        <f t="shared" si="49"/>
        <v>9000</v>
      </c>
      <c r="K179" s="33">
        <f t="shared" si="50"/>
        <v>20154.96</v>
      </c>
      <c r="L179" s="33">
        <f t="shared" si="51"/>
        <v>25913.52</v>
      </c>
      <c r="M179" s="91">
        <v>21</v>
      </c>
      <c r="N179" s="92">
        <f t="shared" si="52"/>
        <v>27</v>
      </c>
      <c r="O179" s="35">
        <f t="shared" si="53"/>
        <v>217869.75</v>
      </c>
      <c r="P179" s="36">
        <f t="shared" si="54"/>
        <v>280118.25</v>
      </c>
      <c r="Q179" s="19" t="s">
        <v>94</v>
      </c>
      <c r="R179" s="79">
        <v>44835</v>
      </c>
      <c r="S179" s="79">
        <v>46295</v>
      </c>
      <c r="Y179" s="99"/>
      <c r="AB179" s="95"/>
    </row>
    <row r="180" spans="1:28" ht="21" x14ac:dyDescent="0.35">
      <c r="A180" s="108">
        <v>15</v>
      </c>
      <c r="B180" s="28" t="s">
        <v>26</v>
      </c>
      <c r="C180" s="66" t="s">
        <v>162</v>
      </c>
      <c r="D180" s="30">
        <v>450000</v>
      </c>
      <c r="E180" s="30">
        <v>39990</v>
      </c>
      <c r="F180" s="31">
        <v>489990</v>
      </c>
      <c r="G180" s="27">
        <v>40</v>
      </c>
      <c r="H180" s="40">
        <v>12249.75</v>
      </c>
      <c r="I180" s="33">
        <f t="shared" si="48"/>
        <v>799.8</v>
      </c>
      <c r="J180" s="33">
        <f t="shared" si="49"/>
        <v>9000</v>
      </c>
      <c r="K180" s="33">
        <f t="shared" si="50"/>
        <v>4798.7999999999993</v>
      </c>
      <c r="L180" s="33">
        <f t="shared" si="51"/>
        <v>27193.199999999997</v>
      </c>
      <c r="M180" s="91">
        <v>6</v>
      </c>
      <c r="N180" s="92">
        <f t="shared" si="52"/>
        <v>34</v>
      </c>
      <c r="O180" s="35">
        <f t="shared" si="53"/>
        <v>73498.5</v>
      </c>
      <c r="P180" s="36">
        <f t="shared" si="54"/>
        <v>416491.5</v>
      </c>
      <c r="Q180" s="19" t="s">
        <v>94</v>
      </c>
      <c r="R180" s="62">
        <v>45323</v>
      </c>
      <c r="S180" s="129">
        <v>46538</v>
      </c>
      <c r="Y180" s="99"/>
      <c r="AB180" s="95"/>
    </row>
    <row r="181" spans="1:28" ht="19.5" x14ac:dyDescent="0.3">
      <c r="A181" s="128">
        <v>16</v>
      </c>
      <c r="B181" s="28" t="s">
        <v>26</v>
      </c>
      <c r="C181" s="66" t="s">
        <v>153</v>
      </c>
      <c r="D181" s="30">
        <v>450000</v>
      </c>
      <c r="E181" s="30">
        <v>49987.5</v>
      </c>
      <c r="F181" s="31">
        <f t="shared" ref="F181" si="55">D181+E181</f>
        <v>499987.5</v>
      </c>
      <c r="G181" s="27">
        <v>50</v>
      </c>
      <c r="H181" s="54">
        <v>9999.75</v>
      </c>
      <c r="I181" s="33">
        <f t="shared" si="48"/>
        <v>999.75</v>
      </c>
      <c r="J181" s="33">
        <f t="shared" si="49"/>
        <v>9000</v>
      </c>
      <c r="K181" s="33">
        <f t="shared" si="50"/>
        <v>37990.5</v>
      </c>
      <c r="L181" s="33">
        <f t="shared" si="51"/>
        <v>11997</v>
      </c>
      <c r="M181" s="29">
        <v>38</v>
      </c>
      <c r="N181" s="34">
        <f t="shared" si="52"/>
        <v>12</v>
      </c>
      <c r="O181" s="35">
        <f t="shared" si="53"/>
        <v>379990.5</v>
      </c>
      <c r="P181" s="36">
        <f t="shared" si="54"/>
        <v>119997</v>
      </c>
      <c r="Q181" s="73" t="s">
        <v>37</v>
      </c>
      <c r="R181" s="62">
        <v>44348</v>
      </c>
      <c r="S181" s="42">
        <v>46022</v>
      </c>
      <c r="Y181" s="99"/>
      <c r="AB181" s="95"/>
    </row>
    <row r="182" spans="1:28" ht="21" x14ac:dyDescent="0.35">
      <c r="A182" s="108">
        <v>17</v>
      </c>
      <c r="B182" s="28" t="s">
        <v>26</v>
      </c>
      <c r="C182" s="66" t="s">
        <v>168</v>
      </c>
      <c r="D182" s="30">
        <v>600000</v>
      </c>
      <c r="E182" s="30">
        <v>79980</v>
      </c>
      <c r="F182" s="31">
        <f>D182+E182</f>
        <v>679980</v>
      </c>
      <c r="G182" s="27">
        <v>60</v>
      </c>
      <c r="H182" s="84">
        <v>11333</v>
      </c>
      <c r="I182" s="33">
        <f t="shared" si="48"/>
        <v>1599.6</v>
      </c>
      <c r="J182" s="33">
        <f t="shared" si="49"/>
        <v>12000</v>
      </c>
      <c r="K182" s="33">
        <f t="shared" si="50"/>
        <v>70382.399999999994</v>
      </c>
      <c r="L182" s="33">
        <f t="shared" si="51"/>
        <v>25593.599999999999</v>
      </c>
      <c r="M182" s="29">
        <v>44</v>
      </c>
      <c r="N182" s="34">
        <f t="shared" si="52"/>
        <v>16</v>
      </c>
      <c r="O182" s="35">
        <f t="shared" si="53"/>
        <v>498652</v>
      </c>
      <c r="P182" s="36">
        <f t="shared" si="54"/>
        <v>181328</v>
      </c>
      <c r="Q182" s="113" t="s">
        <v>37</v>
      </c>
      <c r="R182" s="130">
        <v>44166</v>
      </c>
      <c r="S182" s="130">
        <v>45991</v>
      </c>
      <c r="Y182" s="99"/>
      <c r="AB182" s="95"/>
    </row>
    <row r="183" spans="1:28" ht="21" x14ac:dyDescent="0.35">
      <c r="A183" s="108">
        <v>18</v>
      </c>
      <c r="B183" s="28" t="s">
        <v>26</v>
      </c>
      <c r="C183" s="66" t="s">
        <v>180</v>
      </c>
      <c r="D183" s="30">
        <v>750000</v>
      </c>
      <c r="E183" s="96">
        <v>66650</v>
      </c>
      <c r="F183" s="97">
        <v>816650</v>
      </c>
      <c r="G183" s="87">
        <v>40</v>
      </c>
      <c r="H183" s="85">
        <v>20416.25</v>
      </c>
      <c r="I183" s="33">
        <f t="shared" si="48"/>
        <v>1333</v>
      </c>
      <c r="J183" s="33">
        <f t="shared" si="49"/>
        <v>15000</v>
      </c>
      <c r="K183" s="33">
        <f t="shared" si="50"/>
        <v>3999</v>
      </c>
      <c r="L183" s="33">
        <f t="shared" si="51"/>
        <v>49321</v>
      </c>
      <c r="M183" s="29">
        <v>3</v>
      </c>
      <c r="N183" s="34">
        <f t="shared" si="52"/>
        <v>37</v>
      </c>
      <c r="O183" s="35">
        <f t="shared" si="53"/>
        <v>61248.75</v>
      </c>
      <c r="P183" s="36">
        <f t="shared" si="54"/>
        <v>755401.25</v>
      </c>
      <c r="Q183" s="19" t="s">
        <v>94</v>
      </c>
      <c r="R183" s="62">
        <v>45413</v>
      </c>
      <c r="S183" s="42">
        <v>46630</v>
      </c>
      <c r="Y183" s="99"/>
      <c r="AB183" s="95"/>
    </row>
    <row r="184" spans="1:28" ht="21" x14ac:dyDescent="0.35">
      <c r="A184" s="108">
        <v>19</v>
      </c>
      <c r="B184" s="28" t="s">
        <v>26</v>
      </c>
      <c r="C184" s="66" t="s">
        <v>205</v>
      </c>
      <c r="D184" s="30">
        <v>750000</v>
      </c>
      <c r="E184" s="30">
        <v>99975</v>
      </c>
      <c r="F184" s="31">
        <f t="shared" ref="F184" si="56">D184+E184</f>
        <v>849975</v>
      </c>
      <c r="G184" s="27">
        <v>60</v>
      </c>
      <c r="H184" s="40">
        <v>14166.25</v>
      </c>
      <c r="I184" s="33">
        <f t="shared" si="48"/>
        <v>1999.5</v>
      </c>
      <c r="J184" s="33">
        <f t="shared" si="49"/>
        <v>15000</v>
      </c>
      <c r="K184" s="33">
        <f t="shared" si="50"/>
        <v>1999.5</v>
      </c>
      <c r="L184" s="33">
        <f t="shared" si="51"/>
        <v>117970.5</v>
      </c>
      <c r="M184" s="29">
        <v>1</v>
      </c>
      <c r="N184" s="34">
        <f t="shared" si="52"/>
        <v>59</v>
      </c>
      <c r="O184" s="35">
        <f t="shared" si="53"/>
        <v>14166.25</v>
      </c>
      <c r="P184" s="36">
        <f t="shared" si="54"/>
        <v>835808.75</v>
      </c>
      <c r="Q184" s="19" t="s">
        <v>94</v>
      </c>
      <c r="R184" s="62">
        <v>45505</v>
      </c>
      <c r="S184" s="42">
        <v>47330</v>
      </c>
      <c r="Y184" s="99"/>
      <c r="AB184" s="95"/>
    </row>
    <row r="185" spans="1:28" ht="19.5" x14ac:dyDescent="0.3">
      <c r="B185" s="28"/>
      <c r="C185" s="46" t="s">
        <v>169</v>
      </c>
      <c r="D185" s="47">
        <f>SUM(D166:D184)</f>
        <v>9250000</v>
      </c>
      <c r="E185" s="47">
        <f>SUM(E166:E184)</f>
        <v>1157310.5</v>
      </c>
      <c r="F185" s="47">
        <f>SUM(F166:F184)</f>
        <v>10407310.5</v>
      </c>
      <c r="G185" s="45"/>
      <c r="H185" s="47">
        <f>SUM(H166:H184)</f>
        <v>188092.07</v>
      </c>
      <c r="I185" s="47">
        <f>SUM(I166:I184)</f>
        <v>23146.21</v>
      </c>
      <c r="J185" s="47">
        <f>SUM(J166:J184)</f>
        <v>185000</v>
      </c>
      <c r="K185" s="47">
        <f>SUM(K166:K184)</f>
        <v>719845.26000000013</v>
      </c>
      <c r="L185" s="47">
        <f>SUM(L166:L184)</f>
        <v>604756.72</v>
      </c>
      <c r="M185" s="48"/>
      <c r="N185" s="41"/>
      <c r="O185" s="47">
        <f>SUM(O166:O184)</f>
        <v>5360248.72</v>
      </c>
      <c r="P185" s="47">
        <f>SUM(P166:P184)</f>
        <v>5047460.9800000004</v>
      </c>
      <c r="Q185" s="53"/>
      <c r="R185" s="37"/>
      <c r="S185" s="22"/>
      <c r="Y185" s="99"/>
      <c r="AB185" s="95"/>
    </row>
    <row r="186" spans="1:28" ht="19.5" x14ac:dyDescent="0.3">
      <c r="B186" s="28"/>
      <c r="C186" s="39"/>
      <c r="D186" s="51"/>
      <c r="E186" s="51"/>
      <c r="F186" s="51"/>
      <c r="G186" s="51"/>
      <c r="H186" s="47"/>
      <c r="I186" s="51"/>
      <c r="J186" s="51"/>
      <c r="K186" s="51"/>
      <c r="L186" s="51"/>
      <c r="M186" s="51"/>
      <c r="N186" s="41"/>
      <c r="O186" s="51"/>
      <c r="P186" s="51"/>
      <c r="Q186" s="53"/>
      <c r="R186" s="37"/>
      <c r="S186" s="22"/>
      <c r="Y186" s="99"/>
      <c r="AB186" s="95"/>
    </row>
    <row r="187" spans="1:28" ht="21" x14ac:dyDescent="0.35">
      <c r="B187" s="16"/>
      <c r="C187" s="15"/>
      <c r="D187" s="8"/>
      <c r="E187" s="8"/>
      <c r="F187" s="9"/>
      <c r="G187" s="7"/>
      <c r="H187" s="17"/>
      <c r="I187" s="10"/>
      <c r="J187" s="10"/>
      <c r="K187" s="10"/>
      <c r="L187" s="10"/>
      <c r="M187" s="14"/>
      <c r="N187" s="11"/>
      <c r="O187" s="12"/>
      <c r="P187" s="13"/>
      <c r="Q187" s="16"/>
      <c r="R187" s="18"/>
      <c r="S187" s="18"/>
      <c r="Y187" s="99"/>
      <c r="AB187" s="95"/>
    </row>
    <row r="188" spans="1:28" x14ac:dyDescent="0.25">
      <c r="Y188" s="99"/>
      <c r="AB188" s="95"/>
    </row>
    <row r="189" spans="1:28" ht="18.75" x14ac:dyDescent="0.3">
      <c r="H189" s="20"/>
      <c r="I189" s="6"/>
      <c r="Y189" s="99"/>
      <c r="AB189" s="95"/>
    </row>
    <row r="191" spans="1:28" ht="18.75" x14ac:dyDescent="0.3">
      <c r="H191" s="20"/>
      <c r="I191" s="6"/>
    </row>
    <row r="192" spans="1:28" x14ac:dyDescent="0.25">
      <c r="J192" s="6"/>
    </row>
  </sheetData>
  <conditionalFormatting sqref="AA185:AA186 AA92:AA175">
    <cfRule type="duplicateValues" dxfId="105" priority="16"/>
  </conditionalFormatting>
  <conditionalFormatting sqref="C153:C154 C5:C70">
    <cfRule type="duplicateValues" dxfId="104" priority="14"/>
  </conditionalFormatting>
  <conditionalFormatting sqref="C166:C180">
    <cfRule type="duplicateValues" dxfId="103" priority="15"/>
  </conditionalFormatting>
  <conditionalFormatting sqref="D163 C162">
    <cfRule type="duplicateValues" dxfId="102" priority="13"/>
  </conditionalFormatting>
  <conditionalFormatting sqref="C155">
    <cfRule type="duplicateValues" dxfId="101" priority="12"/>
  </conditionalFormatting>
  <conditionalFormatting sqref="C160">
    <cfRule type="duplicateValues" dxfId="100" priority="10"/>
  </conditionalFormatting>
  <conditionalFormatting sqref="C160">
    <cfRule type="duplicateValues" dxfId="99" priority="11"/>
  </conditionalFormatting>
  <conditionalFormatting sqref="C185:C189 C153:C154 C3:C70 D2 C1 C164 C166:C180">
    <cfRule type="duplicateValues" dxfId="98" priority="17"/>
  </conditionalFormatting>
  <conditionalFormatting sqref="AA178:AA189 AA92:AA175">
    <cfRule type="duplicateValues" dxfId="97" priority="18"/>
  </conditionalFormatting>
  <conditionalFormatting sqref="C190:C192">
    <cfRule type="duplicateValues" dxfId="96" priority="19"/>
  </conditionalFormatting>
  <conditionalFormatting sqref="C165">
    <cfRule type="duplicateValues" dxfId="95" priority="7"/>
  </conditionalFormatting>
  <conditionalFormatting sqref="C156">
    <cfRule type="duplicateValues" dxfId="94" priority="5"/>
  </conditionalFormatting>
  <conditionalFormatting sqref="C156">
    <cfRule type="duplicateValues" dxfId="93" priority="6"/>
  </conditionalFormatting>
  <conditionalFormatting sqref="C157 C159">
    <cfRule type="duplicateValues" dxfId="92" priority="3"/>
  </conditionalFormatting>
  <conditionalFormatting sqref="C157">
    <cfRule type="duplicateValues" dxfId="91" priority="4"/>
  </conditionalFormatting>
  <conditionalFormatting sqref="C158">
    <cfRule type="duplicateValues" dxfId="90" priority="1"/>
  </conditionalFormatting>
  <conditionalFormatting sqref="C158">
    <cfRule type="duplicateValues" dxfId="89" priority="2"/>
  </conditionalFormatting>
  <conditionalFormatting sqref="AA5:AA189">
    <cfRule type="duplicateValues" dxfId="88" priority="654"/>
  </conditionalFormatting>
  <pageMargins left="0.15748031496062992" right="0.70866141732283472" top="0.74803149606299213" bottom="0.74803149606299213" header="0.31496062992125984" footer="0.31496062992125984"/>
  <pageSetup paperSize="5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5"/>
  <sheetViews>
    <sheetView topLeftCell="G155" workbookViewId="0">
      <selection activeCell="S168" sqref="S168"/>
    </sheetView>
  </sheetViews>
  <sheetFormatPr defaultRowHeight="15" x14ac:dyDescent="0.25"/>
  <cols>
    <col min="1" max="1" width="6.140625" customWidth="1"/>
    <col min="2" max="2" width="31.7109375" customWidth="1"/>
    <col min="3" max="3" width="39.28515625" customWidth="1"/>
    <col min="4" max="4" width="19" customWidth="1"/>
    <col min="5" max="5" width="16.85546875" customWidth="1"/>
    <col min="6" max="6" width="17.85546875" customWidth="1"/>
    <col min="7" max="7" width="5" customWidth="1"/>
    <col min="8" max="8" width="16.5703125" customWidth="1"/>
    <col min="9" max="9" width="14.7109375" customWidth="1"/>
    <col min="10" max="10" width="16.140625" customWidth="1"/>
    <col min="11" max="11" width="16.7109375" customWidth="1"/>
    <col min="12" max="12" width="16.140625" customWidth="1"/>
    <col min="13" max="13" width="4.42578125" customWidth="1"/>
    <col min="14" max="14" width="5.42578125" customWidth="1"/>
    <col min="15" max="15" width="17.7109375" customWidth="1"/>
    <col min="16" max="16" width="18.5703125" customWidth="1"/>
    <col min="17" max="17" width="8.140625" customWidth="1"/>
    <col min="18" max="19" width="14.85546875" customWidth="1"/>
    <col min="27" max="27" width="17.85546875" customWidth="1"/>
    <col min="28" max="28" width="15.28515625" customWidth="1"/>
  </cols>
  <sheetData>
    <row r="1" spans="1:28" ht="19.5" x14ac:dyDescent="0.3">
      <c r="B1" s="23" t="s">
        <v>30</v>
      </c>
      <c r="C1" s="24"/>
      <c r="D1" s="24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7"/>
      <c r="R1" s="60"/>
      <c r="S1" s="22"/>
    </row>
    <row r="2" spans="1:28" ht="19.5" x14ac:dyDescent="0.3">
      <c r="B2" s="25" t="s">
        <v>206</v>
      </c>
      <c r="D2" s="24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7"/>
      <c r="R2" s="60"/>
      <c r="S2" s="22"/>
    </row>
    <row r="3" spans="1:28" ht="19.5" x14ac:dyDescent="0.3">
      <c r="B3" s="25"/>
      <c r="C3" s="24"/>
      <c r="D3" s="24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7"/>
      <c r="R3" s="60"/>
      <c r="S3" s="22"/>
    </row>
    <row r="4" spans="1:28" ht="94.5" customHeight="1" x14ac:dyDescent="0.3">
      <c r="B4" s="26" t="s">
        <v>6</v>
      </c>
      <c r="C4" s="26" t="s">
        <v>0</v>
      </c>
      <c r="D4" s="26" t="s">
        <v>1</v>
      </c>
      <c r="E4" s="26" t="s">
        <v>7</v>
      </c>
      <c r="F4" s="26" t="s">
        <v>2</v>
      </c>
      <c r="G4" s="26" t="s">
        <v>12</v>
      </c>
      <c r="H4" s="26" t="s">
        <v>13</v>
      </c>
      <c r="I4" s="56" t="s">
        <v>9</v>
      </c>
      <c r="J4" s="56" t="s">
        <v>8</v>
      </c>
      <c r="K4" s="56" t="s">
        <v>10</v>
      </c>
      <c r="L4" s="56" t="s">
        <v>11</v>
      </c>
      <c r="M4" s="57" t="s">
        <v>3</v>
      </c>
      <c r="N4" s="57" t="s">
        <v>44</v>
      </c>
      <c r="O4" s="26" t="s">
        <v>4</v>
      </c>
      <c r="P4" s="58" t="s">
        <v>5</v>
      </c>
      <c r="Q4" s="26" t="s">
        <v>29</v>
      </c>
      <c r="R4" s="61" t="s">
        <v>38</v>
      </c>
      <c r="S4" s="52" t="s">
        <v>28</v>
      </c>
    </row>
    <row r="5" spans="1:28" ht="20.25" customHeight="1" x14ac:dyDescent="0.35">
      <c r="A5" s="108">
        <v>1</v>
      </c>
      <c r="B5" s="28" t="s">
        <v>26</v>
      </c>
      <c r="C5" s="38" t="s">
        <v>16</v>
      </c>
      <c r="D5" s="30">
        <v>750000</v>
      </c>
      <c r="E5" s="30">
        <v>99975</v>
      </c>
      <c r="F5" s="31">
        <f t="shared" ref="F5:F55" si="0">D5+E5</f>
        <v>849975</v>
      </c>
      <c r="G5" s="27">
        <v>60</v>
      </c>
      <c r="H5" s="40">
        <v>14166.25</v>
      </c>
      <c r="I5" s="33">
        <f t="shared" ref="I5:I11" si="1">E5/60</f>
        <v>1666.25</v>
      </c>
      <c r="J5" s="33">
        <f t="shared" ref="J5:J11" si="2">D5/60</f>
        <v>12500</v>
      </c>
      <c r="K5" s="33">
        <f t="shared" ref="K5:K64" si="3">I5*M5</f>
        <v>94976.25</v>
      </c>
      <c r="L5" s="33">
        <f t="shared" ref="L5:L64" si="4">I5*N5</f>
        <v>4998.75</v>
      </c>
      <c r="M5" s="29">
        <v>57</v>
      </c>
      <c r="N5" s="34">
        <f t="shared" ref="N5:N49" si="5">G5-M5</f>
        <v>3</v>
      </c>
      <c r="O5" s="35">
        <f t="shared" ref="O5:O49" si="6">H5*M5</f>
        <v>807476.25</v>
      </c>
      <c r="P5" s="36">
        <f t="shared" ref="P5:P49" si="7">H5*N5</f>
        <v>42498.75</v>
      </c>
      <c r="Q5" s="53"/>
      <c r="R5" s="37"/>
      <c r="S5" s="22"/>
      <c r="Y5" s="99"/>
      <c r="AB5" s="95"/>
    </row>
    <row r="6" spans="1:28" ht="21" x14ac:dyDescent="0.35">
      <c r="A6" s="108">
        <v>2</v>
      </c>
      <c r="B6" s="28" t="s">
        <v>26</v>
      </c>
      <c r="C6" s="38" t="s">
        <v>18</v>
      </c>
      <c r="D6" s="30">
        <v>250000</v>
      </c>
      <c r="E6" s="30">
        <v>33325</v>
      </c>
      <c r="F6" s="31">
        <f t="shared" si="0"/>
        <v>283325</v>
      </c>
      <c r="G6" s="27">
        <v>60</v>
      </c>
      <c r="H6" s="40">
        <v>4722.08</v>
      </c>
      <c r="I6" s="33">
        <f t="shared" si="1"/>
        <v>555.41666666666663</v>
      </c>
      <c r="J6" s="33">
        <f t="shared" si="2"/>
        <v>4166.666666666667</v>
      </c>
      <c r="K6" s="33">
        <f t="shared" si="3"/>
        <v>31658.749999999996</v>
      </c>
      <c r="L6" s="33">
        <f t="shared" si="4"/>
        <v>1666.25</v>
      </c>
      <c r="M6" s="29">
        <v>57</v>
      </c>
      <c r="N6" s="34">
        <f t="shared" si="5"/>
        <v>3</v>
      </c>
      <c r="O6" s="35">
        <f t="shared" si="6"/>
        <v>269158.56</v>
      </c>
      <c r="P6" s="36">
        <f t="shared" si="7"/>
        <v>14166.24</v>
      </c>
      <c r="Q6" s="53"/>
      <c r="R6" s="131">
        <v>43831</v>
      </c>
      <c r="S6" s="131">
        <v>45657</v>
      </c>
      <c r="Y6" s="99"/>
      <c r="AB6" s="95"/>
    </row>
    <row r="7" spans="1:28" ht="21" x14ac:dyDescent="0.35">
      <c r="A7" s="108">
        <v>3</v>
      </c>
      <c r="B7" s="28" t="s">
        <v>26</v>
      </c>
      <c r="C7" s="38" t="s">
        <v>31</v>
      </c>
      <c r="D7" s="30">
        <v>250000</v>
      </c>
      <c r="E7" s="30">
        <v>33325</v>
      </c>
      <c r="F7" s="31">
        <f t="shared" si="0"/>
        <v>283325</v>
      </c>
      <c r="G7" s="27">
        <v>60</v>
      </c>
      <c r="H7" s="40">
        <v>4722.08</v>
      </c>
      <c r="I7" s="33">
        <f t="shared" si="1"/>
        <v>555.41666666666663</v>
      </c>
      <c r="J7" s="33">
        <f t="shared" si="2"/>
        <v>4166.666666666667</v>
      </c>
      <c r="K7" s="33">
        <f t="shared" si="3"/>
        <v>31658.749999999996</v>
      </c>
      <c r="L7" s="33">
        <f t="shared" si="4"/>
        <v>1666.25</v>
      </c>
      <c r="M7" s="29">
        <v>57</v>
      </c>
      <c r="N7" s="34">
        <f t="shared" si="5"/>
        <v>3</v>
      </c>
      <c r="O7" s="35">
        <f t="shared" si="6"/>
        <v>269158.56</v>
      </c>
      <c r="P7" s="36">
        <f t="shared" si="7"/>
        <v>14166.24</v>
      </c>
      <c r="Q7" s="53"/>
      <c r="R7" s="37"/>
      <c r="S7" s="59"/>
      <c r="Y7" s="99"/>
      <c r="AB7" s="95"/>
    </row>
    <row r="8" spans="1:28" ht="21" x14ac:dyDescent="0.35">
      <c r="A8" s="108">
        <v>4</v>
      </c>
      <c r="B8" s="28" t="s">
        <v>26</v>
      </c>
      <c r="C8" s="38" t="s">
        <v>32</v>
      </c>
      <c r="D8" s="30">
        <v>750000</v>
      </c>
      <c r="E8" s="30">
        <v>99975</v>
      </c>
      <c r="F8" s="31">
        <f t="shared" si="0"/>
        <v>849975</v>
      </c>
      <c r="G8" s="27">
        <v>60</v>
      </c>
      <c r="H8" s="40">
        <v>14166.25</v>
      </c>
      <c r="I8" s="33">
        <f t="shared" si="1"/>
        <v>1666.25</v>
      </c>
      <c r="J8" s="33">
        <f t="shared" si="2"/>
        <v>12500</v>
      </c>
      <c r="K8" s="33">
        <f t="shared" si="3"/>
        <v>94976.25</v>
      </c>
      <c r="L8" s="33">
        <f t="shared" si="4"/>
        <v>4998.75</v>
      </c>
      <c r="M8" s="29">
        <v>57</v>
      </c>
      <c r="N8" s="34">
        <f t="shared" si="5"/>
        <v>3</v>
      </c>
      <c r="O8" s="35">
        <f t="shared" si="6"/>
        <v>807476.25</v>
      </c>
      <c r="P8" s="36">
        <f t="shared" si="7"/>
        <v>42498.75</v>
      </c>
      <c r="Q8" s="53"/>
      <c r="R8" s="37"/>
      <c r="S8" s="22"/>
      <c r="Y8" s="99"/>
      <c r="AB8" s="95"/>
    </row>
    <row r="9" spans="1:28" ht="21" x14ac:dyDescent="0.35">
      <c r="A9" s="108">
        <v>5</v>
      </c>
      <c r="B9" s="28" t="s">
        <v>26</v>
      </c>
      <c r="C9" s="38" t="s">
        <v>33</v>
      </c>
      <c r="D9" s="30">
        <v>750000</v>
      </c>
      <c r="E9" s="30">
        <v>99975</v>
      </c>
      <c r="F9" s="31">
        <f t="shared" si="0"/>
        <v>849975</v>
      </c>
      <c r="G9" s="27">
        <v>60</v>
      </c>
      <c r="H9" s="40">
        <v>14166.25</v>
      </c>
      <c r="I9" s="33">
        <f t="shared" si="1"/>
        <v>1666.25</v>
      </c>
      <c r="J9" s="33">
        <f t="shared" si="2"/>
        <v>12500</v>
      </c>
      <c r="K9" s="33">
        <f t="shared" si="3"/>
        <v>94976.25</v>
      </c>
      <c r="L9" s="33">
        <f t="shared" si="4"/>
        <v>4998.75</v>
      </c>
      <c r="M9" s="29">
        <v>57</v>
      </c>
      <c r="N9" s="34">
        <f t="shared" si="5"/>
        <v>3</v>
      </c>
      <c r="O9" s="35">
        <f t="shared" si="6"/>
        <v>807476.25</v>
      </c>
      <c r="P9" s="36">
        <f t="shared" si="7"/>
        <v>42498.75</v>
      </c>
      <c r="Q9" s="53"/>
      <c r="R9" s="37"/>
      <c r="S9" s="22"/>
      <c r="Y9" s="99"/>
      <c r="AB9" s="95"/>
    </row>
    <row r="10" spans="1:28" ht="21" x14ac:dyDescent="0.35">
      <c r="A10" s="108">
        <v>6</v>
      </c>
      <c r="B10" s="28" t="s">
        <v>26</v>
      </c>
      <c r="C10" s="38" t="s">
        <v>34</v>
      </c>
      <c r="D10" s="30">
        <v>450000</v>
      </c>
      <c r="E10" s="30">
        <v>59985</v>
      </c>
      <c r="F10" s="31">
        <f t="shared" si="0"/>
        <v>509985</v>
      </c>
      <c r="G10" s="27">
        <v>60</v>
      </c>
      <c r="H10" s="40">
        <v>8499.75</v>
      </c>
      <c r="I10" s="33">
        <f t="shared" si="1"/>
        <v>999.75</v>
      </c>
      <c r="J10" s="33">
        <f t="shared" si="2"/>
        <v>7500</v>
      </c>
      <c r="K10" s="33">
        <f t="shared" si="3"/>
        <v>56985.75</v>
      </c>
      <c r="L10" s="33">
        <f t="shared" si="4"/>
        <v>2999.25</v>
      </c>
      <c r="M10" s="29">
        <v>57</v>
      </c>
      <c r="N10" s="34">
        <f t="shared" si="5"/>
        <v>3</v>
      </c>
      <c r="O10" s="35">
        <f t="shared" si="6"/>
        <v>484485.75</v>
      </c>
      <c r="P10" s="36">
        <f t="shared" si="7"/>
        <v>25499.25</v>
      </c>
      <c r="Q10" s="53"/>
      <c r="R10" s="37"/>
      <c r="S10" s="22"/>
      <c r="Y10" s="99"/>
      <c r="AB10" s="95"/>
    </row>
    <row r="11" spans="1:28" ht="21" x14ac:dyDescent="0.35">
      <c r="A11" s="108">
        <v>7</v>
      </c>
      <c r="B11" s="28" t="s">
        <v>26</v>
      </c>
      <c r="C11" s="38" t="s">
        <v>35</v>
      </c>
      <c r="D11" s="30">
        <v>450000</v>
      </c>
      <c r="E11" s="30">
        <v>59985</v>
      </c>
      <c r="F11" s="31">
        <f t="shared" si="0"/>
        <v>509985</v>
      </c>
      <c r="G11" s="27">
        <v>60</v>
      </c>
      <c r="H11" s="40">
        <v>8499.75</v>
      </c>
      <c r="I11" s="33">
        <f t="shared" si="1"/>
        <v>999.75</v>
      </c>
      <c r="J11" s="33">
        <f t="shared" si="2"/>
        <v>7500</v>
      </c>
      <c r="K11" s="33">
        <f t="shared" si="3"/>
        <v>56985.75</v>
      </c>
      <c r="L11" s="33">
        <f t="shared" si="4"/>
        <v>2999.25</v>
      </c>
      <c r="M11" s="29">
        <v>57</v>
      </c>
      <c r="N11" s="34">
        <f t="shared" si="5"/>
        <v>3</v>
      </c>
      <c r="O11" s="35">
        <f t="shared" si="6"/>
        <v>484485.75</v>
      </c>
      <c r="P11" s="36">
        <f t="shared" si="7"/>
        <v>25499.25</v>
      </c>
      <c r="Q11" s="53"/>
      <c r="R11" s="37"/>
      <c r="S11" s="22"/>
      <c r="Y11" s="99"/>
      <c r="AB11" s="95"/>
    </row>
    <row r="12" spans="1:28" ht="21" x14ac:dyDescent="0.35">
      <c r="A12" s="108">
        <v>8</v>
      </c>
      <c r="B12" s="28" t="s">
        <v>26</v>
      </c>
      <c r="C12" s="38" t="s">
        <v>43</v>
      </c>
      <c r="D12" s="30">
        <v>250000</v>
      </c>
      <c r="E12" s="30">
        <v>33225</v>
      </c>
      <c r="F12" s="31">
        <f t="shared" si="0"/>
        <v>283225</v>
      </c>
      <c r="G12" s="27">
        <v>60</v>
      </c>
      <c r="H12" s="32">
        <v>4722.08</v>
      </c>
      <c r="I12" s="33">
        <f t="shared" ref="I12:I70" si="8">E12/50</f>
        <v>664.5</v>
      </c>
      <c r="J12" s="33">
        <f t="shared" ref="J12:J70" si="9">D12/50</f>
        <v>5000</v>
      </c>
      <c r="K12" s="33">
        <f t="shared" si="3"/>
        <v>33889.5</v>
      </c>
      <c r="L12" s="33">
        <f t="shared" si="4"/>
        <v>5980.5</v>
      </c>
      <c r="M12" s="29">
        <v>51</v>
      </c>
      <c r="N12" s="34">
        <f t="shared" si="5"/>
        <v>9</v>
      </c>
      <c r="O12" s="35">
        <f t="shared" si="6"/>
        <v>240826.08</v>
      </c>
      <c r="P12" s="36">
        <f t="shared" si="7"/>
        <v>42498.720000000001</v>
      </c>
      <c r="Q12" s="53"/>
      <c r="R12" s="62">
        <v>44013</v>
      </c>
      <c r="S12" s="42">
        <v>45838</v>
      </c>
      <c r="Y12" s="99"/>
      <c r="AB12" s="95"/>
    </row>
    <row r="13" spans="1:28" ht="21" x14ac:dyDescent="0.35">
      <c r="A13" s="108">
        <v>9</v>
      </c>
      <c r="B13" s="28" t="s">
        <v>26</v>
      </c>
      <c r="C13" s="38" t="s">
        <v>45</v>
      </c>
      <c r="D13" s="30">
        <v>600000</v>
      </c>
      <c r="E13" s="30">
        <v>79980</v>
      </c>
      <c r="F13" s="31">
        <f t="shared" si="0"/>
        <v>679980</v>
      </c>
      <c r="G13" s="27">
        <v>60</v>
      </c>
      <c r="H13" s="32">
        <v>11333</v>
      </c>
      <c r="I13" s="33">
        <f t="shared" si="8"/>
        <v>1599.6</v>
      </c>
      <c r="J13" s="33">
        <f t="shared" si="9"/>
        <v>12000</v>
      </c>
      <c r="K13" s="33">
        <f t="shared" si="3"/>
        <v>73581.599999999991</v>
      </c>
      <c r="L13" s="33">
        <f t="shared" si="4"/>
        <v>22394.399999999998</v>
      </c>
      <c r="M13" s="29">
        <v>46</v>
      </c>
      <c r="N13" s="34">
        <f t="shared" si="5"/>
        <v>14</v>
      </c>
      <c r="O13" s="35">
        <f t="shared" si="6"/>
        <v>521318</v>
      </c>
      <c r="P13" s="36">
        <f t="shared" si="7"/>
        <v>158662</v>
      </c>
      <c r="Q13" s="53"/>
      <c r="R13" s="62">
        <v>44166</v>
      </c>
      <c r="S13" s="42">
        <v>45991</v>
      </c>
      <c r="Y13" s="99"/>
      <c r="AB13" s="95"/>
    </row>
    <row r="14" spans="1:28" ht="21" x14ac:dyDescent="0.35">
      <c r="A14" s="108">
        <v>10</v>
      </c>
      <c r="B14" s="28" t="s">
        <v>26</v>
      </c>
      <c r="C14" s="38" t="s">
        <v>46</v>
      </c>
      <c r="D14" s="30">
        <v>250000</v>
      </c>
      <c r="E14" s="30">
        <v>33225</v>
      </c>
      <c r="F14" s="31">
        <f t="shared" si="0"/>
        <v>283225</v>
      </c>
      <c r="G14" s="27">
        <v>60</v>
      </c>
      <c r="H14" s="32">
        <v>4722.08</v>
      </c>
      <c r="I14" s="33">
        <f t="shared" si="8"/>
        <v>664.5</v>
      </c>
      <c r="J14" s="33">
        <f t="shared" si="9"/>
        <v>5000</v>
      </c>
      <c r="K14" s="33">
        <f t="shared" si="3"/>
        <v>30567</v>
      </c>
      <c r="L14" s="33">
        <f t="shared" si="4"/>
        <v>9303</v>
      </c>
      <c r="M14" s="29">
        <v>46</v>
      </c>
      <c r="N14" s="34">
        <f t="shared" si="5"/>
        <v>14</v>
      </c>
      <c r="O14" s="35">
        <f t="shared" si="6"/>
        <v>217215.68</v>
      </c>
      <c r="P14" s="36">
        <f t="shared" si="7"/>
        <v>66109.119999999995</v>
      </c>
      <c r="Q14" s="53"/>
      <c r="R14" s="62">
        <v>44166</v>
      </c>
      <c r="S14" s="42">
        <v>45991</v>
      </c>
      <c r="Y14" s="99"/>
      <c r="AB14" s="95"/>
    </row>
    <row r="15" spans="1:28" ht="21" x14ac:dyDescent="0.35">
      <c r="A15" s="108">
        <v>11</v>
      </c>
      <c r="B15" s="28" t="s">
        <v>26</v>
      </c>
      <c r="C15" s="38" t="s">
        <v>48</v>
      </c>
      <c r="D15" s="30">
        <v>250000</v>
      </c>
      <c r="E15" s="30">
        <v>33225</v>
      </c>
      <c r="F15" s="31">
        <f t="shared" si="0"/>
        <v>283225</v>
      </c>
      <c r="G15" s="27">
        <v>60</v>
      </c>
      <c r="H15" s="32">
        <v>4722.08</v>
      </c>
      <c r="I15" s="33">
        <f t="shared" si="8"/>
        <v>664.5</v>
      </c>
      <c r="J15" s="33">
        <f t="shared" si="9"/>
        <v>5000</v>
      </c>
      <c r="K15" s="33">
        <f t="shared" si="3"/>
        <v>34554</v>
      </c>
      <c r="L15" s="33">
        <f t="shared" si="4"/>
        <v>5316</v>
      </c>
      <c r="M15" s="29">
        <v>52</v>
      </c>
      <c r="N15" s="34">
        <f t="shared" si="5"/>
        <v>8</v>
      </c>
      <c r="O15" s="35">
        <f t="shared" si="6"/>
        <v>245548.16</v>
      </c>
      <c r="P15" s="36">
        <f t="shared" si="7"/>
        <v>37776.639999999999</v>
      </c>
      <c r="Q15" s="53"/>
      <c r="R15" s="62">
        <v>44166</v>
      </c>
      <c r="S15" s="42">
        <v>45991</v>
      </c>
      <c r="Y15" s="99"/>
      <c r="AB15" s="95"/>
    </row>
    <row r="16" spans="1:28" ht="21" x14ac:dyDescent="0.35">
      <c r="A16" s="108">
        <v>12</v>
      </c>
      <c r="B16" s="28" t="s">
        <v>26</v>
      </c>
      <c r="C16" s="38" t="s">
        <v>50</v>
      </c>
      <c r="D16" s="30">
        <v>600000</v>
      </c>
      <c r="E16" s="30">
        <v>79980</v>
      </c>
      <c r="F16" s="31">
        <f t="shared" si="0"/>
        <v>679980</v>
      </c>
      <c r="G16" s="27">
        <v>60</v>
      </c>
      <c r="H16" s="32">
        <v>11333</v>
      </c>
      <c r="I16" s="33">
        <f t="shared" si="8"/>
        <v>1599.6</v>
      </c>
      <c r="J16" s="33">
        <f t="shared" si="9"/>
        <v>12000</v>
      </c>
      <c r="K16" s="33">
        <f t="shared" si="3"/>
        <v>83179.199999999997</v>
      </c>
      <c r="L16" s="33">
        <f t="shared" si="4"/>
        <v>12796.8</v>
      </c>
      <c r="M16" s="29">
        <v>52</v>
      </c>
      <c r="N16" s="34">
        <f t="shared" si="5"/>
        <v>8</v>
      </c>
      <c r="O16" s="35">
        <f t="shared" si="6"/>
        <v>589316</v>
      </c>
      <c r="P16" s="36">
        <f t="shared" si="7"/>
        <v>90664</v>
      </c>
      <c r="Q16" s="44"/>
      <c r="R16" s="62">
        <v>43983</v>
      </c>
      <c r="S16" s="42">
        <v>45808</v>
      </c>
      <c r="Y16" s="99"/>
      <c r="AB16" s="95"/>
    </row>
    <row r="17" spans="1:28" ht="21" x14ac:dyDescent="0.35">
      <c r="A17" s="108">
        <v>13</v>
      </c>
      <c r="B17" s="28" t="s">
        <v>26</v>
      </c>
      <c r="C17" s="38" t="s">
        <v>51</v>
      </c>
      <c r="D17" s="30">
        <v>600000</v>
      </c>
      <c r="E17" s="30">
        <v>79980</v>
      </c>
      <c r="F17" s="31">
        <f t="shared" si="0"/>
        <v>679980</v>
      </c>
      <c r="G17" s="27">
        <v>60</v>
      </c>
      <c r="H17" s="32">
        <v>11333</v>
      </c>
      <c r="I17" s="33">
        <f t="shared" si="8"/>
        <v>1599.6</v>
      </c>
      <c r="J17" s="33">
        <f t="shared" si="9"/>
        <v>12000</v>
      </c>
      <c r="K17" s="33">
        <f t="shared" si="3"/>
        <v>83179.199999999997</v>
      </c>
      <c r="L17" s="33">
        <f t="shared" si="4"/>
        <v>12796.8</v>
      </c>
      <c r="M17" s="29">
        <v>52</v>
      </c>
      <c r="N17" s="34">
        <f t="shared" si="5"/>
        <v>8</v>
      </c>
      <c r="O17" s="35">
        <f t="shared" si="6"/>
        <v>589316</v>
      </c>
      <c r="P17" s="36">
        <f t="shared" si="7"/>
        <v>90664</v>
      </c>
      <c r="Q17" s="44"/>
      <c r="R17" s="62">
        <v>43983</v>
      </c>
      <c r="S17" s="42">
        <v>45808</v>
      </c>
      <c r="Y17" s="99"/>
      <c r="AB17" s="95"/>
    </row>
    <row r="18" spans="1:28" ht="21" x14ac:dyDescent="0.35">
      <c r="A18" s="108">
        <v>14</v>
      </c>
      <c r="B18" s="28" t="s">
        <v>26</v>
      </c>
      <c r="C18" s="38" t="s">
        <v>52</v>
      </c>
      <c r="D18" s="30">
        <v>600000</v>
      </c>
      <c r="E18" s="30">
        <v>79980</v>
      </c>
      <c r="F18" s="31">
        <f t="shared" si="0"/>
        <v>679980</v>
      </c>
      <c r="G18" s="27">
        <v>60</v>
      </c>
      <c r="H18" s="32">
        <v>11333</v>
      </c>
      <c r="I18" s="33">
        <f t="shared" si="8"/>
        <v>1599.6</v>
      </c>
      <c r="J18" s="33">
        <f t="shared" si="9"/>
        <v>12000</v>
      </c>
      <c r="K18" s="33">
        <f t="shared" si="3"/>
        <v>83179.199999999997</v>
      </c>
      <c r="L18" s="33">
        <f t="shared" si="4"/>
        <v>12796.8</v>
      </c>
      <c r="M18" s="29">
        <v>52</v>
      </c>
      <c r="N18" s="34">
        <f t="shared" si="5"/>
        <v>8</v>
      </c>
      <c r="O18" s="35">
        <f t="shared" si="6"/>
        <v>589316</v>
      </c>
      <c r="P18" s="36">
        <f t="shared" si="7"/>
        <v>90664</v>
      </c>
      <c r="Q18" s="44"/>
      <c r="R18" s="62">
        <v>43983</v>
      </c>
      <c r="S18" s="42">
        <v>45808</v>
      </c>
      <c r="Y18" s="99"/>
      <c r="AB18" s="95"/>
    </row>
    <row r="19" spans="1:28" ht="21" x14ac:dyDescent="0.35">
      <c r="A19" s="108">
        <v>15</v>
      </c>
      <c r="B19" s="28" t="s">
        <v>26</v>
      </c>
      <c r="C19" s="38" t="s">
        <v>54</v>
      </c>
      <c r="D19" s="30">
        <v>600000</v>
      </c>
      <c r="E19" s="30">
        <v>79980</v>
      </c>
      <c r="F19" s="31">
        <f t="shared" si="0"/>
        <v>679980</v>
      </c>
      <c r="G19" s="27">
        <v>60</v>
      </c>
      <c r="H19" s="54">
        <v>11333</v>
      </c>
      <c r="I19" s="33">
        <f t="shared" si="8"/>
        <v>1599.6</v>
      </c>
      <c r="J19" s="33">
        <f t="shared" si="9"/>
        <v>12000</v>
      </c>
      <c r="K19" s="33">
        <f t="shared" si="3"/>
        <v>67183.199999999997</v>
      </c>
      <c r="L19" s="33">
        <f t="shared" si="4"/>
        <v>28792.799999999999</v>
      </c>
      <c r="M19" s="29">
        <v>42</v>
      </c>
      <c r="N19" s="34">
        <f t="shared" si="5"/>
        <v>18</v>
      </c>
      <c r="O19" s="35">
        <f t="shared" si="6"/>
        <v>475986</v>
      </c>
      <c r="P19" s="36">
        <f t="shared" si="7"/>
        <v>203994</v>
      </c>
      <c r="Q19" s="43"/>
      <c r="R19" s="64">
        <v>44287</v>
      </c>
      <c r="S19" s="18">
        <v>46112</v>
      </c>
      <c r="Y19" s="99"/>
      <c r="AB19" s="95"/>
    </row>
    <row r="20" spans="1:28" ht="21" x14ac:dyDescent="0.35">
      <c r="A20" s="108">
        <v>16</v>
      </c>
      <c r="B20" s="28" t="s">
        <v>26</v>
      </c>
      <c r="C20" s="38" t="s">
        <v>55</v>
      </c>
      <c r="D20" s="30">
        <v>750000</v>
      </c>
      <c r="E20" s="30">
        <v>99975</v>
      </c>
      <c r="F20" s="31">
        <f t="shared" si="0"/>
        <v>849975</v>
      </c>
      <c r="G20" s="27">
        <v>60</v>
      </c>
      <c r="H20" s="54">
        <v>14166.25</v>
      </c>
      <c r="I20" s="33">
        <f t="shared" si="8"/>
        <v>1999.5</v>
      </c>
      <c r="J20" s="33">
        <f t="shared" si="9"/>
        <v>15000</v>
      </c>
      <c r="K20" s="33">
        <f t="shared" si="3"/>
        <v>83979</v>
      </c>
      <c r="L20" s="33">
        <f t="shared" si="4"/>
        <v>35991</v>
      </c>
      <c r="M20" s="29">
        <v>42</v>
      </c>
      <c r="N20" s="34">
        <f t="shared" si="5"/>
        <v>18</v>
      </c>
      <c r="O20" s="35">
        <f t="shared" si="6"/>
        <v>594982.5</v>
      </c>
      <c r="P20" s="36">
        <f t="shared" si="7"/>
        <v>254992.5</v>
      </c>
      <c r="Q20" s="43"/>
      <c r="R20" s="65">
        <v>44287</v>
      </c>
      <c r="S20" s="18">
        <v>46112</v>
      </c>
      <c r="Y20" s="99"/>
      <c r="AB20" s="95"/>
    </row>
    <row r="21" spans="1:28" ht="21" x14ac:dyDescent="0.35">
      <c r="A21" s="108">
        <v>17</v>
      </c>
      <c r="B21" s="28" t="s">
        <v>26</v>
      </c>
      <c r="C21" s="38" t="s">
        <v>56</v>
      </c>
      <c r="D21" s="30">
        <v>750000</v>
      </c>
      <c r="E21" s="30">
        <v>99975</v>
      </c>
      <c r="F21" s="31">
        <f t="shared" si="0"/>
        <v>849975</v>
      </c>
      <c r="G21" s="27">
        <v>60</v>
      </c>
      <c r="H21" s="54">
        <v>14166.25</v>
      </c>
      <c r="I21" s="33">
        <f t="shared" si="8"/>
        <v>1999.5</v>
      </c>
      <c r="J21" s="33">
        <f t="shared" si="9"/>
        <v>15000</v>
      </c>
      <c r="K21" s="33">
        <f t="shared" si="3"/>
        <v>83979</v>
      </c>
      <c r="L21" s="33">
        <f t="shared" si="4"/>
        <v>35991</v>
      </c>
      <c r="M21" s="29">
        <v>42</v>
      </c>
      <c r="N21" s="34">
        <f t="shared" si="5"/>
        <v>18</v>
      </c>
      <c r="O21" s="35">
        <f t="shared" si="6"/>
        <v>594982.5</v>
      </c>
      <c r="P21" s="36">
        <f t="shared" si="7"/>
        <v>254992.5</v>
      </c>
      <c r="Q21" s="43"/>
      <c r="R21" s="65">
        <v>44287</v>
      </c>
      <c r="S21" s="18">
        <v>46112</v>
      </c>
      <c r="Y21" s="99"/>
      <c r="AB21" s="95"/>
    </row>
    <row r="22" spans="1:28" ht="21" x14ac:dyDescent="0.35">
      <c r="A22" s="108">
        <v>18</v>
      </c>
      <c r="B22" s="28" t="s">
        <v>26</v>
      </c>
      <c r="C22" s="38" t="s">
        <v>57</v>
      </c>
      <c r="D22" s="30">
        <v>750000</v>
      </c>
      <c r="E22" s="30">
        <v>99975</v>
      </c>
      <c r="F22" s="31">
        <f t="shared" si="0"/>
        <v>849975</v>
      </c>
      <c r="G22" s="27">
        <v>60</v>
      </c>
      <c r="H22" s="54">
        <v>14166.25</v>
      </c>
      <c r="I22" s="33">
        <f t="shared" si="8"/>
        <v>1999.5</v>
      </c>
      <c r="J22" s="33">
        <f t="shared" si="9"/>
        <v>15000</v>
      </c>
      <c r="K22" s="33">
        <f t="shared" si="3"/>
        <v>83979</v>
      </c>
      <c r="L22" s="33">
        <f t="shared" si="4"/>
        <v>35991</v>
      </c>
      <c r="M22" s="29">
        <v>42</v>
      </c>
      <c r="N22" s="34">
        <f t="shared" si="5"/>
        <v>18</v>
      </c>
      <c r="O22" s="35">
        <f t="shared" si="6"/>
        <v>594982.5</v>
      </c>
      <c r="P22" s="36">
        <f t="shared" si="7"/>
        <v>254992.5</v>
      </c>
      <c r="Q22" s="43"/>
      <c r="R22" s="65">
        <v>44287</v>
      </c>
      <c r="S22" s="18">
        <v>46112</v>
      </c>
      <c r="Y22" s="99"/>
      <c r="AB22" s="95"/>
    </row>
    <row r="23" spans="1:28" ht="21" x14ac:dyDescent="0.35">
      <c r="A23" s="108">
        <v>19</v>
      </c>
      <c r="B23" s="28" t="s">
        <v>26</v>
      </c>
      <c r="C23" s="38" t="s">
        <v>58</v>
      </c>
      <c r="D23" s="30">
        <v>750000</v>
      </c>
      <c r="E23" s="30">
        <v>99975</v>
      </c>
      <c r="F23" s="31">
        <f t="shared" si="0"/>
        <v>849975</v>
      </c>
      <c r="G23" s="27">
        <v>60</v>
      </c>
      <c r="H23" s="54">
        <v>14166.25</v>
      </c>
      <c r="I23" s="33">
        <f t="shared" si="8"/>
        <v>1999.5</v>
      </c>
      <c r="J23" s="33">
        <f t="shared" si="9"/>
        <v>15000</v>
      </c>
      <c r="K23" s="33">
        <f t="shared" si="3"/>
        <v>83979</v>
      </c>
      <c r="L23" s="33">
        <f t="shared" si="4"/>
        <v>35991</v>
      </c>
      <c r="M23" s="29">
        <v>42</v>
      </c>
      <c r="N23" s="34">
        <f t="shared" si="5"/>
        <v>18</v>
      </c>
      <c r="O23" s="35">
        <f t="shared" si="6"/>
        <v>594982.5</v>
      </c>
      <c r="P23" s="36">
        <f t="shared" si="7"/>
        <v>254992.5</v>
      </c>
      <c r="Q23" s="43"/>
      <c r="R23" s="65">
        <v>44287</v>
      </c>
      <c r="S23" s="18">
        <v>46112</v>
      </c>
      <c r="Y23" s="99"/>
      <c r="AB23" s="95"/>
    </row>
    <row r="24" spans="1:28" ht="21" x14ac:dyDescent="0.35">
      <c r="A24" s="108">
        <v>20</v>
      </c>
      <c r="B24" s="28" t="s">
        <v>26</v>
      </c>
      <c r="C24" s="38" t="s">
        <v>59</v>
      </c>
      <c r="D24" s="30">
        <v>450000</v>
      </c>
      <c r="E24" s="30">
        <v>59985</v>
      </c>
      <c r="F24" s="31">
        <f t="shared" si="0"/>
        <v>509985</v>
      </c>
      <c r="G24" s="27">
        <v>60</v>
      </c>
      <c r="H24" s="54">
        <v>8499.75</v>
      </c>
      <c r="I24" s="33">
        <f t="shared" si="8"/>
        <v>1199.7</v>
      </c>
      <c r="J24" s="33">
        <f t="shared" si="9"/>
        <v>9000</v>
      </c>
      <c r="K24" s="33">
        <f t="shared" si="3"/>
        <v>50387.4</v>
      </c>
      <c r="L24" s="33">
        <f t="shared" si="4"/>
        <v>21594.600000000002</v>
      </c>
      <c r="M24" s="29">
        <v>42</v>
      </c>
      <c r="N24" s="34">
        <f t="shared" si="5"/>
        <v>18</v>
      </c>
      <c r="O24" s="35">
        <f t="shared" si="6"/>
        <v>356989.5</v>
      </c>
      <c r="P24" s="36">
        <f t="shared" si="7"/>
        <v>152995.5</v>
      </c>
      <c r="Q24" s="43"/>
      <c r="R24" s="65">
        <v>44287</v>
      </c>
      <c r="S24" s="18">
        <v>46112</v>
      </c>
      <c r="Y24" s="99"/>
      <c r="AB24" s="95"/>
    </row>
    <row r="25" spans="1:28" ht="21" x14ac:dyDescent="0.35">
      <c r="A25" s="108">
        <v>21</v>
      </c>
      <c r="B25" s="28" t="s">
        <v>26</v>
      </c>
      <c r="C25" s="38" t="s">
        <v>60</v>
      </c>
      <c r="D25" s="30">
        <v>450000</v>
      </c>
      <c r="E25" s="30">
        <v>59985</v>
      </c>
      <c r="F25" s="31">
        <f t="shared" si="0"/>
        <v>509985</v>
      </c>
      <c r="G25" s="27">
        <v>60</v>
      </c>
      <c r="H25" s="54">
        <v>8499.75</v>
      </c>
      <c r="I25" s="33">
        <f t="shared" si="8"/>
        <v>1199.7</v>
      </c>
      <c r="J25" s="33">
        <f t="shared" si="9"/>
        <v>9000</v>
      </c>
      <c r="K25" s="33">
        <f t="shared" si="3"/>
        <v>50387.4</v>
      </c>
      <c r="L25" s="33">
        <f t="shared" si="4"/>
        <v>21594.600000000002</v>
      </c>
      <c r="M25" s="29">
        <v>42</v>
      </c>
      <c r="N25" s="34">
        <f t="shared" si="5"/>
        <v>18</v>
      </c>
      <c r="O25" s="35">
        <f t="shared" si="6"/>
        <v>356989.5</v>
      </c>
      <c r="P25" s="36">
        <f t="shared" si="7"/>
        <v>152995.5</v>
      </c>
      <c r="Q25" s="43"/>
      <c r="R25" s="65">
        <v>44287</v>
      </c>
      <c r="S25" s="18">
        <v>46112</v>
      </c>
      <c r="Y25" s="99"/>
      <c r="AB25" s="95"/>
    </row>
    <row r="26" spans="1:28" ht="21" x14ac:dyDescent="0.35">
      <c r="A26" s="108">
        <v>22</v>
      </c>
      <c r="B26" s="28" t="s">
        <v>26</v>
      </c>
      <c r="C26" s="38" t="s">
        <v>61</v>
      </c>
      <c r="D26" s="30">
        <v>750000</v>
      </c>
      <c r="E26" s="30">
        <v>99975</v>
      </c>
      <c r="F26" s="31">
        <f t="shared" si="0"/>
        <v>849975</v>
      </c>
      <c r="G26" s="27">
        <v>60</v>
      </c>
      <c r="H26" s="54">
        <v>14166.25</v>
      </c>
      <c r="I26" s="33">
        <f t="shared" si="8"/>
        <v>1999.5</v>
      </c>
      <c r="J26" s="33">
        <f t="shared" si="9"/>
        <v>15000</v>
      </c>
      <c r="K26" s="33">
        <f t="shared" si="3"/>
        <v>83979</v>
      </c>
      <c r="L26" s="33">
        <f t="shared" si="4"/>
        <v>35991</v>
      </c>
      <c r="M26" s="29">
        <v>42</v>
      </c>
      <c r="N26" s="34">
        <f t="shared" si="5"/>
        <v>18</v>
      </c>
      <c r="O26" s="35">
        <f t="shared" si="6"/>
        <v>594982.5</v>
      </c>
      <c r="P26" s="36">
        <f t="shared" si="7"/>
        <v>254992.5</v>
      </c>
      <c r="Q26" s="43"/>
      <c r="R26" s="65">
        <v>44287</v>
      </c>
      <c r="S26" s="18">
        <v>46112</v>
      </c>
      <c r="Y26" s="99"/>
      <c r="AB26" s="95"/>
    </row>
    <row r="27" spans="1:28" ht="21" x14ac:dyDescent="0.35">
      <c r="A27" s="108">
        <v>23</v>
      </c>
      <c r="B27" s="28" t="s">
        <v>26</v>
      </c>
      <c r="C27" s="38" t="s">
        <v>62</v>
      </c>
      <c r="D27" s="30">
        <v>450000</v>
      </c>
      <c r="E27" s="30">
        <v>59985</v>
      </c>
      <c r="F27" s="31">
        <f t="shared" si="0"/>
        <v>509985</v>
      </c>
      <c r="G27" s="27">
        <v>60</v>
      </c>
      <c r="H27" s="54">
        <v>8499.75</v>
      </c>
      <c r="I27" s="33">
        <f t="shared" si="8"/>
        <v>1199.7</v>
      </c>
      <c r="J27" s="33">
        <f t="shared" si="9"/>
        <v>9000</v>
      </c>
      <c r="K27" s="33">
        <f t="shared" si="3"/>
        <v>50387.4</v>
      </c>
      <c r="L27" s="33">
        <f t="shared" si="4"/>
        <v>21594.600000000002</v>
      </c>
      <c r="M27" s="29">
        <v>42</v>
      </c>
      <c r="N27" s="34">
        <f t="shared" si="5"/>
        <v>18</v>
      </c>
      <c r="O27" s="35">
        <f t="shared" si="6"/>
        <v>356989.5</v>
      </c>
      <c r="P27" s="36">
        <f t="shared" si="7"/>
        <v>152995.5</v>
      </c>
      <c r="Q27" s="43"/>
      <c r="R27" s="65">
        <v>44287</v>
      </c>
      <c r="S27" s="18">
        <v>46112</v>
      </c>
      <c r="Y27" s="99"/>
      <c r="AB27" s="95"/>
    </row>
    <row r="28" spans="1:28" ht="21" x14ac:dyDescent="0.35">
      <c r="A28" s="108">
        <v>24</v>
      </c>
      <c r="B28" s="28" t="s">
        <v>26</v>
      </c>
      <c r="C28" s="38" t="s">
        <v>63</v>
      </c>
      <c r="D28" s="30">
        <v>600000</v>
      </c>
      <c r="E28" s="30">
        <v>79980</v>
      </c>
      <c r="F28" s="31">
        <f t="shared" si="0"/>
        <v>679980</v>
      </c>
      <c r="G28" s="27">
        <v>60</v>
      </c>
      <c r="H28" s="54">
        <v>11333</v>
      </c>
      <c r="I28" s="33">
        <f t="shared" si="8"/>
        <v>1599.6</v>
      </c>
      <c r="J28" s="33">
        <f t="shared" si="9"/>
        <v>12000</v>
      </c>
      <c r="K28" s="33">
        <f t="shared" si="3"/>
        <v>67183.199999999997</v>
      </c>
      <c r="L28" s="33">
        <f t="shared" si="4"/>
        <v>28792.799999999999</v>
      </c>
      <c r="M28" s="29">
        <v>42</v>
      </c>
      <c r="N28" s="34">
        <f t="shared" si="5"/>
        <v>18</v>
      </c>
      <c r="O28" s="35">
        <f t="shared" si="6"/>
        <v>475986</v>
      </c>
      <c r="P28" s="36">
        <f t="shared" si="7"/>
        <v>203994</v>
      </c>
      <c r="Q28" s="43"/>
      <c r="R28" s="65">
        <v>44287</v>
      </c>
      <c r="S28" s="18">
        <v>46112</v>
      </c>
      <c r="Y28" s="99"/>
      <c r="AB28" s="95"/>
    </row>
    <row r="29" spans="1:28" ht="21" x14ac:dyDescent="0.35">
      <c r="A29" s="108">
        <v>25</v>
      </c>
      <c r="B29" s="28" t="s">
        <v>26</v>
      </c>
      <c r="C29" s="38" t="s">
        <v>64</v>
      </c>
      <c r="D29" s="30">
        <v>600000</v>
      </c>
      <c r="E29" s="30">
        <v>79980</v>
      </c>
      <c r="F29" s="31">
        <f t="shared" si="0"/>
        <v>679980</v>
      </c>
      <c r="G29" s="27">
        <v>60</v>
      </c>
      <c r="H29" s="54">
        <v>11333</v>
      </c>
      <c r="I29" s="33">
        <f t="shared" si="8"/>
        <v>1599.6</v>
      </c>
      <c r="J29" s="33">
        <f t="shared" si="9"/>
        <v>12000</v>
      </c>
      <c r="K29" s="33">
        <f t="shared" si="3"/>
        <v>67183.199999999997</v>
      </c>
      <c r="L29" s="33">
        <f t="shared" si="4"/>
        <v>28792.799999999999</v>
      </c>
      <c r="M29" s="29">
        <v>42</v>
      </c>
      <c r="N29" s="34">
        <f t="shared" si="5"/>
        <v>18</v>
      </c>
      <c r="O29" s="35">
        <f t="shared" si="6"/>
        <v>475986</v>
      </c>
      <c r="P29" s="36">
        <f t="shared" si="7"/>
        <v>203994</v>
      </c>
      <c r="Q29" s="43"/>
      <c r="R29" s="65">
        <v>44287</v>
      </c>
      <c r="S29" s="18">
        <v>46112</v>
      </c>
      <c r="Y29" s="99"/>
      <c r="AB29" s="95"/>
    </row>
    <row r="30" spans="1:28" ht="21" x14ac:dyDescent="0.35">
      <c r="A30" s="108">
        <v>26</v>
      </c>
      <c r="B30" s="28" t="s">
        <v>26</v>
      </c>
      <c r="C30" s="38" t="s">
        <v>65</v>
      </c>
      <c r="D30" s="30">
        <v>450000</v>
      </c>
      <c r="E30" s="30">
        <v>59985</v>
      </c>
      <c r="F30" s="31">
        <f t="shared" si="0"/>
        <v>509985</v>
      </c>
      <c r="G30" s="27">
        <v>60</v>
      </c>
      <c r="H30" s="54">
        <v>8499.75</v>
      </c>
      <c r="I30" s="33">
        <f t="shared" si="8"/>
        <v>1199.7</v>
      </c>
      <c r="J30" s="33">
        <f t="shared" si="9"/>
        <v>9000</v>
      </c>
      <c r="K30" s="33">
        <f t="shared" si="3"/>
        <v>69582.600000000006</v>
      </c>
      <c r="L30" s="33">
        <f t="shared" si="4"/>
        <v>2399.4</v>
      </c>
      <c r="M30" s="29">
        <v>58</v>
      </c>
      <c r="N30" s="34">
        <f t="shared" si="5"/>
        <v>2</v>
      </c>
      <c r="O30" s="35">
        <f t="shared" si="6"/>
        <v>492985.5</v>
      </c>
      <c r="P30" s="36">
        <f t="shared" si="7"/>
        <v>16999.5</v>
      </c>
      <c r="Q30" s="21"/>
      <c r="R30" s="65">
        <v>43800</v>
      </c>
      <c r="S30" s="18">
        <v>45626</v>
      </c>
      <c r="Y30" s="99"/>
      <c r="AB30" s="95"/>
    </row>
    <row r="31" spans="1:28" ht="21" x14ac:dyDescent="0.35">
      <c r="A31" s="108">
        <v>27</v>
      </c>
      <c r="B31" s="28" t="s">
        <v>26</v>
      </c>
      <c r="C31" s="66" t="s">
        <v>14</v>
      </c>
      <c r="D31" s="30">
        <v>750000</v>
      </c>
      <c r="E31" s="30">
        <v>99975</v>
      </c>
      <c r="F31" s="31">
        <f t="shared" si="0"/>
        <v>849975</v>
      </c>
      <c r="G31" s="27">
        <v>60</v>
      </c>
      <c r="H31" s="54">
        <v>14166.25</v>
      </c>
      <c r="I31" s="33">
        <f t="shared" si="8"/>
        <v>1999.5</v>
      </c>
      <c r="J31" s="33">
        <f t="shared" si="9"/>
        <v>15000</v>
      </c>
      <c r="K31" s="33">
        <f t="shared" si="3"/>
        <v>75981</v>
      </c>
      <c r="L31" s="33">
        <f t="shared" si="4"/>
        <v>43989</v>
      </c>
      <c r="M31" s="29">
        <v>38</v>
      </c>
      <c r="N31" s="34">
        <f t="shared" si="5"/>
        <v>22</v>
      </c>
      <c r="O31" s="35">
        <f t="shared" si="6"/>
        <v>538317.5</v>
      </c>
      <c r="P31" s="36">
        <f t="shared" si="7"/>
        <v>311657.5</v>
      </c>
      <c r="Q31" s="43"/>
      <c r="R31" s="67">
        <v>44409</v>
      </c>
      <c r="S31" s="67">
        <v>46234</v>
      </c>
      <c r="Y31" s="99"/>
      <c r="AB31" s="95"/>
    </row>
    <row r="32" spans="1:28" ht="21" x14ac:dyDescent="0.35">
      <c r="A32" s="108">
        <v>28</v>
      </c>
      <c r="B32" s="28" t="s">
        <v>26</v>
      </c>
      <c r="C32" s="66" t="s">
        <v>19</v>
      </c>
      <c r="D32" s="30">
        <v>250000</v>
      </c>
      <c r="E32" s="30">
        <v>33225</v>
      </c>
      <c r="F32" s="31">
        <f t="shared" si="0"/>
        <v>283225</v>
      </c>
      <c r="G32" s="27">
        <v>60</v>
      </c>
      <c r="H32" s="54">
        <v>4722.08</v>
      </c>
      <c r="I32" s="33">
        <f t="shared" si="8"/>
        <v>664.5</v>
      </c>
      <c r="J32" s="33">
        <f t="shared" si="9"/>
        <v>5000</v>
      </c>
      <c r="K32" s="33">
        <f t="shared" si="3"/>
        <v>25251</v>
      </c>
      <c r="L32" s="33">
        <f t="shared" si="4"/>
        <v>14619</v>
      </c>
      <c r="M32" s="29">
        <v>38</v>
      </c>
      <c r="N32" s="34">
        <f t="shared" si="5"/>
        <v>22</v>
      </c>
      <c r="O32" s="35">
        <f t="shared" si="6"/>
        <v>179439.04</v>
      </c>
      <c r="P32" s="36">
        <f t="shared" si="7"/>
        <v>103885.75999999999</v>
      </c>
      <c r="Q32" s="43"/>
      <c r="R32" s="67">
        <v>44409</v>
      </c>
      <c r="S32" s="67">
        <v>46234</v>
      </c>
      <c r="Y32" s="99"/>
      <c r="AB32" s="95"/>
    </row>
    <row r="33" spans="1:28" ht="21" x14ac:dyDescent="0.35">
      <c r="A33" s="108">
        <v>29</v>
      </c>
      <c r="B33" s="28" t="s">
        <v>26</v>
      </c>
      <c r="C33" s="66" t="s">
        <v>71</v>
      </c>
      <c r="D33" s="30">
        <v>750000</v>
      </c>
      <c r="E33" s="30">
        <v>99975</v>
      </c>
      <c r="F33" s="31">
        <f t="shared" si="0"/>
        <v>849975</v>
      </c>
      <c r="G33" s="27">
        <v>50</v>
      </c>
      <c r="H33" s="54">
        <v>16666.25</v>
      </c>
      <c r="I33" s="33">
        <f t="shared" si="8"/>
        <v>1999.5</v>
      </c>
      <c r="J33" s="33">
        <f t="shared" si="9"/>
        <v>15000</v>
      </c>
      <c r="K33" s="33">
        <f t="shared" si="3"/>
        <v>75981</v>
      </c>
      <c r="L33" s="33">
        <f t="shared" si="4"/>
        <v>23994</v>
      </c>
      <c r="M33" s="29">
        <v>38</v>
      </c>
      <c r="N33" s="34">
        <f t="shared" si="5"/>
        <v>12</v>
      </c>
      <c r="O33" s="35">
        <f t="shared" si="6"/>
        <v>633317.5</v>
      </c>
      <c r="P33" s="36">
        <f t="shared" si="7"/>
        <v>199995</v>
      </c>
      <c r="Q33" s="43"/>
      <c r="R33" s="67">
        <v>44409</v>
      </c>
      <c r="S33" s="67">
        <v>45930</v>
      </c>
      <c r="Y33" s="99"/>
      <c r="AB33" s="95"/>
    </row>
    <row r="34" spans="1:28" ht="21" x14ac:dyDescent="0.35">
      <c r="A34" s="108">
        <v>30</v>
      </c>
      <c r="B34" s="28" t="s">
        <v>26</v>
      </c>
      <c r="C34" s="66" t="s">
        <v>73</v>
      </c>
      <c r="D34" s="30">
        <v>750000</v>
      </c>
      <c r="E34" s="30">
        <v>99975</v>
      </c>
      <c r="F34" s="31">
        <f t="shared" si="0"/>
        <v>849975</v>
      </c>
      <c r="G34" s="27">
        <v>60</v>
      </c>
      <c r="H34" s="54">
        <v>16666.25</v>
      </c>
      <c r="I34" s="33">
        <f t="shared" si="8"/>
        <v>1999.5</v>
      </c>
      <c r="J34" s="33">
        <f t="shared" si="9"/>
        <v>15000</v>
      </c>
      <c r="K34" s="33">
        <f t="shared" si="3"/>
        <v>75981</v>
      </c>
      <c r="L34" s="33">
        <f t="shared" si="4"/>
        <v>43989</v>
      </c>
      <c r="M34" s="29">
        <v>38</v>
      </c>
      <c r="N34" s="34">
        <f t="shared" si="5"/>
        <v>22</v>
      </c>
      <c r="O34" s="35">
        <f t="shared" si="6"/>
        <v>633317.5</v>
      </c>
      <c r="P34" s="36">
        <f t="shared" si="7"/>
        <v>366657.5</v>
      </c>
      <c r="Q34" s="43"/>
      <c r="R34" s="67">
        <v>44409</v>
      </c>
      <c r="S34" s="67">
        <v>46234</v>
      </c>
      <c r="Y34" s="99"/>
      <c r="AB34" s="95"/>
    </row>
    <row r="35" spans="1:28" ht="21" x14ac:dyDescent="0.35">
      <c r="A35" s="108">
        <v>31</v>
      </c>
      <c r="B35" s="28" t="s">
        <v>26</v>
      </c>
      <c r="C35" s="66" t="s">
        <v>74</v>
      </c>
      <c r="D35" s="30">
        <v>250000</v>
      </c>
      <c r="E35" s="30">
        <v>33225</v>
      </c>
      <c r="F35" s="31">
        <f t="shared" si="0"/>
        <v>283225</v>
      </c>
      <c r="G35" s="27">
        <v>60</v>
      </c>
      <c r="H35" s="54">
        <v>4722.08</v>
      </c>
      <c r="I35" s="33">
        <f t="shared" si="8"/>
        <v>664.5</v>
      </c>
      <c r="J35" s="33">
        <f t="shared" si="9"/>
        <v>5000</v>
      </c>
      <c r="K35" s="33">
        <f t="shared" si="3"/>
        <v>25251</v>
      </c>
      <c r="L35" s="33">
        <f t="shared" si="4"/>
        <v>14619</v>
      </c>
      <c r="M35" s="29">
        <v>38</v>
      </c>
      <c r="N35" s="34">
        <f t="shared" si="5"/>
        <v>22</v>
      </c>
      <c r="O35" s="35">
        <f t="shared" si="6"/>
        <v>179439.04</v>
      </c>
      <c r="P35" s="36">
        <f t="shared" si="7"/>
        <v>103885.75999999999</v>
      </c>
      <c r="Q35" s="43"/>
      <c r="R35" s="67">
        <v>44409</v>
      </c>
      <c r="S35" s="67">
        <v>46234</v>
      </c>
      <c r="Y35" s="99"/>
      <c r="AB35" s="95"/>
    </row>
    <row r="36" spans="1:28" ht="21" x14ac:dyDescent="0.35">
      <c r="A36" s="108">
        <v>32</v>
      </c>
      <c r="B36" s="28" t="s">
        <v>26</v>
      </c>
      <c r="C36" s="66" t="s">
        <v>113</v>
      </c>
      <c r="D36" s="30">
        <v>450000</v>
      </c>
      <c r="E36" s="30">
        <v>49987.5</v>
      </c>
      <c r="F36" s="31">
        <f t="shared" si="0"/>
        <v>499987.5</v>
      </c>
      <c r="G36" s="27">
        <v>50</v>
      </c>
      <c r="H36" s="54">
        <v>9999.75</v>
      </c>
      <c r="I36" s="33">
        <f t="shared" si="8"/>
        <v>999.75</v>
      </c>
      <c r="J36" s="33">
        <f t="shared" si="9"/>
        <v>9000</v>
      </c>
      <c r="K36" s="33">
        <f t="shared" si="3"/>
        <v>37990.5</v>
      </c>
      <c r="L36" s="33">
        <f t="shared" si="4"/>
        <v>11997</v>
      </c>
      <c r="M36" s="29">
        <v>38</v>
      </c>
      <c r="N36" s="34">
        <f t="shared" si="5"/>
        <v>12</v>
      </c>
      <c r="O36" s="35">
        <f t="shared" si="6"/>
        <v>379990.5</v>
      </c>
      <c r="P36" s="36">
        <f t="shared" si="7"/>
        <v>119997</v>
      </c>
      <c r="Q36" s="43"/>
      <c r="R36" s="67">
        <v>44409</v>
      </c>
      <c r="S36" s="67">
        <v>45930</v>
      </c>
      <c r="Y36" s="99"/>
      <c r="AB36" s="95"/>
    </row>
    <row r="37" spans="1:28" ht="21" x14ac:dyDescent="0.35">
      <c r="A37" s="108">
        <v>33</v>
      </c>
      <c r="B37" s="28" t="s">
        <v>26</v>
      </c>
      <c r="C37" s="66" t="s">
        <v>75</v>
      </c>
      <c r="D37" s="30">
        <v>450000</v>
      </c>
      <c r="E37" s="30">
        <v>59985</v>
      </c>
      <c r="F37" s="31">
        <f t="shared" si="0"/>
        <v>509985</v>
      </c>
      <c r="G37" s="27">
        <v>60</v>
      </c>
      <c r="H37" s="54">
        <v>8499.75</v>
      </c>
      <c r="I37" s="33">
        <f t="shared" si="8"/>
        <v>1199.7</v>
      </c>
      <c r="J37" s="33">
        <f t="shared" si="9"/>
        <v>9000</v>
      </c>
      <c r="K37" s="33">
        <f t="shared" si="3"/>
        <v>45588.6</v>
      </c>
      <c r="L37" s="33">
        <f t="shared" si="4"/>
        <v>26393.4</v>
      </c>
      <c r="M37" s="29">
        <v>38</v>
      </c>
      <c r="N37" s="34">
        <f t="shared" si="5"/>
        <v>22</v>
      </c>
      <c r="O37" s="35">
        <f t="shared" si="6"/>
        <v>322990.5</v>
      </c>
      <c r="P37" s="36">
        <f t="shared" si="7"/>
        <v>186994.5</v>
      </c>
      <c r="Q37" s="43"/>
      <c r="R37" s="67">
        <v>44409</v>
      </c>
      <c r="S37" s="67">
        <v>46234</v>
      </c>
      <c r="Y37" s="99"/>
      <c r="AB37" s="95"/>
    </row>
    <row r="38" spans="1:28" ht="21" x14ac:dyDescent="0.35">
      <c r="A38" s="108">
        <v>34</v>
      </c>
      <c r="B38" s="28" t="s">
        <v>26</v>
      </c>
      <c r="C38" s="66" t="s">
        <v>76</v>
      </c>
      <c r="D38" s="30">
        <v>750000</v>
      </c>
      <c r="E38" s="30">
        <v>99975</v>
      </c>
      <c r="F38" s="31">
        <f t="shared" si="0"/>
        <v>849975</v>
      </c>
      <c r="G38" s="27">
        <v>60</v>
      </c>
      <c r="H38" s="54">
        <v>14166.25</v>
      </c>
      <c r="I38" s="33">
        <f t="shared" si="8"/>
        <v>1999.5</v>
      </c>
      <c r="J38" s="33">
        <f t="shared" si="9"/>
        <v>15000</v>
      </c>
      <c r="K38" s="33">
        <f t="shared" si="3"/>
        <v>75981</v>
      </c>
      <c r="L38" s="33">
        <f t="shared" si="4"/>
        <v>43989</v>
      </c>
      <c r="M38" s="29">
        <v>38</v>
      </c>
      <c r="N38" s="34">
        <f t="shared" si="5"/>
        <v>22</v>
      </c>
      <c r="O38" s="35">
        <f t="shared" si="6"/>
        <v>538317.5</v>
      </c>
      <c r="P38" s="36">
        <f t="shared" si="7"/>
        <v>311657.5</v>
      </c>
      <c r="Q38" s="43"/>
      <c r="R38" s="67">
        <v>44409</v>
      </c>
      <c r="S38" s="67">
        <v>46234</v>
      </c>
      <c r="Y38" s="99"/>
      <c r="AB38" s="95"/>
    </row>
    <row r="39" spans="1:28" ht="21" x14ac:dyDescent="0.35">
      <c r="A39" s="108">
        <v>35</v>
      </c>
      <c r="B39" s="28" t="s">
        <v>26</v>
      </c>
      <c r="C39" s="66" t="s">
        <v>77</v>
      </c>
      <c r="D39" s="30">
        <v>250000</v>
      </c>
      <c r="E39" s="30">
        <v>33225</v>
      </c>
      <c r="F39" s="31">
        <f t="shared" si="0"/>
        <v>283225</v>
      </c>
      <c r="G39" s="27">
        <v>60</v>
      </c>
      <c r="H39" s="54">
        <v>4722.08</v>
      </c>
      <c r="I39" s="33">
        <f t="shared" si="8"/>
        <v>664.5</v>
      </c>
      <c r="J39" s="33">
        <f t="shared" si="9"/>
        <v>5000</v>
      </c>
      <c r="K39" s="33">
        <f t="shared" si="3"/>
        <v>25251</v>
      </c>
      <c r="L39" s="33">
        <f t="shared" si="4"/>
        <v>14619</v>
      </c>
      <c r="M39" s="29">
        <v>38</v>
      </c>
      <c r="N39" s="34">
        <f t="shared" si="5"/>
        <v>22</v>
      </c>
      <c r="O39" s="35">
        <f t="shared" si="6"/>
        <v>179439.04</v>
      </c>
      <c r="P39" s="36">
        <f t="shared" si="7"/>
        <v>103885.75999999999</v>
      </c>
      <c r="Q39" s="43"/>
      <c r="R39" s="67">
        <v>44409</v>
      </c>
      <c r="S39" s="67">
        <v>46234</v>
      </c>
      <c r="Y39" s="99"/>
      <c r="AB39" s="95"/>
    </row>
    <row r="40" spans="1:28" ht="21" x14ac:dyDescent="0.35">
      <c r="A40" s="108">
        <v>36</v>
      </c>
      <c r="B40" s="28" t="s">
        <v>26</v>
      </c>
      <c r="C40" s="66" t="s">
        <v>79</v>
      </c>
      <c r="D40" s="30">
        <v>450000</v>
      </c>
      <c r="E40" s="30">
        <v>59985</v>
      </c>
      <c r="F40" s="31">
        <f t="shared" si="0"/>
        <v>509985</v>
      </c>
      <c r="G40" s="27">
        <v>60</v>
      </c>
      <c r="H40" s="54">
        <v>8499.75</v>
      </c>
      <c r="I40" s="33">
        <f t="shared" si="8"/>
        <v>1199.7</v>
      </c>
      <c r="J40" s="33">
        <f t="shared" si="9"/>
        <v>9000</v>
      </c>
      <c r="K40" s="33">
        <f t="shared" si="3"/>
        <v>45588.6</v>
      </c>
      <c r="L40" s="33">
        <f t="shared" si="4"/>
        <v>26393.4</v>
      </c>
      <c r="M40" s="29">
        <v>38</v>
      </c>
      <c r="N40" s="34">
        <f t="shared" si="5"/>
        <v>22</v>
      </c>
      <c r="O40" s="35">
        <f t="shared" si="6"/>
        <v>322990.5</v>
      </c>
      <c r="P40" s="36">
        <f t="shared" si="7"/>
        <v>186994.5</v>
      </c>
      <c r="Q40" s="43"/>
      <c r="R40" s="67">
        <v>44409</v>
      </c>
      <c r="S40" s="67">
        <v>46234</v>
      </c>
      <c r="Y40" s="99"/>
      <c r="AB40" s="95"/>
    </row>
    <row r="41" spans="1:28" ht="21" x14ac:dyDescent="0.35">
      <c r="A41" s="108">
        <v>37</v>
      </c>
      <c r="B41" s="28" t="s">
        <v>26</v>
      </c>
      <c r="C41" s="66" t="s">
        <v>81</v>
      </c>
      <c r="D41" s="30">
        <v>250000</v>
      </c>
      <c r="E41" s="30">
        <v>33225</v>
      </c>
      <c r="F41" s="31">
        <f t="shared" si="0"/>
        <v>283225</v>
      </c>
      <c r="G41" s="27">
        <v>60</v>
      </c>
      <c r="H41" s="54">
        <v>4722.09</v>
      </c>
      <c r="I41" s="33">
        <f t="shared" si="8"/>
        <v>664.5</v>
      </c>
      <c r="J41" s="33">
        <f t="shared" si="9"/>
        <v>5000</v>
      </c>
      <c r="K41" s="33">
        <f t="shared" si="3"/>
        <v>25251</v>
      </c>
      <c r="L41" s="33">
        <f t="shared" si="4"/>
        <v>14619</v>
      </c>
      <c r="M41" s="29">
        <v>38</v>
      </c>
      <c r="N41" s="34">
        <f t="shared" si="5"/>
        <v>22</v>
      </c>
      <c r="O41" s="35">
        <f t="shared" si="6"/>
        <v>179439.42</v>
      </c>
      <c r="P41" s="36">
        <f t="shared" si="7"/>
        <v>103885.98000000001</v>
      </c>
      <c r="Q41" s="43"/>
      <c r="R41" s="67">
        <v>44409</v>
      </c>
      <c r="S41" s="67">
        <v>46234</v>
      </c>
      <c r="Y41" s="99"/>
      <c r="AB41" s="95"/>
    </row>
    <row r="42" spans="1:28" ht="21" x14ac:dyDescent="0.35">
      <c r="A42" s="108">
        <v>38</v>
      </c>
      <c r="B42" s="28" t="s">
        <v>26</v>
      </c>
      <c r="C42" s="66" t="s">
        <v>84</v>
      </c>
      <c r="D42" s="30">
        <v>750000</v>
      </c>
      <c r="E42" s="30">
        <v>99975</v>
      </c>
      <c r="F42" s="31">
        <f t="shared" si="0"/>
        <v>849975</v>
      </c>
      <c r="G42" s="27">
        <v>60</v>
      </c>
      <c r="H42" s="40">
        <v>14166.25</v>
      </c>
      <c r="I42" s="33">
        <f t="shared" si="8"/>
        <v>1999.5</v>
      </c>
      <c r="J42" s="33">
        <f t="shared" si="9"/>
        <v>15000</v>
      </c>
      <c r="K42" s="33">
        <f t="shared" si="3"/>
        <v>19995</v>
      </c>
      <c r="L42" s="33">
        <f t="shared" si="4"/>
        <v>99975</v>
      </c>
      <c r="M42" s="55">
        <v>10</v>
      </c>
      <c r="N42" s="34">
        <f t="shared" si="5"/>
        <v>50</v>
      </c>
      <c r="O42" s="35">
        <f t="shared" si="6"/>
        <v>141662.5</v>
      </c>
      <c r="P42" s="36">
        <f t="shared" si="7"/>
        <v>708312.5</v>
      </c>
      <c r="Q42" s="71"/>
      <c r="R42" s="64">
        <v>44012</v>
      </c>
      <c r="S42" s="18">
        <v>45869</v>
      </c>
      <c r="Y42" s="99"/>
      <c r="AB42" s="95"/>
    </row>
    <row r="43" spans="1:28" ht="21" x14ac:dyDescent="0.35">
      <c r="A43" s="108">
        <v>39</v>
      </c>
      <c r="B43" s="28" t="s">
        <v>26</v>
      </c>
      <c r="C43" s="66" t="s">
        <v>85</v>
      </c>
      <c r="D43" s="30">
        <v>600000</v>
      </c>
      <c r="E43" s="30">
        <v>79980</v>
      </c>
      <c r="F43" s="31">
        <f t="shared" si="0"/>
        <v>679980</v>
      </c>
      <c r="G43" s="27">
        <v>60</v>
      </c>
      <c r="H43" s="40">
        <v>11333</v>
      </c>
      <c r="I43" s="33">
        <f t="shared" si="8"/>
        <v>1599.6</v>
      </c>
      <c r="J43" s="33">
        <f t="shared" si="9"/>
        <v>12000</v>
      </c>
      <c r="K43" s="33">
        <f t="shared" si="3"/>
        <v>57585.599999999999</v>
      </c>
      <c r="L43" s="33">
        <f t="shared" si="4"/>
        <v>38390.399999999994</v>
      </c>
      <c r="M43" s="55">
        <v>36</v>
      </c>
      <c r="N43" s="34">
        <f t="shared" si="5"/>
        <v>24</v>
      </c>
      <c r="O43" s="35">
        <f t="shared" si="6"/>
        <v>407988</v>
      </c>
      <c r="P43" s="36">
        <f t="shared" si="7"/>
        <v>271992</v>
      </c>
      <c r="Q43" s="43"/>
      <c r="R43" s="64">
        <v>44470</v>
      </c>
      <c r="S43" s="18">
        <v>46295</v>
      </c>
      <c r="Y43" s="99"/>
      <c r="AB43" s="95"/>
    </row>
    <row r="44" spans="1:28" ht="21" x14ac:dyDescent="0.35">
      <c r="A44" s="108">
        <v>40</v>
      </c>
      <c r="B44" s="28" t="s">
        <v>26</v>
      </c>
      <c r="C44" s="66" t="s">
        <v>87</v>
      </c>
      <c r="D44" s="30">
        <v>450000</v>
      </c>
      <c r="E44" s="30">
        <v>39990</v>
      </c>
      <c r="F44" s="31">
        <v>489990</v>
      </c>
      <c r="G44" s="27">
        <v>40</v>
      </c>
      <c r="H44" s="40">
        <v>12249.75</v>
      </c>
      <c r="I44" s="33">
        <f t="shared" si="8"/>
        <v>799.8</v>
      </c>
      <c r="J44" s="33">
        <f t="shared" si="9"/>
        <v>9000</v>
      </c>
      <c r="K44" s="33">
        <f t="shared" si="3"/>
        <v>28792.799999999999</v>
      </c>
      <c r="L44" s="33">
        <f t="shared" si="4"/>
        <v>3199.2</v>
      </c>
      <c r="M44" s="55">
        <v>36</v>
      </c>
      <c r="N44" s="34">
        <f t="shared" si="5"/>
        <v>4</v>
      </c>
      <c r="O44" s="35">
        <f t="shared" si="6"/>
        <v>440991</v>
      </c>
      <c r="P44" s="36">
        <f t="shared" si="7"/>
        <v>48999</v>
      </c>
      <c r="Q44" s="43"/>
      <c r="R44" s="64">
        <v>44470</v>
      </c>
      <c r="S44" s="18">
        <v>45688</v>
      </c>
      <c r="Y44" s="99"/>
      <c r="AB44" s="95"/>
    </row>
    <row r="45" spans="1:28" ht="21" x14ac:dyDescent="0.35">
      <c r="A45" s="108">
        <v>41</v>
      </c>
      <c r="B45" s="28" t="s">
        <v>26</v>
      </c>
      <c r="C45" s="66" t="s">
        <v>88</v>
      </c>
      <c r="D45" s="30">
        <v>450000</v>
      </c>
      <c r="E45" s="30">
        <v>59985</v>
      </c>
      <c r="F45" s="31">
        <f t="shared" si="0"/>
        <v>509985</v>
      </c>
      <c r="G45" s="27">
        <v>60</v>
      </c>
      <c r="H45" s="40">
        <v>8499.75</v>
      </c>
      <c r="I45" s="33">
        <f t="shared" si="8"/>
        <v>1199.7</v>
      </c>
      <c r="J45" s="33">
        <f t="shared" si="9"/>
        <v>9000</v>
      </c>
      <c r="K45" s="33">
        <f t="shared" si="3"/>
        <v>43189.200000000004</v>
      </c>
      <c r="L45" s="33">
        <f t="shared" si="4"/>
        <v>28792.800000000003</v>
      </c>
      <c r="M45" s="55">
        <v>36</v>
      </c>
      <c r="N45" s="34">
        <f t="shared" si="5"/>
        <v>24</v>
      </c>
      <c r="O45" s="35">
        <f t="shared" si="6"/>
        <v>305991</v>
      </c>
      <c r="P45" s="36">
        <f t="shared" si="7"/>
        <v>203994</v>
      </c>
      <c r="Q45" s="43"/>
      <c r="R45" s="64">
        <v>44470</v>
      </c>
      <c r="S45" s="18">
        <v>46295</v>
      </c>
      <c r="Y45" s="99"/>
      <c r="AB45" s="95"/>
    </row>
    <row r="46" spans="1:28" ht="21" x14ac:dyDescent="0.35">
      <c r="A46" s="108">
        <v>42</v>
      </c>
      <c r="B46" s="28" t="s">
        <v>26</v>
      </c>
      <c r="C46" s="66" t="s">
        <v>89</v>
      </c>
      <c r="D46" s="30">
        <v>250000</v>
      </c>
      <c r="E46" s="30">
        <v>27771</v>
      </c>
      <c r="F46" s="31">
        <v>277771</v>
      </c>
      <c r="G46" s="27">
        <v>50</v>
      </c>
      <c r="H46" s="40">
        <v>5555.42</v>
      </c>
      <c r="I46" s="33">
        <f t="shared" si="8"/>
        <v>555.41999999999996</v>
      </c>
      <c r="J46" s="33">
        <f t="shared" si="9"/>
        <v>5000</v>
      </c>
      <c r="K46" s="33">
        <f t="shared" si="3"/>
        <v>19995.12</v>
      </c>
      <c r="L46" s="33">
        <f t="shared" si="4"/>
        <v>7775.8799999999992</v>
      </c>
      <c r="M46" s="55">
        <v>36</v>
      </c>
      <c r="N46" s="34">
        <f t="shared" si="5"/>
        <v>14</v>
      </c>
      <c r="O46" s="35">
        <f t="shared" si="6"/>
        <v>199995.12</v>
      </c>
      <c r="P46" s="36">
        <f t="shared" si="7"/>
        <v>77775.88</v>
      </c>
      <c r="Q46" s="43"/>
      <c r="R46" s="64">
        <v>44470</v>
      </c>
      <c r="S46" s="18">
        <v>45991</v>
      </c>
      <c r="Y46" s="99"/>
      <c r="AB46" s="95"/>
    </row>
    <row r="47" spans="1:28" ht="21" x14ac:dyDescent="0.35">
      <c r="A47" s="108">
        <v>43</v>
      </c>
      <c r="B47" s="28" t="s">
        <v>26</v>
      </c>
      <c r="C47" s="66" t="s">
        <v>90</v>
      </c>
      <c r="D47" s="30">
        <v>450000</v>
      </c>
      <c r="E47" s="30">
        <v>59985</v>
      </c>
      <c r="F47" s="31">
        <f t="shared" si="0"/>
        <v>509985</v>
      </c>
      <c r="G47" s="27">
        <v>60</v>
      </c>
      <c r="H47" s="40">
        <v>8499.75</v>
      </c>
      <c r="I47" s="33">
        <f t="shared" si="8"/>
        <v>1199.7</v>
      </c>
      <c r="J47" s="33">
        <f t="shared" si="9"/>
        <v>9000</v>
      </c>
      <c r="K47" s="33">
        <f t="shared" si="3"/>
        <v>43189.200000000004</v>
      </c>
      <c r="L47" s="33">
        <f t="shared" si="4"/>
        <v>28792.800000000003</v>
      </c>
      <c r="M47" s="55">
        <v>36</v>
      </c>
      <c r="N47" s="34">
        <f t="shared" si="5"/>
        <v>24</v>
      </c>
      <c r="O47" s="35">
        <f t="shared" si="6"/>
        <v>305991</v>
      </c>
      <c r="P47" s="36">
        <f t="shared" si="7"/>
        <v>203994</v>
      </c>
      <c r="Q47" s="43"/>
      <c r="R47" s="64">
        <v>44470</v>
      </c>
      <c r="S47" s="18">
        <v>46295</v>
      </c>
      <c r="Y47" s="99"/>
      <c r="AB47" s="95"/>
    </row>
    <row r="48" spans="1:28" ht="21" x14ac:dyDescent="0.35">
      <c r="A48" s="108">
        <v>44</v>
      </c>
      <c r="B48" s="28" t="s">
        <v>26</v>
      </c>
      <c r="C48" s="66" t="s">
        <v>91</v>
      </c>
      <c r="D48" s="30">
        <v>250000</v>
      </c>
      <c r="E48" s="30">
        <v>33225</v>
      </c>
      <c r="F48" s="31">
        <f t="shared" si="0"/>
        <v>283225</v>
      </c>
      <c r="G48" s="27">
        <v>60</v>
      </c>
      <c r="H48" s="102">
        <v>4722.08</v>
      </c>
      <c r="I48" s="33">
        <f t="shared" si="8"/>
        <v>664.5</v>
      </c>
      <c r="J48" s="33">
        <f t="shared" si="9"/>
        <v>5000</v>
      </c>
      <c r="K48" s="33">
        <f t="shared" si="3"/>
        <v>23922</v>
      </c>
      <c r="L48" s="33">
        <f t="shared" si="4"/>
        <v>15948</v>
      </c>
      <c r="M48" s="55">
        <v>36</v>
      </c>
      <c r="N48" s="34">
        <f t="shared" si="5"/>
        <v>24</v>
      </c>
      <c r="O48" s="35">
        <f t="shared" si="6"/>
        <v>169994.88</v>
      </c>
      <c r="P48" s="36">
        <f t="shared" si="7"/>
        <v>113329.92</v>
      </c>
      <c r="Q48" s="71"/>
      <c r="R48" s="64">
        <v>44470</v>
      </c>
      <c r="S48" s="18">
        <v>46295</v>
      </c>
      <c r="Y48" s="99"/>
      <c r="AB48" s="95"/>
    </row>
    <row r="49" spans="1:28" ht="21" x14ac:dyDescent="0.35">
      <c r="A49" s="108">
        <v>45</v>
      </c>
      <c r="B49" s="28" t="s">
        <v>26</v>
      </c>
      <c r="C49" s="66" t="s">
        <v>92</v>
      </c>
      <c r="D49" s="30">
        <v>600000</v>
      </c>
      <c r="E49" s="30">
        <v>79980</v>
      </c>
      <c r="F49" s="31">
        <f t="shared" si="0"/>
        <v>679980</v>
      </c>
      <c r="G49" s="27">
        <v>60</v>
      </c>
      <c r="H49" s="72">
        <v>11333</v>
      </c>
      <c r="I49" s="33">
        <f t="shared" si="8"/>
        <v>1599.6</v>
      </c>
      <c r="J49" s="33">
        <f t="shared" si="9"/>
        <v>12000</v>
      </c>
      <c r="K49" s="33">
        <f t="shared" si="3"/>
        <v>47988</v>
      </c>
      <c r="L49" s="33">
        <f t="shared" si="4"/>
        <v>47988</v>
      </c>
      <c r="M49" s="2">
        <v>30</v>
      </c>
      <c r="N49" s="74">
        <f t="shared" si="5"/>
        <v>30</v>
      </c>
      <c r="O49" s="35">
        <f t="shared" si="6"/>
        <v>339990</v>
      </c>
      <c r="P49" s="36">
        <f t="shared" si="7"/>
        <v>339990</v>
      </c>
      <c r="Q49" s="19" t="s">
        <v>94</v>
      </c>
      <c r="R49" s="69">
        <v>44652</v>
      </c>
      <c r="S49" s="69">
        <v>46477</v>
      </c>
      <c r="Y49" s="99"/>
      <c r="AB49" s="95"/>
    </row>
    <row r="50" spans="1:28" ht="21" x14ac:dyDescent="0.35">
      <c r="A50" s="108">
        <v>46</v>
      </c>
      <c r="B50" s="28" t="s">
        <v>26</v>
      </c>
      <c r="C50" s="94" t="s">
        <v>95</v>
      </c>
      <c r="D50" s="30">
        <v>250000</v>
      </c>
      <c r="E50" s="30">
        <v>33225</v>
      </c>
      <c r="F50" s="31">
        <f t="shared" si="0"/>
        <v>283225</v>
      </c>
      <c r="G50" s="27">
        <v>60</v>
      </c>
      <c r="H50" s="72">
        <v>4722.08</v>
      </c>
      <c r="I50" s="33">
        <f t="shared" si="8"/>
        <v>664.5</v>
      </c>
      <c r="J50" s="33">
        <f t="shared" si="9"/>
        <v>5000</v>
      </c>
      <c r="K50" s="33">
        <f t="shared" si="3"/>
        <v>0</v>
      </c>
      <c r="L50" s="33">
        <f t="shared" si="4"/>
        <v>0</v>
      </c>
      <c r="M50" s="3"/>
      <c r="N50" s="3"/>
      <c r="O50" s="3"/>
      <c r="P50" s="3"/>
      <c r="Q50" s="73" t="s">
        <v>37</v>
      </c>
      <c r="R50" s="68"/>
      <c r="S50" s="69"/>
      <c r="Y50" s="99"/>
      <c r="AB50" s="95"/>
    </row>
    <row r="51" spans="1:28" ht="21" x14ac:dyDescent="0.35">
      <c r="A51" s="108">
        <v>47</v>
      </c>
      <c r="B51" s="28" t="s">
        <v>26</v>
      </c>
      <c r="C51" s="66" t="s">
        <v>114</v>
      </c>
      <c r="D51" s="30">
        <v>450000</v>
      </c>
      <c r="E51" s="30">
        <v>59985</v>
      </c>
      <c r="F51" s="31">
        <f t="shared" si="0"/>
        <v>509985</v>
      </c>
      <c r="G51" s="27">
        <v>60</v>
      </c>
      <c r="H51" s="72">
        <v>8499.75</v>
      </c>
      <c r="I51" s="33">
        <f t="shared" si="8"/>
        <v>1199.7</v>
      </c>
      <c r="J51" s="33">
        <f t="shared" si="9"/>
        <v>9000</v>
      </c>
      <c r="K51" s="33">
        <f t="shared" si="3"/>
        <v>46788.3</v>
      </c>
      <c r="L51" s="33">
        <f t="shared" si="4"/>
        <v>25193.7</v>
      </c>
      <c r="M51" s="3">
        <v>39</v>
      </c>
      <c r="N51" s="3">
        <f t="shared" ref="N51:N155" si="10">G51-M51</f>
        <v>21</v>
      </c>
      <c r="O51" s="5">
        <f t="shared" ref="O51:O155" si="11">H51*M51</f>
        <v>331490.25</v>
      </c>
      <c r="P51" s="5">
        <f t="shared" ref="P51:P155" si="12">H51*N51</f>
        <v>178494.75</v>
      </c>
      <c r="Q51" s="73" t="s">
        <v>94</v>
      </c>
      <c r="R51" s="76">
        <v>44378</v>
      </c>
      <c r="S51" s="77">
        <v>46203</v>
      </c>
      <c r="Y51" s="99"/>
      <c r="AB51" s="95"/>
    </row>
    <row r="52" spans="1:28" ht="21" x14ac:dyDescent="0.35">
      <c r="A52" s="108">
        <v>48</v>
      </c>
      <c r="B52" s="28" t="s">
        <v>26</v>
      </c>
      <c r="C52" s="66" t="s">
        <v>98</v>
      </c>
      <c r="D52" s="30">
        <v>250000</v>
      </c>
      <c r="E52" s="30">
        <v>33225</v>
      </c>
      <c r="F52" s="31">
        <f t="shared" si="0"/>
        <v>283225</v>
      </c>
      <c r="G52" s="27">
        <v>60</v>
      </c>
      <c r="H52" s="72">
        <v>4722.08</v>
      </c>
      <c r="I52" s="33">
        <f t="shared" si="8"/>
        <v>664.5</v>
      </c>
      <c r="J52" s="33">
        <f t="shared" si="9"/>
        <v>5000</v>
      </c>
      <c r="K52" s="33">
        <f t="shared" si="3"/>
        <v>29238</v>
      </c>
      <c r="L52" s="33">
        <f t="shared" si="4"/>
        <v>10632</v>
      </c>
      <c r="M52" s="3">
        <v>44</v>
      </c>
      <c r="N52" s="3">
        <f t="shared" si="10"/>
        <v>16</v>
      </c>
      <c r="O52" s="5">
        <f t="shared" si="11"/>
        <v>207771.51999999999</v>
      </c>
      <c r="P52" s="5">
        <f t="shared" si="12"/>
        <v>75553.279999999999</v>
      </c>
      <c r="Q52" s="73" t="s">
        <v>94</v>
      </c>
      <c r="R52" s="76">
        <v>44197</v>
      </c>
      <c r="S52" s="77">
        <v>46022</v>
      </c>
      <c r="Y52" s="99"/>
      <c r="AB52" s="95"/>
    </row>
    <row r="53" spans="1:28" ht="21" x14ac:dyDescent="0.35">
      <c r="A53" s="108">
        <v>49</v>
      </c>
      <c r="B53" s="28" t="s">
        <v>26</v>
      </c>
      <c r="C53" s="78" t="s">
        <v>99</v>
      </c>
      <c r="D53" s="30">
        <v>600000</v>
      </c>
      <c r="E53" s="30">
        <v>47988.12</v>
      </c>
      <c r="F53" s="31">
        <f t="shared" si="0"/>
        <v>647988.12</v>
      </c>
      <c r="G53" s="27">
        <v>36</v>
      </c>
      <c r="H53" s="75">
        <v>17999.669999999998</v>
      </c>
      <c r="I53" s="33">
        <f t="shared" si="8"/>
        <v>959.76240000000007</v>
      </c>
      <c r="J53" s="33">
        <f t="shared" si="9"/>
        <v>12000</v>
      </c>
      <c r="K53" s="33">
        <f t="shared" si="3"/>
        <v>24953.822400000001</v>
      </c>
      <c r="L53" s="33">
        <f t="shared" si="4"/>
        <v>9597.6239999999998</v>
      </c>
      <c r="M53" s="1">
        <v>26</v>
      </c>
      <c r="N53" s="1">
        <f t="shared" si="10"/>
        <v>10</v>
      </c>
      <c r="O53" s="5">
        <f t="shared" si="11"/>
        <v>467991.41999999993</v>
      </c>
      <c r="P53" s="5">
        <f t="shared" si="12"/>
        <v>179996.69999999998</v>
      </c>
      <c r="Q53" s="73" t="s">
        <v>94</v>
      </c>
      <c r="R53" s="79">
        <v>44774</v>
      </c>
      <c r="S53" s="80">
        <v>45869</v>
      </c>
      <c r="Y53" s="99"/>
      <c r="AB53" s="95"/>
    </row>
    <row r="54" spans="1:28" ht="21" x14ac:dyDescent="0.35">
      <c r="A54" s="108">
        <v>50</v>
      </c>
      <c r="B54" s="28" t="s">
        <v>26</v>
      </c>
      <c r="C54" s="66" t="s">
        <v>100</v>
      </c>
      <c r="D54" s="30">
        <v>750000</v>
      </c>
      <c r="E54" s="30">
        <v>99975</v>
      </c>
      <c r="F54" s="31">
        <f t="shared" si="0"/>
        <v>849975</v>
      </c>
      <c r="G54" s="27">
        <v>60</v>
      </c>
      <c r="H54" s="40">
        <v>14166.25</v>
      </c>
      <c r="I54" s="33">
        <f t="shared" si="8"/>
        <v>1999.5</v>
      </c>
      <c r="J54" s="33">
        <f t="shared" si="9"/>
        <v>15000</v>
      </c>
      <c r="K54" s="33">
        <f t="shared" si="3"/>
        <v>51987</v>
      </c>
      <c r="L54" s="33">
        <f t="shared" si="4"/>
        <v>67983</v>
      </c>
      <c r="M54" s="1">
        <v>26</v>
      </c>
      <c r="N54" s="1">
        <f t="shared" si="10"/>
        <v>34</v>
      </c>
      <c r="O54" s="5">
        <f t="shared" si="11"/>
        <v>368322.5</v>
      </c>
      <c r="P54" s="5">
        <f t="shared" si="12"/>
        <v>481652.5</v>
      </c>
      <c r="Q54" s="73" t="s">
        <v>94</v>
      </c>
      <c r="R54" s="79">
        <v>44774</v>
      </c>
      <c r="S54" s="80">
        <v>46599</v>
      </c>
      <c r="Y54" s="99"/>
      <c r="AB54" s="95"/>
    </row>
    <row r="55" spans="1:28" ht="21" x14ac:dyDescent="0.35">
      <c r="A55" s="108">
        <v>51</v>
      </c>
      <c r="B55" s="28" t="s">
        <v>26</v>
      </c>
      <c r="C55" s="66" t="s">
        <v>101</v>
      </c>
      <c r="D55" s="30">
        <v>750000</v>
      </c>
      <c r="E55" s="30">
        <v>99975</v>
      </c>
      <c r="F55" s="31">
        <f t="shared" si="0"/>
        <v>849975</v>
      </c>
      <c r="G55" s="27">
        <v>60</v>
      </c>
      <c r="H55" s="75">
        <v>14166.25</v>
      </c>
      <c r="I55" s="33">
        <f t="shared" si="8"/>
        <v>1999.5</v>
      </c>
      <c r="J55" s="33">
        <f t="shared" si="9"/>
        <v>15000</v>
      </c>
      <c r="K55" s="33">
        <f t="shared" si="3"/>
        <v>51987</v>
      </c>
      <c r="L55" s="33">
        <f t="shared" si="4"/>
        <v>67983</v>
      </c>
      <c r="M55" s="1">
        <v>26</v>
      </c>
      <c r="N55" s="1">
        <f t="shared" si="10"/>
        <v>34</v>
      </c>
      <c r="O55" s="5">
        <f t="shared" si="11"/>
        <v>368322.5</v>
      </c>
      <c r="P55" s="5">
        <f t="shared" si="12"/>
        <v>481652.5</v>
      </c>
      <c r="Q55" s="73" t="s">
        <v>94</v>
      </c>
      <c r="R55" s="79">
        <v>44774</v>
      </c>
      <c r="S55" s="80">
        <v>46599</v>
      </c>
      <c r="Y55" s="99"/>
      <c r="AB55" s="95"/>
    </row>
    <row r="56" spans="1:28" ht="21" x14ac:dyDescent="0.35">
      <c r="A56" s="108">
        <v>52</v>
      </c>
      <c r="B56" s="28" t="s">
        <v>26</v>
      </c>
      <c r="C56" s="66" t="s">
        <v>103</v>
      </c>
      <c r="D56" s="30">
        <v>750000</v>
      </c>
      <c r="E56" s="30">
        <v>83312.5</v>
      </c>
      <c r="F56" s="31">
        <v>833312.5</v>
      </c>
      <c r="G56" s="27">
        <v>50</v>
      </c>
      <c r="H56" s="75">
        <v>16666.25</v>
      </c>
      <c r="I56" s="33">
        <f t="shared" si="8"/>
        <v>1666.25</v>
      </c>
      <c r="J56" s="33">
        <f t="shared" si="9"/>
        <v>15000</v>
      </c>
      <c r="K56" s="33">
        <f t="shared" si="3"/>
        <v>43322.5</v>
      </c>
      <c r="L56" s="33">
        <f t="shared" si="4"/>
        <v>39990</v>
      </c>
      <c r="M56" s="1">
        <v>26</v>
      </c>
      <c r="N56" s="1">
        <f t="shared" si="10"/>
        <v>24</v>
      </c>
      <c r="O56" s="5">
        <f t="shared" si="11"/>
        <v>433322.5</v>
      </c>
      <c r="P56" s="5">
        <f t="shared" si="12"/>
        <v>399990</v>
      </c>
      <c r="Q56" s="73" t="s">
        <v>94</v>
      </c>
      <c r="R56" s="81">
        <v>44774</v>
      </c>
      <c r="S56" s="82" t="s">
        <v>102</v>
      </c>
      <c r="Y56" s="99"/>
      <c r="AB56" s="95"/>
    </row>
    <row r="57" spans="1:28" ht="21" x14ac:dyDescent="0.35">
      <c r="A57" s="108">
        <v>53</v>
      </c>
      <c r="B57" s="28" t="s">
        <v>26</v>
      </c>
      <c r="C57" s="66" t="s">
        <v>20</v>
      </c>
      <c r="D57" s="30">
        <v>250000</v>
      </c>
      <c r="E57" s="30">
        <v>27771</v>
      </c>
      <c r="F57" s="31">
        <v>277771</v>
      </c>
      <c r="G57" s="27">
        <v>50</v>
      </c>
      <c r="H57" s="75">
        <v>5555.42</v>
      </c>
      <c r="I57" s="33">
        <f t="shared" si="8"/>
        <v>555.41999999999996</v>
      </c>
      <c r="J57" s="33">
        <f t="shared" si="9"/>
        <v>5000</v>
      </c>
      <c r="K57" s="33">
        <f t="shared" si="3"/>
        <v>14440.919999999998</v>
      </c>
      <c r="L57" s="33">
        <f t="shared" si="4"/>
        <v>13330.079999999998</v>
      </c>
      <c r="M57" s="1">
        <v>26</v>
      </c>
      <c r="N57" s="1">
        <f t="shared" si="10"/>
        <v>24</v>
      </c>
      <c r="O57" s="5">
        <f t="shared" si="11"/>
        <v>144440.92000000001</v>
      </c>
      <c r="P57" s="5">
        <f t="shared" si="12"/>
        <v>133330.08000000002</v>
      </c>
      <c r="Q57" s="73" t="s">
        <v>94</v>
      </c>
      <c r="R57" s="81">
        <v>44774</v>
      </c>
      <c r="S57" s="83" t="s">
        <v>102</v>
      </c>
      <c r="Y57" s="99"/>
      <c r="AB57" s="95"/>
    </row>
    <row r="58" spans="1:28" ht="21" x14ac:dyDescent="0.35">
      <c r="A58" s="108">
        <v>54</v>
      </c>
      <c r="B58" s="28" t="s">
        <v>26</v>
      </c>
      <c r="C58" s="66" t="s">
        <v>15</v>
      </c>
      <c r="D58" s="30">
        <v>750000</v>
      </c>
      <c r="E58" s="30">
        <v>99975</v>
      </c>
      <c r="F58" s="31">
        <f>D58+E58</f>
        <v>849975</v>
      </c>
      <c r="G58" s="27">
        <v>60</v>
      </c>
      <c r="H58" s="75">
        <v>14166.25</v>
      </c>
      <c r="I58" s="33">
        <f t="shared" si="8"/>
        <v>1999.5</v>
      </c>
      <c r="J58" s="33">
        <f t="shared" si="9"/>
        <v>15000</v>
      </c>
      <c r="K58" s="33">
        <f t="shared" si="3"/>
        <v>51987</v>
      </c>
      <c r="L58" s="33">
        <f t="shared" si="4"/>
        <v>67983</v>
      </c>
      <c r="M58" s="1">
        <v>26</v>
      </c>
      <c r="N58" s="1">
        <f t="shared" si="10"/>
        <v>34</v>
      </c>
      <c r="O58" s="5">
        <f t="shared" si="11"/>
        <v>368322.5</v>
      </c>
      <c r="P58" s="5">
        <f t="shared" si="12"/>
        <v>481652.5</v>
      </c>
      <c r="Q58" s="73" t="s">
        <v>94</v>
      </c>
      <c r="R58" s="81">
        <v>44774</v>
      </c>
      <c r="S58" s="83">
        <v>46599</v>
      </c>
      <c r="Y58" s="99"/>
      <c r="AB58" s="95"/>
    </row>
    <row r="59" spans="1:28" ht="21" x14ac:dyDescent="0.35">
      <c r="A59" s="108">
        <v>55</v>
      </c>
      <c r="B59" s="28" t="s">
        <v>26</v>
      </c>
      <c r="C59" s="66" t="s">
        <v>104</v>
      </c>
      <c r="D59" s="30">
        <v>750000</v>
      </c>
      <c r="E59" s="30">
        <v>83312.5</v>
      </c>
      <c r="F59" s="31">
        <v>833312.5</v>
      </c>
      <c r="G59" s="27">
        <v>50</v>
      </c>
      <c r="H59" s="4">
        <v>16666.25</v>
      </c>
      <c r="I59" s="33">
        <f t="shared" si="8"/>
        <v>1666.25</v>
      </c>
      <c r="J59" s="33">
        <f t="shared" si="9"/>
        <v>15000</v>
      </c>
      <c r="K59" s="33">
        <f t="shared" si="3"/>
        <v>41656.25</v>
      </c>
      <c r="L59" s="33">
        <f t="shared" si="4"/>
        <v>41656.25</v>
      </c>
      <c r="M59" s="1">
        <v>25</v>
      </c>
      <c r="N59" s="1">
        <f t="shared" si="10"/>
        <v>25</v>
      </c>
      <c r="O59" s="5">
        <f t="shared" si="11"/>
        <v>416656.25</v>
      </c>
      <c r="P59" s="5">
        <f t="shared" si="12"/>
        <v>416656.25</v>
      </c>
      <c r="Q59" s="73" t="s">
        <v>94</v>
      </c>
      <c r="R59" s="81">
        <v>44805</v>
      </c>
      <c r="S59" s="81" t="s">
        <v>105</v>
      </c>
      <c r="Y59" s="99"/>
      <c r="AB59" s="95"/>
    </row>
    <row r="60" spans="1:28" ht="21" x14ac:dyDescent="0.35">
      <c r="A60" s="108">
        <v>56</v>
      </c>
      <c r="B60" s="28" t="s">
        <v>26</v>
      </c>
      <c r="C60" s="66" t="s">
        <v>106</v>
      </c>
      <c r="D60" s="30">
        <v>750000</v>
      </c>
      <c r="E60" s="30">
        <v>83312.5</v>
      </c>
      <c r="F60" s="31">
        <v>833312.5</v>
      </c>
      <c r="G60" s="27">
        <v>50</v>
      </c>
      <c r="H60" s="4">
        <v>16666.25</v>
      </c>
      <c r="I60" s="33">
        <f t="shared" si="8"/>
        <v>1666.25</v>
      </c>
      <c r="J60" s="33">
        <f t="shared" si="9"/>
        <v>15000</v>
      </c>
      <c r="K60" s="33">
        <f t="shared" si="3"/>
        <v>41656.25</v>
      </c>
      <c r="L60" s="33">
        <f t="shared" si="4"/>
        <v>41656.25</v>
      </c>
      <c r="M60" s="1">
        <v>25</v>
      </c>
      <c r="N60" s="1">
        <f t="shared" si="10"/>
        <v>25</v>
      </c>
      <c r="O60" s="5">
        <f t="shared" si="11"/>
        <v>416656.25</v>
      </c>
      <c r="P60" s="5">
        <f t="shared" si="12"/>
        <v>416656.25</v>
      </c>
      <c r="Q60" s="73" t="s">
        <v>94</v>
      </c>
      <c r="R60" s="81">
        <v>44805</v>
      </c>
      <c r="S60" s="81" t="s">
        <v>105</v>
      </c>
      <c r="Y60" s="99"/>
      <c r="AB60" s="95"/>
    </row>
    <row r="61" spans="1:28" ht="21" x14ac:dyDescent="0.35">
      <c r="A61" s="108">
        <v>57</v>
      </c>
      <c r="B61" s="28" t="s">
        <v>26</v>
      </c>
      <c r="C61" s="66" t="s">
        <v>25</v>
      </c>
      <c r="D61" s="30">
        <v>750000</v>
      </c>
      <c r="E61" s="30">
        <v>99975</v>
      </c>
      <c r="F61" s="31">
        <f>D61+E61</f>
        <v>849975</v>
      </c>
      <c r="G61" s="27">
        <v>60</v>
      </c>
      <c r="H61" s="72">
        <v>14166.25</v>
      </c>
      <c r="I61" s="33">
        <f t="shared" si="8"/>
        <v>1999.5</v>
      </c>
      <c r="J61" s="33">
        <f t="shared" si="9"/>
        <v>15000</v>
      </c>
      <c r="K61" s="33">
        <f t="shared" si="3"/>
        <v>59985</v>
      </c>
      <c r="L61" s="33">
        <f t="shared" si="4"/>
        <v>59985</v>
      </c>
      <c r="M61" s="1">
        <v>30</v>
      </c>
      <c r="N61" s="1">
        <f t="shared" si="10"/>
        <v>30</v>
      </c>
      <c r="O61" s="5">
        <f t="shared" si="11"/>
        <v>424987.5</v>
      </c>
      <c r="P61" s="5">
        <f t="shared" si="12"/>
        <v>424987.5</v>
      </c>
      <c r="Q61" s="73" t="s">
        <v>94</v>
      </c>
      <c r="R61" s="81">
        <v>44805</v>
      </c>
      <c r="S61" s="81">
        <v>46630</v>
      </c>
      <c r="Y61" s="99"/>
      <c r="AB61" s="95"/>
    </row>
    <row r="62" spans="1:28" ht="21" x14ac:dyDescent="0.35">
      <c r="A62" s="108">
        <v>58</v>
      </c>
      <c r="B62" s="28" t="s">
        <v>26</v>
      </c>
      <c r="C62" s="66" t="s">
        <v>107</v>
      </c>
      <c r="D62" s="30">
        <v>600000</v>
      </c>
      <c r="E62" s="30">
        <v>79980</v>
      </c>
      <c r="F62" s="31">
        <f>D62+E62</f>
        <v>679980</v>
      </c>
      <c r="G62" s="27">
        <v>60</v>
      </c>
      <c r="H62" s="84">
        <v>11333</v>
      </c>
      <c r="I62" s="33">
        <f t="shared" si="8"/>
        <v>1599.6</v>
      </c>
      <c r="J62" s="33">
        <f t="shared" si="9"/>
        <v>12000</v>
      </c>
      <c r="K62" s="33">
        <f t="shared" si="3"/>
        <v>38390.399999999994</v>
      </c>
      <c r="L62" s="33">
        <f t="shared" si="4"/>
        <v>57585.599999999999</v>
      </c>
      <c r="M62" s="107">
        <v>24</v>
      </c>
      <c r="N62" s="107">
        <f t="shared" si="10"/>
        <v>36</v>
      </c>
      <c r="O62" s="5">
        <f t="shared" si="11"/>
        <v>271992</v>
      </c>
      <c r="P62" s="5">
        <f t="shared" si="12"/>
        <v>407988</v>
      </c>
      <c r="Q62" s="73" t="s">
        <v>94</v>
      </c>
      <c r="R62" s="79">
        <v>44835</v>
      </c>
      <c r="S62" s="79">
        <v>46660</v>
      </c>
      <c r="Y62" s="99"/>
      <c r="AB62" s="95"/>
    </row>
    <row r="63" spans="1:28" ht="21" x14ac:dyDescent="0.35">
      <c r="A63" s="108">
        <v>59</v>
      </c>
      <c r="B63" s="28" t="s">
        <v>26</v>
      </c>
      <c r="C63" s="66" t="s">
        <v>27</v>
      </c>
      <c r="D63" s="30">
        <v>600000</v>
      </c>
      <c r="E63" s="30">
        <v>79980</v>
      </c>
      <c r="F63" s="31">
        <f>D63+E63</f>
        <v>679980</v>
      </c>
      <c r="G63" s="70">
        <v>60</v>
      </c>
      <c r="H63" s="4">
        <v>11333</v>
      </c>
      <c r="I63" s="33">
        <f t="shared" si="8"/>
        <v>1599.6</v>
      </c>
      <c r="J63" s="33">
        <f t="shared" si="9"/>
        <v>12000</v>
      </c>
      <c r="K63" s="33">
        <f t="shared" si="3"/>
        <v>38390.399999999994</v>
      </c>
      <c r="L63" s="33">
        <f t="shared" si="4"/>
        <v>57585.599999999999</v>
      </c>
      <c r="M63" s="107">
        <v>24</v>
      </c>
      <c r="N63" s="107">
        <f t="shared" si="10"/>
        <v>36</v>
      </c>
      <c r="O63" s="5">
        <f t="shared" si="11"/>
        <v>271992</v>
      </c>
      <c r="P63" s="5">
        <f t="shared" si="12"/>
        <v>407988</v>
      </c>
      <c r="Q63" s="73" t="s">
        <v>94</v>
      </c>
      <c r="R63" s="79">
        <v>44835</v>
      </c>
      <c r="S63" s="79">
        <v>46660</v>
      </c>
      <c r="Y63" s="99"/>
      <c r="AB63" s="95"/>
    </row>
    <row r="64" spans="1:28" ht="21" x14ac:dyDescent="0.35">
      <c r="A64" s="108">
        <v>60</v>
      </c>
      <c r="B64" s="28" t="s">
        <v>26</v>
      </c>
      <c r="C64" s="66" t="s">
        <v>21</v>
      </c>
      <c r="D64" s="30">
        <v>750000</v>
      </c>
      <c r="E64" s="96">
        <v>66650</v>
      </c>
      <c r="F64" s="97">
        <v>816650</v>
      </c>
      <c r="G64" s="87">
        <v>40</v>
      </c>
      <c r="H64" s="85">
        <v>20416.25</v>
      </c>
      <c r="I64" s="33">
        <f t="shared" si="8"/>
        <v>1333</v>
      </c>
      <c r="J64" s="33">
        <f t="shared" si="9"/>
        <v>15000</v>
      </c>
      <c r="K64" s="33">
        <f t="shared" si="3"/>
        <v>31992</v>
      </c>
      <c r="L64" s="33">
        <f t="shared" si="4"/>
        <v>21328</v>
      </c>
      <c r="M64" s="107">
        <v>24</v>
      </c>
      <c r="N64" s="107">
        <f t="shared" si="10"/>
        <v>16</v>
      </c>
      <c r="O64" s="5">
        <f t="shared" si="11"/>
        <v>489990</v>
      </c>
      <c r="P64" s="5">
        <f t="shared" si="12"/>
        <v>326660</v>
      </c>
      <c r="Q64" s="73" t="s">
        <v>94</v>
      </c>
      <c r="R64" s="79">
        <v>44835</v>
      </c>
      <c r="S64" s="83">
        <v>46053</v>
      </c>
      <c r="Y64" s="99"/>
      <c r="AB64" s="95"/>
    </row>
    <row r="65" spans="1:28" ht="21" x14ac:dyDescent="0.35">
      <c r="A65" s="108">
        <v>61</v>
      </c>
      <c r="B65" s="28" t="s">
        <v>26</v>
      </c>
      <c r="C65" s="66" t="s">
        <v>111</v>
      </c>
      <c r="D65" s="30">
        <v>450000</v>
      </c>
      <c r="E65" s="30">
        <v>59985</v>
      </c>
      <c r="F65" s="31">
        <v>509985</v>
      </c>
      <c r="G65" s="87">
        <v>60</v>
      </c>
      <c r="H65" s="85">
        <v>8499.75</v>
      </c>
      <c r="I65" s="33">
        <f t="shared" si="8"/>
        <v>1199.7</v>
      </c>
      <c r="J65" s="33">
        <f t="shared" si="9"/>
        <v>9000</v>
      </c>
      <c r="K65" s="33">
        <f t="shared" ref="K65:K155" si="13">I65*M65</f>
        <v>28792.800000000003</v>
      </c>
      <c r="L65" s="33">
        <f t="shared" ref="L65:L155" si="14">I65*N65</f>
        <v>43189.200000000004</v>
      </c>
      <c r="M65" s="107">
        <v>24</v>
      </c>
      <c r="N65" s="107">
        <f t="shared" si="10"/>
        <v>36</v>
      </c>
      <c r="O65" s="5">
        <f t="shared" si="11"/>
        <v>203994</v>
      </c>
      <c r="P65" s="5">
        <f t="shared" si="12"/>
        <v>305991</v>
      </c>
      <c r="Q65" s="73" t="s">
        <v>94</v>
      </c>
      <c r="R65" s="79">
        <v>44835</v>
      </c>
      <c r="S65" s="79">
        <v>46660</v>
      </c>
      <c r="Y65" s="99"/>
      <c r="AB65" s="95"/>
    </row>
    <row r="66" spans="1:28" ht="21" x14ac:dyDescent="0.35">
      <c r="A66" s="108">
        <v>62</v>
      </c>
      <c r="B66" s="28" t="s">
        <v>26</v>
      </c>
      <c r="C66" s="66" t="s">
        <v>116</v>
      </c>
      <c r="D66" s="30">
        <v>750000</v>
      </c>
      <c r="E66" s="30">
        <v>99975</v>
      </c>
      <c r="F66" s="31">
        <f t="shared" ref="F66:F68" si="15">D66+E66</f>
        <v>849975</v>
      </c>
      <c r="G66" s="27">
        <v>60</v>
      </c>
      <c r="H66" s="75">
        <v>14166.25</v>
      </c>
      <c r="I66" s="33">
        <f t="shared" si="8"/>
        <v>1999.5</v>
      </c>
      <c r="J66" s="33">
        <f t="shared" si="9"/>
        <v>15000</v>
      </c>
      <c r="K66" s="33">
        <f t="shared" si="13"/>
        <v>57985.5</v>
      </c>
      <c r="L66" s="33">
        <f t="shared" si="14"/>
        <v>61984.5</v>
      </c>
      <c r="M66" s="29">
        <v>29</v>
      </c>
      <c r="N66" s="34">
        <f t="shared" si="10"/>
        <v>31</v>
      </c>
      <c r="O66" s="35">
        <f t="shared" si="11"/>
        <v>410821.25</v>
      </c>
      <c r="P66" s="36">
        <f t="shared" si="12"/>
        <v>439153.75</v>
      </c>
      <c r="Q66" s="73" t="s">
        <v>37</v>
      </c>
      <c r="R66" s="100">
        <v>44682</v>
      </c>
      <c r="S66" s="100">
        <v>46507</v>
      </c>
      <c r="Y66" s="99"/>
      <c r="AB66" s="95"/>
    </row>
    <row r="67" spans="1:28" ht="21" x14ac:dyDescent="0.35">
      <c r="A67" s="108">
        <v>63</v>
      </c>
      <c r="B67" s="28" t="s">
        <v>26</v>
      </c>
      <c r="C67" s="66" t="s">
        <v>117</v>
      </c>
      <c r="D67" s="30">
        <v>150000</v>
      </c>
      <c r="E67" s="30">
        <v>19995</v>
      </c>
      <c r="F67" s="31">
        <f t="shared" si="15"/>
        <v>169995</v>
      </c>
      <c r="G67" s="27">
        <v>50</v>
      </c>
      <c r="H67" s="54">
        <v>3399.9</v>
      </c>
      <c r="I67" s="33">
        <f t="shared" si="8"/>
        <v>399.9</v>
      </c>
      <c r="J67" s="33">
        <f t="shared" si="9"/>
        <v>3000</v>
      </c>
      <c r="K67" s="33">
        <f t="shared" si="13"/>
        <v>6398.4</v>
      </c>
      <c r="L67" s="33">
        <f t="shared" si="14"/>
        <v>13596.599999999999</v>
      </c>
      <c r="M67" s="29">
        <v>16</v>
      </c>
      <c r="N67" s="34">
        <f t="shared" si="10"/>
        <v>34</v>
      </c>
      <c r="O67" s="35">
        <f t="shared" si="11"/>
        <v>54398.400000000001</v>
      </c>
      <c r="P67" s="36">
        <f t="shared" si="12"/>
        <v>115596.6</v>
      </c>
      <c r="Q67" s="73"/>
      <c r="R67" s="93">
        <v>44986</v>
      </c>
      <c r="S67" s="93">
        <v>45688</v>
      </c>
      <c r="Y67" s="99"/>
      <c r="AB67" s="95"/>
    </row>
    <row r="68" spans="1:28" ht="21" x14ac:dyDescent="0.35">
      <c r="A68" s="108">
        <v>64</v>
      </c>
      <c r="B68" s="28" t="s">
        <v>26</v>
      </c>
      <c r="C68" s="66" t="s">
        <v>118</v>
      </c>
      <c r="D68" s="30">
        <v>450000</v>
      </c>
      <c r="E68" s="30">
        <v>59985</v>
      </c>
      <c r="F68" s="31">
        <f t="shared" si="15"/>
        <v>509985</v>
      </c>
      <c r="G68" s="27">
        <v>50</v>
      </c>
      <c r="H68" s="54">
        <v>13622.25</v>
      </c>
      <c r="I68" s="33">
        <f t="shared" si="8"/>
        <v>1199.7</v>
      </c>
      <c r="J68" s="33">
        <f t="shared" si="9"/>
        <v>9000</v>
      </c>
      <c r="K68" s="33">
        <f t="shared" si="13"/>
        <v>19195.2</v>
      </c>
      <c r="L68" s="33">
        <f t="shared" si="14"/>
        <v>40789.800000000003</v>
      </c>
      <c r="M68" s="29">
        <v>16</v>
      </c>
      <c r="N68" s="34">
        <f t="shared" si="10"/>
        <v>34</v>
      </c>
      <c r="O68" s="35">
        <f t="shared" si="11"/>
        <v>217956</v>
      </c>
      <c r="P68" s="36">
        <f t="shared" si="12"/>
        <v>463156.5</v>
      </c>
      <c r="Q68" s="73" t="s">
        <v>94</v>
      </c>
      <c r="R68" s="93">
        <v>45078</v>
      </c>
      <c r="S68" s="103">
        <v>46599</v>
      </c>
      <c r="Y68" s="99"/>
      <c r="AB68" s="95"/>
    </row>
    <row r="69" spans="1:28" ht="21" x14ac:dyDescent="0.35">
      <c r="A69" s="108">
        <v>65</v>
      </c>
      <c r="B69" s="28" t="s">
        <v>26</v>
      </c>
      <c r="C69" s="66" t="s">
        <v>119</v>
      </c>
      <c r="D69" s="30">
        <v>750000</v>
      </c>
      <c r="E69" s="30">
        <v>49987.5</v>
      </c>
      <c r="F69" s="31">
        <v>799987.5</v>
      </c>
      <c r="G69" s="27">
        <v>30</v>
      </c>
      <c r="H69" s="75">
        <v>26666.25</v>
      </c>
      <c r="I69" s="33">
        <f t="shared" si="8"/>
        <v>999.75</v>
      </c>
      <c r="J69" s="33">
        <f t="shared" si="9"/>
        <v>15000</v>
      </c>
      <c r="K69" s="33">
        <f t="shared" si="13"/>
        <v>15996</v>
      </c>
      <c r="L69" s="33">
        <f t="shared" si="14"/>
        <v>13996.5</v>
      </c>
      <c r="M69" s="29">
        <v>16</v>
      </c>
      <c r="N69" s="34">
        <f t="shared" si="10"/>
        <v>14</v>
      </c>
      <c r="O69" s="35">
        <f t="shared" si="11"/>
        <v>426660</v>
      </c>
      <c r="P69" s="36">
        <f t="shared" si="12"/>
        <v>373327.5</v>
      </c>
      <c r="Q69" s="73" t="s">
        <v>94</v>
      </c>
      <c r="R69" s="93">
        <v>45078</v>
      </c>
      <c r="S69" s="104">
        <v>45991</v>
      </c>
      <c r="Y69" s="99"/>
      <c r="AB69" s="95"/>
    </row>
    <row r="70" spans="1:28" ht="21" x14ac:dyDescent="0.35">
      <c r="A70" s="108">
        <v>66</v>
      </c>
      <c r="B70" s="28" t="s">
        <v>26</v>
      </c>
      <c r="C70" s="66" t="s">
        <v>120</v>
      </c>
      <c r="D70" s="30">
        <v>750000</v>
      </c>
      <c r="E70" s="30">
        <v>99975</v>
      </c>
      <c r="F70" s="31">
        <f t="shared" ref="F70" si="16">D70+E70</f>
        <v>849975</v>
      </c>
      <c r="G70" s="27">
        <v>60</v>
      </c>
      <c r="H70" s="75">
        <v>14166.25</v>
      </c>
      <c r="I70" s="33">
        <f t="shared" si="8"/>
        <v>1999.5</v>
      </c>
      <c r="J70" s="33">
        <f t="shared" si="9"/>
        <v>15000</v>
      </c>
      <c r="K70" s="33">
        <f t="shared" si="13"/>
        <v>31992</v>
      </c>
      <c r="L70" s="33">
        <f t="shared" si="14"/>
        <v>87978</v>
      </c>
      <c r="M70" s="29">
        <v>16</v>
      </c>
      <c r="N70" s="34">
        <f t="shared" si="10"/>
        <v>44</v>
      </c>
      <c r="O70" s="35">
        <f t="shared" si="11"/>
        <v>226660</v>
      </c>
      <c r="P70" s="36">
        <f t="shared" si="12"/>
        <v>623315</v>
      </c>
      <c r="Q70" s="73" t="s">
        <v>94</v>
      </c>
      <c r="R70" s="93">
        <v>45078</v>
      </c>
      <c r="S70" s="105">
        <v>46904</v>
      </c>
      <c r="Y70" s="99"/>
      <c r="AB70" s="95"/>
    </row>
    <row r="71" spans="1:28" ht="21" x14ac:dyDescent="0.35">
      <c r="A71" s="108">
        <v>67</v>
      </c>
      <c r="B71" s="28" t="s">
        <v>26</v>
      </c>
      <c r="C71" s="66" t="s">
        <v>122</v>
      </c>
      <c r="D71" s="30">
        <v>250000</v>
      </c>
      <c r="E71" s="30">
        <v>27771</v>
      </c>
      <c r="F71" s="31">
        <v>277771</v>
      </c>
      <c r="G71" s="27">
        <v>50</v>
      </c>
      <c r="H71" s="75">
        <v>5555.42</v>
      </c>
      <c r="I71" s="33">
        <f t="shared" ref="I71:I133" si="17">E71/50</f>
        <v>555.41999999999996</v>
      </c>
      <c r="J71" s="33">
        <f t="shared" ref="J71:J155" si="18">D71/50</f>
        <v>5000</v>
      </c>
      <c r="K71" s="33">
        <f t="shared" si="13"/>
        <v>8331.2999999999993</v>
      </c>
      <c r="L71" s="33">
        <f t="shared" si="14"/>
        <v>19439.699999999997</v>
      </c>
      <c r="M71" s="29">
        <v>15</v>
      </c>
      <c r="N71" s="34">
        <f t="shared" si="10"/>
        <v>35</v>
      </c>
      <c r="O71" s="35">
        <f t="shared" si="11"/>
        <v>83331.3</v>
      </c>
      <c r="P71" s="36">
        <f t="shared" si="12"/>
        <v>194439.7</v>
      </c>
      <c r="Q71" s="73" t="s">
        <v>94</v>
      </c>
      <c r="R71" s="109">
        <v>45139</v>
      </c>
      <c r="S71" s="110">
        <v>46660</v>
      </c>
      <c r="Y71" s="99"/>
      <c r="AB71" s="95"/>
    </row>
    <row r="72" spans="1:28" ht="21" x14ac:dyDescent="0.35">
      <c r="A72" s="108">
        <v>68</v>
      </c>
      <c r="B72" s="28" t="s">
        <v>26</v>
      </c>
      <c r="C72" s="66" t="s">
        <v>121</v>
      </c>
      <c r="D72" s="30">
        <v>250000</v>
      </c>
      <c r="E72" s="30">
        <v>33225</v>
      </c>
      <c r="F72" s="31">
        <f t="shared" ref="F72:F84" si="19">D72+E72</f>
        <v>283225</v>
      </c>
      <c r="G72" s="27">
        <v>60</v>
      </c>
      <c r="H72" s="75">
        <v>4722.08</v>
      </c>
      <c r="I72" s="33">
        <f t="shared" si="17"/>
        <v>664.5</v>
      </c>
      <c r="J72" s="33">
        <f t="shared" si="18"/>
        <v>5000</v>
      </c>
      <c r="K72" s="33">
        <f t="shared" si="13"/>
        <v>25251</v>
      </c>
      <c r="L72" s="33">
        <f t="shared" si="14"/>
        <v>14619</v>
      </c>
      <c r="M72" s="29">
        <v>38</v>
      </c>
      <c r="N72" s="34">
        <f t="shared" si="10"/>
        <v>22</v>
      </c>
      <c r="O72" s="35">
        <f t="shared" si="11"/>
        <v>179439.04</v>
      </c>
      <c r="P72" s="36">
        <f t="shared" si="12"/>
        <v>103885.75999999999</v>
      </c>
      <c r="Q72" s="113" t="s">
        <v>123</v>
      </c>
      <c r="R72" s="109">
        <v>44409</v>
      </c>
      <c r="S72" s="111">
        <v>46234</v>
      </c>
      <c r="Y72" s="99"/>
      <c r="AB72" s="95"/>
    </row>
    <row r="73" spans="1:28" ht="21" x14ac:dyDescent="0.35">
      <c r="A73" s="108">
        <v>69</v>
      </c>
      <c r="B73" s="28" t="s">
        <v>26</v>
      </c>
      <c r="C73" s="66" t="s">
        <v>129</v>
      </c>
      <c r="D73" s="30">
        <v>750000</v>
      </c>
      <c r="E73" s="30">
        <v>99975</v>
      </c>
      <c r="F73" s="31">
        <f t="shared" si="19"/>
        <v>849975</v>
      </c>
      <c r="G73" s="27">
        <v>60</v>
      </c>
      <c r="H73" s="72">
        <v>14166.25</v>
      </c>
      <c r="I73" s="33">
        <f t="shared" si="17"/>
        <v>1999.5</v>
      </c>
      <c r="J73" s="33">
        <f t="shared" si="18"/>
        <v>15000</v>
      </c>
      <c r="K73" s="33">
        <f t="shared" si="13"/>
        <v>25993.5</v>
      </c>
      <c r="L73" s="33">
        <f t="shared" si="14"/>
        <v>93976.5</v>
      </c>
      <c r="M73" s="29">
        <v>13</v>
      </c>
      <c r="N73" s="34">
        <f t="shared" si="10"/>
        <v>47</v>
      </c>
      <c r="O73" s="35">
        <f t="shared" si="11"/>
        <v>184161.25</v>
      </c>
      <c r="P73" s="36">
        <f t="shared" si="12"/>
        <v>665813.75</v>
      </c>
      <c r="Q73" s="73" t="s">
        <v>94</v>
      </c>
      <c r="R73" s="109">
        <v>45200</v>
      </c>
      <c r="S73" s="110">
        <v>47026</v>
      </c>
      <c r="Y73" s="99"/>
      <c r="AB73" s="95"/>
    </row>
    <row r="74" spans="1:28" ht="21" x14ac:dyDescent="0.35">
      <c r="A74" s="108">
        <v>70</v>
      </c>
      <c r="B74" s="28" t="s">
        <v>26</v>
      </c>
      <c r="C74" s="66" t="s">
        <v>124</v>
      </c>
      <c r="D74" s="30">
        <v>750000</v>
      </c>
      <c r="E74" s="30">
        <v>62688.75</v>
      </c>
      <c r="F74" s="31">
        <f t="shared" si="19"/>
        <v>812688.75</v>
      </c>
      <c r="G74" s="115">
        <v>47</v>
      </c>
      <c r="H74" s="75">
        <v>17291.25</v>
      </c>
      <c r="I74" s="33">
        <f t="shared" si="17"/>
        <v>1253.7750000000001</v>
      </c>
      <c r="J74" s="33">
        <f t="shared" si="18"/>
        <v>15000</v>
      </c>
      <c r="K74" s="33">
        <f t="shared" si="13"/>
        <v>16299.075000000001</v>
      </c>
      <c r="L74" s="33">
        <f t="shared" si="14"/>
        <v>42628.350000000006</v>
      </c>
      <c r="M74" s="29">
        <v>13</v>
      </c>
      <c r="N74" s="34">
        <f t="shared" si="10"/>
        <v>34</v>
      </c>
      <c r="O74" s="35">
        <f t="shared" si="11"/>
        <v>224786.25</v>
      </c>
      <c r="P74" s="36">
        <f t="shared" si="12"/>
        <v>587902.5</v>
      </c>
      <c r="Q74" s="73" t="s">
        <v>94</v>
      </c>
      <c r="R74" s="109">
        <v>45200</v>
      </c>
      <c r="S74" s="110">
        <v>46630</v>
      </c>
      <c r="Y74" s="99"/>
      <c r="AB74" s="95"/>
    </row>
    <row r="75" spans="1:28" ht="21" x14ac:dyDescent="0.35">
      <c r="A75" s="108">
        <v>71</v>
      </c>
      <c r="B75" s="28" t="s">
        <v>26</v>
      </c>
      <c r="C75" s="66" t="s">
        <v>132</v>
      </c>
      <c r="D75" s="30">
        <v>750000</v>
      </c>
      <c r="E75" s="30">
        <v>99975</v>
      </c>
      <c r="F75" s="31">
        <f t="shared" si="19"/>
        <v>849975</v>
      </c>
      <c r="G75" s="27">
        <v>60</v>
      </c>
      <c r="H75" s="72">
        <v>14166.25</v>
      </c>
      <c r="I75" s="33">
        <f t="shared" si="17"/>
        <v>1999.5</v>
      </c>
      <c r="J75" s="33">
        <f t="shared" si="18"/>
        <v>15000</v>
      </c>
      <c r="K75" s="33">
        <f t="shared" si="13"/>
        <v>25993.5</v>
      </c>
      <c r="L75" s="33">
        <f t="shared" si="14"/>
        <v>93976.5</v>
      </c>
      <c r="M75" s="29">
        <v>13</v>
      </c>
      <c r="N75" s="34">
        <f t="shared" si="10"/>
        <v>47</v>
      </c>
      <c r="O75" s="35">
        <f t="shared" si="11"/>
        <v>184161.25</v>
      </c>
      <c r="P75" s="36">
        <f t="shared" si="12"/>
        <v>665813.75</v>
      </c>
      <c r="Q75" s="73" t="s">
        <v>94</v>
      </c>
      <c r="R75" s="109">
        <v>45200</v>
      </c>
      <c r="S75" s="110">
        <v>47026</v>
      </c>
      <c r="Y75" s="99"/>
      <c r="AB75" s="95"/>
    </row>
    <row r="76" spans="1:28" ht="21" x14ac:dyDescent="0.35">
      <c r="A76" s="108">
        <v>72</v>
      </c>
      <c r="B76" s="28" t="s">
        <v>26</v>
      </c>
      <c r="C76" s="66" t="s">
        <v>130</v>
      </c>
      <c r="D76" s="30">
        <v>450000</v>
      </c>
      <c r="E76" s="30">
        <v>59985</v>
      </c>
      <c r="F76" s="31">
        <f t="shared" si="19"/>
        <v>509985</v>
      </c>
      <c r="G76" s="27">
        <v>60</v>
      </c>
      <c r="H76" s="75">
        <v>8499.75</v>
      </c>
      <c r="I76" s="33">
        <f t="shared" si="17"/>
        <v>1199.7</v>
      </c>
      <c r="J76" s="33">
        <f t="shared" si="18"/>
        <v>9000</v>
      </c>
      <c r="K76" s="33">
        <f t="shared" si="13"/>
        <v>15596.1</v>
      </c>
      <c r="L76" s="33">
        <f t="shared" si="14"/>
        <v>56385.9</v>
      </c>
      <c r="M76" s="29">
        <v>13</v>
      </c>
      <c r="N76" s="34">
        <f t="shared" si="10"/>
        <v>47</v>
      </c>
      <c r="O76" s="35">
        <f t="shared" si="11"/>
        <v>110496.75</v>
      </c>
      <c r="P76" s="36">
        <f t="shared" si="12"/>
        <v>399488.25</v>
      </c>
      <c r="Q76" s="73" t="s">
        <v>94</v>
      </c>
      <c r="R76" s="109">
        <v>45200</v>
      </c>
      <c r="S76" s="110">
        <v>47026</v>
      </c>
      <c r="Y76" s="99"/>
      <c r="AB76" s="95"/>
    </row>
    <row r="77" spans="1:28" ht="21" x14ac:dyDescent="0.35">
      <c r="A77" s="108">
        <v>73</v>
      </c>
      <c r="B77" s="28" t="s">
        <v>26</v>
      </c>
      <c r="C77" s="66" t="s">
        <v>127</v>
      </c>
      <c r="D77" s="30">
        <v>450000</v>
      </c>
      <c r="E77" s="30">
        <v>59985</v>
      </c>
      <c r="F77" s="31">
        <f t="shared" si="19"/>
        <v>509985</v>
      </c>
      <c r="G77" s="27">
        <v>60</v>
      </c>
      <c r="H77" s="75">
        <v>8499.75</v>
      </c>
      <c r="I77" s="33">
        <f t="shared" si="17"/>
        <v>1199.7</v>
      </c>
      <c r="J77" s="33">
        <f t="shared" si="18"/>
        <v>9000</v>
      </c>
      <c r="K77" s="33">
        <f t="shared" si="13"/>
        <v>15596.1</v>
      </c>
      <c r="L77" s="33">
        <f t="shared" si="14"/>
        <v>56385.9</v>
      </c>
      <c r="M77" s="29">
        <v>13</v>
      </c>
      <c r="N77" s="34">
        <f t="shared" si="10"/>
        <v>47</v>
      </c>
      <c r="O77" s="35">
        <f t="shared" si="11"/>
        <v>110496.75</v>
      </c>
      <c r="P77" s="36">
        <f t="shared" si="12"/>
        <v>399488.25</v>
      </c>
      <c r="Q77" s="73" t="s">
        <v>94</v>
      </c>
      <c r="R77" s="109">
        <v>45200</v>
      </c>
      <c r="S77" s="110">
        <v>47026</v>
      </c>
      <c r="Y77" s="99"/>
      <c r="AB77" s="95"/>
    </row>
    <row r="78" spans="1:28" ht="21" x14ac:dyDescent="0.35">
      <c r="A78" s="108">
        <v>74</v>
      </c>
      <c r="B78" s="28" t="s">
        <v>26</v>
      </c>
      <c r="C78" s="66" t="s">
        <v>133</v>
      </c>
      <c r="D78" s="30">
        <v>450000</v>
      </c>
      <c r="E78" s="30">
        <v>59985</v>
      </c>
      <c r="F78" s="31">
        <f t="shared" si="19"/>
        <v>509985</v>
      </c>
      <c r="G78" s="27">
        <v>60</v>
      </c>
      <c r="H78" s="75">
        <v>8499.75</v>
      </c>
      <c r="I78" s="33">
        <f t="shared" si="17"/>
        <v>1199.7</v>
      </c>
      <c r="J78" s="33">
        <f t="shared" si="18"/>
        <v>9000</v>
      </c>
      <c r="K78" s="33">
        <f t="shared" si="13"/>
        <v>15596.1</v>
      </c>
      <c r="L78" s="33">
        <f t="shared" si="14"/>
        <v>56385.9</v>
      </c>
      <c r="M78" s="29">
        <v>13</v>
      </c>
      <c r="N78" s="34">
        <f t="shared" si="10"/>
        <v>47</v>
      </c>
      <c r="O78" s="35">
        <f t="shared" si="11"/>
        <v>110496.75</v>
      </c>
      <c r="P78" s="36">
        <f t="shared" si="12"/>
        <v>399488.25</v>
      </c>
      <c r="Q78" s="73" t="s">
        <v>94</v>
      </c>
      <c r="R78" s="109">
        <v>45200</v>
      </c>
      <c r="S78" s="110">
        <v>47026</v>
      </c>
      <c r="Y78" s="99"/>
      <c r="AB78" s="95"/>
    </row>
    <row r="79" spans="1:28" ht="21" x14ac:dyDescent="0.35">
      <c r="A79" s="108">
        <v>75</v>
      </c>
      <c r="B79" s="28" t="s">
        <v>26</v>
      </c>
      <c r="C79" s="66" t="s">
        <v>22</v>
      </c>
      <c r="D79" s="30">
        <v>250000</v>
      </c>
      <c r="E79" s="30">
        <v>27771</v>
      </c>
      <c r="F79" s="31">
        <f t="shared" si="19"/>
        <v>277771</v>
      </c>
      <c r="G79" s="115">
        <v>50</v>
      </c>
      <c r="H79" s="75">
        <v>5555.42</v>
      </c>
      <c r="I79" s="33">
        <f t="shared" si="17"/>
        <v>555.41999999999996</v>
      </c>
      <c r="J79" s="33">
        <f t="shared" si="18"/>
        <v>5000</v>
      </c>
      <c r="K79" s="33">
        <f t="shared" si="13"/>
        <v>7220.4599999999991</v>
      </c>
      <c r="L79" s="33">
        <f t="shared" si="14"/>
        <v>20550.539999999997</v>
      </c>
      <c r="M79" s="29">
        <v>13</v>
      </c>
      <c r="N79" s="34">
        <f t="shared" si="10"/>
        <v>37</v>
      </c>
      <c r="O79" s="35">
        <f t="shared" si="11"/>
        <v>72220.460000000006</v>
      </c>
      <c r="P79" s="36">
        <f t="shared" si="12"/>
        <v>205550.54</v>
      </c>
      <c r="Q79" s="73" t="s">
        <v>94</v>
      </c>
      <c r="R79" s="109">
        <v>45200</v>
      </c>
      <c r="S79" s="110">
        <v>46721</v>
      </c>
      <c r="Y79" s="99"/>
      <c r="AB79" s="95"/>
    </row>
    <row r="80" spans="1:28" ht="21" x14ac:dyDescent="0.35">
      <c r="A80" s="108">
        <v>76</v>
      </c>
      <c r="B80" s="28" t="s">
        <v>26</v>
      </c>
      <c r="C80" s="66" t="s">
        <v>126</v>
      </c>
      <c r="D80" s="30">
        <v>450000</v>
      </c>
      <c r="E80" s="30">
        <v>59985</v>
      </c>
      <c r="F80" s="31">
        <f t="shared" si="19"/>
        <v>509985</v>
      </c>
      <c r="G80" s="27">
        <v>60</v>
      </c>
      <c r="H80" s="75">
        <v>8499.75</v>
      </c>
      <c r="I80" s="33">
        <f t="shared" si="17"/>
        <v>1199.7</v>
      </c>
      <c r="J80" s="33">
        <f t="shared" si="18"/>
        <v>9000</v>
      </c>
      <c r="K80" s="33">
        <f t="shared" si="13"/>
        <v>15596.1</v>
      </c>
      <c r="L80" s="33">
        <f t="shared" si="14"/>
        <v>56385.9</v>
      </c>
      <c r="M80" s="29">
        <v>13</v>
      </c>
      <c r="N80" s="34">
        <f t="shared" si="10"/>
        <v>47</v>
      </c>
      <c r="O80" s="35">
        <f t="shared" si="11"/>
        <v>110496.75</v>
      </c>
      <c r="P80" s="36">
        <f t="shared" si="12"/>
        <v>399488.25</v>
      </c>
      <c r="Q80" s="73" t="s">
        <v>94</v>
      </c>
      <c r="R80" s="109">
        <v>45200</v>
      </c>
      <c r="S80" s="110">
        <v>47026</v>
      </c>
      <c r="Y80" s="99"/>
      <c r="AB80" s="95"/>
    </row>
    <row r="81" spans="1:28" ht="21" x14ac:dyDescent="0.35">
      <c r="A81" s="108">
        <v>77</v>
      </c>
      <c r="B81" s="28" t="s">
        <v>26</v>
      </c>
      <c r="C81" s="66" t="s">
        <v>128</v>
      </c>
      <c r="D81" s="30">
        <v>450000</v>
      </c>
      <c r="E81" s="30">
        <v>59985</v>
      </c>
      <c r="F81" s="31">
        <f t="shared" si="19"/>
        <v>509985</v>
      </c>
      <c r="G81" s="27">
        <v>60</v>
      </c>
      <c r="H81" s="75">
        <v>8499.75</v>
      </c>
      <c r="I81" s="33">
        <f t="shared" si="17"/>
        <v>1199.7</v>
      </c>
      <c r="J81" s="33">
        <f t="shared" si="18"/>
        <v>9000</v>
      </c>
      <c r="K81" s="33">
        <f t="shared" si="13"/>
        <v>35991</v>
      </c>
      <c r="L81" s="33">
        <f t="shared" si="14"/>
        <v>35991</v>
      </c>
      <c r="M81" s="29">
        <v>30</v>
      </c>
      <c r="N81" s="34">
        <f t="shared" si="10"/>
        <v>30</v>
      </c>
      <c r="O81" s="35">
        <f t="shared" si="11"/>
        <v>254992.5</v>
      </c>
      <c r="P81" s="36">
        <f t="shared" si="12"/>
        <v>254992.5</v>
      </c>
      <c r="Q81" s="73" t="s">
        <v>37</v>
      </c>
      <c r="R81" s="109">
        <v>44682</v>
      </c>
      <c r="S81" s="110">
        <v>46507</v>
      </c>
      <c r="Y81" s="99"/>
      <c r="AB81" s="95"/>
    </row>
    <row r="82" spans="1:28" ht="21" x14ac:dyDescent="0.35">
      <c r="A82" s="108">
        <v>78</v>
      </c>
      <c r="B82" s="28" t="s">
        <v>26</v>
      </c>
      <c r="C82" s="106" t="s">
        <v>131</v>
      </c>
      <c r="D82" s="30">
        <v>250000</v>
      </c>
      <c r="E82" s="30">
        <v>83325.2</v>
      </c>
      <c r="F82" s="31">
        <f t="shared" si="19"/>
        <v>333325.2</v>
      </c>
      <c r="G82" s="115">
        <v>60</v>
      </c>
      <c r="H82" s="85">
        <v>5555.42</v>
      </c>
      <c r="I82" s="33">
        <f t="shared" si="17"/>
        <v>1666.5039999999999</v>
      </c>
      <c r="J82" s="33">
        <f t="shared" si="18"/>
        <v>5000</v>
      </c>
      <c r="K82" s="33">
        <f t="shared" si="13"/>
        <v>49995.119999999995</v>
      </c>
      <c r="L82" s="33">
        <f t="shared" si="14"/>
        <v>49995.119999999995</v>
      </c>
      <c r="M82" s="29">
        <v>30</v>
      </c>
      <c r="N82" s="34">
        <f t="shared" si="10"/>
        <v>30</v>
      </c>
      <c r="O82" s="35">
        <f t="shared" si="11"/>
        <v>166662.6</v>
      </c>
      <c r="P82" s="36">
        <f t="shared" si="12"/>
        <v>166662.6</v>
      </c>
      <c r="Q82" s="73" t="s">
        <v>37</v>
      </c>
      <c r="R82" s="105">
        <v>44652</v>
      </c>
      <c r="S82" s="105">
        <v>46477</v>
      </c>
      <c r="Y82" s="99"/>
      <c r="AB82" s="95"/>
    </row>
    <row r="83" spans="1:28" ht="21" x14ac:dyDescent="0.35">
      <c r="A83" s="108">
        <v>79</v>
      </c>
      <c r="B83" s="28" t="s">
        <v>26</v>
      </c>
      <c r="C83" s="106" t="s">
        <v>125</v>
      </c>
      <c r="D83" s="30">
        <v>450000</v>
      </c>
      <c r="E83" s="30">
        <v>49987.5</v>
      </c>
      <c r="F83" s="31">
        <f t="shared" si="19"/>
        <v>499987.5</v>
      </c>
      <c r="G83" s="27">
        <v>50</v>
      </c>
      <c r="H83" s="84">
        <v>9999.75</v>
      </c>
      <c r="I83" s="33">
        <f t="shared" si="17"/>
        <v>999.75</v>
      </c>
      <c r="J83" s="33">
        <f t="shared" si="18"/>
        <v>9000</v>
      </c>
      <c r="K83" s="33">
        <f t="shared" si="13"/>
        <v>12996.75</v>
      </c>
      <c r="L83" s="33">
        <f t="shared" si="14"/>
        <v>36990.75</v>
      </c>
      <c r="M83" s="29">
        <v>13</v>
      </c>
      <c r="N83" s="34">
        <f t="shared" si="10"/>
        <v>37</v>
      </c>
      <c r="O83" s="35">
        <f t="shared" si="11"/>
        <v>129996.75</v>
      </c>
      <c r="P83" s="36">
        <f t="shared" si="12"/>
        <v>369990.75</v>
      </c>
      <c r="Q83" s="73" t="s">
        <v>37</v>
      </c>
      <c r="R83" s="105">
        <v>45170</v>
      </c>
      <c r="S83" s="105">
        <v>46691</v>
      </c>
      <c r="Y83" s="99"/>
      <c r="AB83" s="95"/>
    </row>
    <row r="84" spans="1:28" ht="21" x14ac:dyDescent="0.35">
      <c r="A84" s="108">
        <v>80</v>
      </c>
      <c r="B84" s="28" t="s">
        <v>26</v>
      </c>
      <c r="C84" s="106" t="s">
        <v>140</v>
      </c>
      <c r="D84" s="30">
        <v>250000</v>
      </c>
      <c r="E84" s="30">
        <v>33324.800000000003</v>
      </c>
      <c r="F84" s="31">
        <f t="shared" si="19"/>
        <v>283324.79999999999</v>
      </c>
      <c r="G84" s="115">
        <v>60</v>
      </c>
      <c r="H84" s="75">
        <v>4722.08</v>
      </c>
      <c r="I84" s="33">
        <f t="shared" si="17"/>
        <v>666.49600000000009</v>
      </c>
      <c r="J84" s="33">
        <f t="shared" si="18"/>
        <v>5000</v>
      </c>
      <c r="K84" s="33">
        <f t="shared" si="13"/>
        <v>27992.832000000002</v>
      </c>
      <c r="L84" s="33">
        <f t="shared" si="14"/>
        <v>11996.928000000002</v>
      </c>
      <c r="M84" s="29">
        <v>42</v>
      </c>
      <c r="N84" s="34">
        <f t="shared" si="10"/>
        <v>18</v>
      </c>
      <c r="O84" s="35">
        <f t="shared" si="11"/>
        <v>198327.36</v>
      </c>
      <c r="P84" s="36">
        <f t="shared" si="12"/>
        <v>84997.440000000002</v>
      </c>
      <c r="Q84" s="73" t="s">
        <v>37</v>
      </c>
      <c r="R84" s="105">
        <v>44287</v>
      </c>
      <c r="S84" s="105">
        <v>46112</v>
      </c>
      <c r="Y84" s="99"/>
      <c r="AB84" s="95"/>
    </row>
    <row r="85" spans="1:28" ht="21" x14ac:dyDescent="0.35">
      <c r="A85" s="108">
        <v>81</v>
      </c>
      <c r="B85" s="28" t="s">
        <v>26</v>
      </c>
      <c r="C85" s="66" t="s">
        <v>137</v>
      </c>
      <c r="D85" s="30">
        <v>750000</v>
      </c>
      <c r="E85" s="30">
        <v>59984.88</v>
      </c>
      <c r="F85" s="31">
        <v>809984.88</v>
      </c>
      <c r="G85" s="87">
        <v>36</v>
      </c>
      <c r="H85" s="72">
        <v>22499.58</v>
      </c>
      <c r="I85" s="33">
        <f t="shared" si="17"/>
        <v>1199.6976</v>
      </c>
      <c r="J85" s="33">
        <f t="shared" si="18"/>
        <v>15000</v>
      </c>
      <c r="K85" s="33">
        <f t="shared" si="13"/>
        <v>13196.6736</v>
      </c>
      <c r="L85" s="33">
        <f t="shared" si="14"/>
        <v>29992.44</v>
      </c>
      <c r="M85" s="29">
        <v>11</v>
      </c>
      <c r="N85" s="34">
        <f t="shared" si="10"/>
        <v>25</v>
      </c>
      <c r="O85" s="35">
        <f t="shared" si="11"/>
        <v>247495.38</v>
      </c>
      <c r="P85" s="36">
        <f t="shared" si="12"/>
        <v>562489.5</v>
      </c>
      <c r="Q85" s="73" t="s">
        <v>94</v>
      </c>
      <c r="R85" s="62">
        <v>45231</v>
      </c>
      <c r="S85" s="42">
        <v>46326</v>
      </c>
      <c r="Y85" s="99"/>
      <c r="AB85" s="95"/>
    </row>
    <row r="86" spans="1:28" ht="21" x14ac:dyDescent="0.35">
      <c r="A86" s="108">
        <v>82</v>
      </c>
      <c r="B86" s="28" t="s">
        <v>26</v>
      </c>
      <c r="C86" s="66" t="s">
        <v>141</v>
      </c>
      <c r="D86" s="30">
        <v>750000</v>
      </c>
      <c r="E86" s="30">
        <v>83312.5</v>
      </c>
      <c r="F86" s="31">
        <v>833312.5</v>
      </c>
      <c r="G86" s="27">
        <v>50</v>
      </c>
      <c r="H86" s="72">
        <v>16666.25</v>
      </c>
      <c r="I86" s="33">
        <f t="shared" si="17"/>
        <v>1666.25</v>
      </c>
      <c r="J86" s="33">
        <f t="shared" si="18"/>
        <v>15000</v>
      </c>
      <c r="K86" s="33">
        <f t="shared" si="13"/>
        <v>18328.75</v>
      </c>
      <c r="L86" s="33">
        <f t="shared" si="14"/>
        <v>64983.75</v>
      </c>
      <c r="M86" s="29">
        <v>11</v>
      </c>
      <c r="N86" s="34">
        <f t="shared" si="10"/>
        <v>39</v>
      </c>
      <c r="O86" s="35">
        <f t="shared" si="11"/>
        <v>183328.75</v>
      </c>
      <c r="P86" s="36">
        <f t="shared" si="12"/>
        <v>649983.75</v>
      </c>
      <c r="Q86" s="73" t="s">
        <v>94</v>
      </c>
      <c r="R86" s="62">
        <v>45231</v>
      </c>
      <c r="S86" s="42">
        <v>46752</v>
      </c>
      <c r="Y86" s="99"/>
      <c r="AB86" s="95"/>
    </row>
    <row r="87" spans="1:28" ht="21" x14ac:dyDescent="0.35">
      <c r="A87" s="108">
        <v>83</v>
      </c>
      <c r="B87" s="28" t="s">
        <v>26</v>
      </c>
      <c r="C87" s="116" t="s">
        <v>144</v>
      </c>
      <c r="D87" s="30">
        <v>750000</v>
      </c>
      <c r="E87" s="30">
        <v>99975</v>
      </c>
      <c r="F87" s="31">
        <f t="shared" ref="F87" si="20">D87+E87</f>
        <v>849975</v>
      </c>
      <c r="G87" s="27">
        <v>60</v>
      </c>
      <c r="H87" s="72">
        <v>14166.25</v>
      </c>
      <c r="I87" s="33">
        <f t="shared" si="17"/>
        <v>1999.5</v>
      </c>
      <c r="J87" s="33">
        <f t="shared" si="18"/>
        <v>15000</v>
      </c>
      <c r="K87" s="33">
        <f t="shared" si="13"/>
        <v>21994.5</v>
      </c>
      <c r="L87" s="33">
        <f t="shared" si="14"/>
        <v>97975.5</v>
      </c>
      <c r="M87" s="29">
        <v>11</v>
      </c>
      <c r="N87" s="34">
        <f t="shared" si="10"/>
        <v>49</v>
      </c>
      <c r="O87" s="35">
        <f t="shared" si="11"/>
        <v>155828.75</v>
      </c>
      <c r="P87" s="36">
        <f t="shared" si="12"/>
        <v>694146.25</v>
      </c>
      <c r="Q87" s="73" t="s">
        <v>94</v>
      </c>
      <c r="R87" s="62">
        <v>45231</v>
      </c>
      <c r="S87" s="42">
        <v>47057</v>
      </c>
      <c r="Y87" s="99"/>
      <c r="AB87" s="95"/>
    </row>
    <row r="88" spans="1:28" ht="21" x14ac:dyDescent="0.35">
      <c r="A88" s="108">
        <v>84</v>
      </c>
      <c r="B88" s="28" t="s">
        <v>26</v>
      </c>
      <c r="C88" s="66" t="s">
        <v>136</v>
      </c>
      <c r="D88" s="30">
        <v>750000</v>
      </c>
      <c r="E88" s="30">
        <v>59984.88</v>
      </c>
      <c r="F88" s="31">
        <v>809984.88</v>
      </c>
      <c r="G88" s="87">
        <v>36</v>
      </c>
      <c r="H88" s="72">
        <v>22499.58</v>
      </c>
      <c r="I88" s="33">
        <f t="shared" si="17"/>
        <v>1199.6976</v>
      </c>
      <c r="J88" s="33">
        <f t="shared" si="18"/>
        <v>15000</v>
      </c>
      <c r="K88" s="33">
        <f t="shared" si="13"/>
        <v>13196.6736</v>
      </c>
      <c r="L88" s="33">
        <f t="shared" si="14"/>
        <v>29992.44</v>
      </c>
      <c r="M88" s="29">
        <v>11</v>
      </c>
      <c r="N88" s="34">
        <f t="shared" si="10"/>
        <v>25</v>
      </c>
      <c r="O88" s="35">
        <f t="shared" si="11"/>
        <v>247495.38</v>
      </c>
      <c r="P88" s="36">
        <f t="shared" si="12"/>
        <v>562489.5</v>
      </c>
      <c r="Q88" s="73" t="s">
        <v>94</v>
      </c>
      <c r="R88" s="62">
        <v>45231</v>
      </c>
      <c r="S88" s="42">
        <v>46326</v>
      </c>
      <c r="Y88" s="99"/>
      <c r="AB88" s="95"/>
    </row>
    <row r="89" spans="1:28" ht="21" x14ac:dyDescent="0.35">
      <c r="A89" s="108">
        <v>85</v>
      </c>
      <c r="B89" s="28" t="s">
        <v>26</v>
      </c>
      <c r="C89" s="66" t="s">
        <v>138</v>
      </c>
      <c r="D89" s="30">
        <v>750000</v>
      </c>
      <c r="E89" s="30">
        <v>99975</v>
      </c>
      <c r="F89" s="31">
        <f t="shared" ref="F89:F94" si="21">D89+E89</f>
        <v>849975</v>
      </c>
      <c r="G89" s="27">
        <v>60</v>
      </c>
      <c r="H89" s="72">
        <v>14166.25</v>
      </c>
      <c r="I89" s="33">
        <f t="shared" si="17"/>
        <v>1999.5</v>
      </c>
      <c r="J89" s="33">
        <f t="shared" si="18"/>
        <v>15000</v>
      </c>
      <c r="K89" s="33">
        <f t="shared" si="13"/>
        <v>21994.5</v>
      </c>
      <c r="L89" s="33">
        <f t="shared" si="14"/>
        <v>97975.5</v>
      </c>
      <c r="M89" s="29">
        <v>11</v>
      </c>
      <c r="N89" s="34">
        <f t="shared" si="10"/>
        <v>49</v>
      </c>
      <c r="O89" s="35">
        <f t="shared" si="11"/>
        <v>155828.75</v>
      </c>
      <c r="P89" s="36">
        <f t="shared" si="12"/>
        <v>694146.25</v>
      </c>
      <c r="Q89" s="73" t="s">
        <v>94</v>
      </c>
      <c r="R89" s="62">
        <v>45231</v>
      </c>
      <c r="S89" s="42">
        <v>47057</v>
      </c>
      <c r="Y89" s="99"/>
      <c r="AB89" s="95"/>
    </row>
    <row r="90" spans="1:28" ht="21" x14ac:dyDescent="0.35">
      <c r="A90" s="108">
        <v>86</v>
      </c>
      <c r="B90" s="28" t="s">
        <v>26</v>
      </c>
      <c r="C90" s="66" t="s">
        <v>139</v>
      </c>
      <c r="D90" s="30">
        <v>750000</v>
      </c>
      <c r="E90" s="30">
        <v>99975</v>
      </c>
      <c r="F90" s="31">
        <f t="shared" si="21"/>
        <v>849975</v>
      </c>
      <c r="G90" s="27">
        <v>60</v>
      </c>
      <c r="H90" s="72">
        <v>14166.25</v>
      </c>
      <c r="I90" s="33">
        <f t="shared" si="17"/>
        <v>1999.5</v>
      </c>
      <c r="J90" s="33">
        <f t="shared" si="18"/>
        <v>15000</v>
      </c>
      <c r="K90" s="33">
        <f t="shared" si="13"/>
        <v>21994.5</v>
      </c>
      <c r="L90" s="33">
        <f t="shared" si="14"/>
        <v>97975.5</v>
      </c>
      <c r="M90" s="29">
        <v>11</v>
      </c>
      <c r="N90" s="34">
        <f t="shared" si="10"/>
        <v>49</v>
      </c>
      <c r="O90" s="35">
        <f t="shared" si="11"/>
        <v>155828.75</v>
      </c>
      <c r="P90" s="36">
        <f t="shared" si="12"/>
        <v>694146.25</v>
      </c>
      <c r="Q90" s="73" t="s">
        <v>94</v>
      </c>
      <c r="R90" s="62">
        <v>45231</v>
      </c>
      <c r="S90" s="42">
        <v>47057</v>
      </c>
      <c r="Y90" s="99"/>
      <c r="AB90" s="95"/>
    </row>
    <row r="91" spans="1:28" ht="21" x14ac:dyDescent="0.35">
      <c r="A91" s="108">
        <v>87</v>
      </c>
      <c r="B91" s="28" t="s">
        <v>26</v>
      </c>
      <c r="C91" s="66" t="s">
        <v>143</v>
      </c>
      <c r="D91" s="30">
        <v>250000</v>
      </c>
      <c r="E91" s="30">
        <v>33324.800000000003</v>
      </c>
      <c r="F91" s="31">
        <f t="shared" si="21"/>
        <v>283324.79999999999</v>
      </c>
      <c r="G91" s="115">
        <v>60</v>
      </c>
      <c r="H91" s="75">
        <v>4722.08</v>
      </c>
      <c r="I91" s="33">
        <f t="shared" si="17"/>
        <v>666.49600000000009</v>
      </c>
      <c r="J91" s="33">
        <f t="shared" si="18"/>
        <v>5000</v>
      </c>
      <c r="K91" s="33">
        <f t="shared" si="13"/>
        <v>7331.456000000001</v>
      </c>
      <c r="L91" s="33">
        <f t="shared" si="14"/>
        <v>32658.304000000004</v>
      </c>
      <c r="M91" s="29">
        <v>11</v>
      </c>
      <c r="N91" s="34">
        <f t="shared" si="10"/>
        <v>49</v>
      </c>
      <c r="O91" s="35">
        <f t="shared" si="11"/>
        <v>51942.879999999997</v>
      </c>
      <c r="P91" s="36">
        <f t="shared" si="12"/>
        <v>231381.91999999998</v>
      </c>
      <c r="Q91" s="73" t="s">
        <v>94</v>
      </c>
      <c r="R91" s="62">
        <v>45231</v>
      </c>
      <c r="S91" s="42">
        <v>47057</v>
      </c>
      <c r="Y91" s="99"/>
      <c r="AB91" s="95"/>
    </row>
    <row r="92" spans="1:28" ht="21" x14ac:dyDescent="0.35">
      <c r="A92" s="108">
        <v>88</v>
      </c>
      <c r="B92" s="28" t="s">
        <v>26</v>
      </c>
      <c r="C92" s="66" t="s">
        <v>135</v>
      </c>
      <c r="D92" s="30">
        <v>250000</v>
      </c>
      <c r="E92" s="30">
        <v>33324.800000000003</v>
      </c>
      <c r="F92" s="31">
        <f t="shared" si="21"/>
        <v>283324.79999999999</v>
      </c>
      <c r="G92" s="115">
        <v>60</v>
      </c>
      <c r="H92" s="72">
        <v>4722.08</v>
      </c>
      <c r="I92" s="33">
        <f t="shared" si="17"/>
        <v>666.49600000000009</v>
      </c>
      <c r="J92" s="33">
        <f t="shared" si="18"/>
        <v>5000</v>
      </c>
      <c r="K92" s="33">
        <f t="shared" si="13"/>
        <v>7331.456000000001</v>
      </c>
      <c r="L92" s="33">
        <f t="shared" si="14"/>
        <v>32658.304000000004</v>
      </c>
      <c r="M92" s="29">
        <v>11</v>
      </c>
      <c r="N92" s="34">
        <f t="shared" si="10"/>
        <v>49</v>
      </c>
      <c r="O92" s="35">
        <f t="shared" si="11"/>
        <v>51942.879999999997</v>
      </c>
      <c r="P92" s="36">
        <f t="shared" si="12"/>
        <v>231381.91999999998</v>
      </c>
      <c r="Q92" s="73" t="s">
        <v>94</v>
      </c>
      <c r="R92" s="62">
        <v>45231</v>
      </c>
      <c r="S92" s="42">
        <v>47057</v>
      </c>
      <c r="Y92" s="99"/>
      <c r="AB92" s="95"/>
    </row>
    <row r="93" spans="1:28" ht="21" x14ac:dyDescent="0.35">
      <c r="A93" s="108">
        <v>89</v>
      </c>
      <c r="B93" s="28" t="s">
        <v>26</v>
      </c>
      <c r="C93" s="66" t="s">
        <v>142</v>
      </c>
      <c r="D93" s="30">
        <v>250000</v>
      </c>
      <c r="E93" s="30">
        <v>33325.1</v>
      </c>
      <c r="F93" s="31">
        <f t="shared" si="21"/>
        <v>283325.09999999998</v>
      </c>
      <c r="G93" s="115">
        <v>30</v>
      </c>
      <c r="H93" s="72">
        <v>9444.17</v>
      </c>
      <c r="I93" s="33">
        <f t="shared" si="17"/>
        <v>666.50199999999995</v>
      </c>
      <c r="J93" s="33">
        <f t="shared" si="18"/>
        <v>5000</v>
      </c>
      <c r="K93" s="33">
        <f t="shared" si="13"/>
        <v>7331.521999999999</v>
      </c>
      <c r="L93" s="33">
        <f t="shared" si="14"/>
        <v>12663.537999999999</v>
      </c>
      <c r="M93" s="29">
        <v>11</v>
      </c>
      <c r="N93" s="34">
        <f t="shared" si="10"/>
        <v>19</v>
      </c>
      <c r="O93" s="35">
        <f t="shared" si="11"/>
        <v>103885.87</v>
      </c>
      <c r="P93" s="36">
        <f t="shared" si="12"/>
        <v>179439.23</v>
      </c>
      <c r="Q93" s="73" t="s">
        <v>94</v>
      </c>
      <c r="R93" s="62">
        <v>45231</v>
      </c>
      <c r="S93" s="42">
        <v>46142</v>
      </c>
      <c r="Y93" s="99"/>
      <c r="AB93" s="95"/>
    </row>
    <row r="94" spans="1:28" ht="21" x14ac:dyDescent="0.35">
      <c r="A94" s="108">
        <v>90</v>
      </c>
      <c r="B94" s="28" t="s">
        <v>26</v>
      </c>
      <c r="C94" s="66" t="s">
        <v>146</v>
      </c>
      <c r="D94" s="30">
        <v>250000</v>
      </c>
      <c r="E94" s="30">
        <v>33324.800000000003</v>
      </c>
      <c r="F94" s="31">
        <f t="shared" si="21"/>
        <v>283324.79999999999</v>
      </c>
      <c r="G94" s="115">
        <v>60</v>
      </c>
      <c r="H94" s="72">
        <v>4722.08</v>
      </c>
      <c r="I94" s="33">
        <f t="shared" si="17"/>
        <v>666.49600000000009</v>
      </c>
      <c r="J94" s="33">
        <f t="shared" si="18"/>
        <v>5000</v>
      </c>
      <c r="K94" s="33">
        <f t="shared" si="13"/>
        <v>7331.456000000001</v>
      </c>
      <c r="L94" s="33">
        <f t="shared" si="14"/>
        <v>32658.304000000004</v>
      </c>
      <c r="M94" s="29">
        <v>11</v>
      </c>
      <c r="N94" s="34">
        <f t="shared" si="10"/>
        <v>49</v>
      </c>
      <c r="O94" s="35">
        <f t="shared" si="11"/>
        <v>51942.879999999997</v>
      </c>
      <c r="P94" s="36">
        <f t="shared" si="12"/>
        <v>231381.91999999998</v>
      </c>
      <c r="Q94" s="73" t="s">
        <v>94</v>
      </c>
      <c r="R94" s="62">
        <v>45261</v>
      </c>
      <c r="S94" s="42">
        <v>47087</v>
      </c>
      <c r="Y94" s="99"/>
      <c r="AB94" s="95"/>
    </row>
    <row r="95" spans="1:28" ht="21" x14ac:dyDescent="0.35">
      <c r="A95" s="108">
        <v>91</v>
      </c>
      <c r="B95" s="28" t="s">
        <v>26</v>
      </c>
      <c r="C95" s="66" t="s">
        <v>147</v>
      </c>
      <c r="D95" s="30">
        <v>750000</v>
      </c>
      <c r="E95" s="30">
        <v>49987.5</v>
      </c>
      <c r="F95" s="31">
        <v>799987.5</v>
      </c>
      <c r="G95" s="27">
        <v>30</v>
      </c>
      <c r="H95" s="75">
        <v>26666.25</v>
      </c>
      <c r="I95" s="33">
        <f t="shared" si="17"/>
        <v>999.75</v>
      </c>
      <c r="J95" s="33">
        <f t="shared" si="18"/>
        <v>15000</v>
      </c>
      <c r="K95" s="33">
        <f t="shared" si="13"/>
        <v>8997.75</v>
      </c>
      <c r="L95" s="33">
        <f t="shared" si="14"/>
        <v>20994.75</v>
      </c>
      <c r="M95" s="29">
        <v>9</v>
      </c>
      <c r="N95" s="34">
        <f t="shared" si="10"/>
        <v>21</v>
      </c>
      <c r="O95" s="35">
        <f t="shared" si="11"/>
        <v>239996.25</v>
      </c>
      <c r="P95" s="36">
        <f t="shared" si="12"/>
        <v>559991.25</v>
      </c>
      <c r="Q95" s="73" t="s">
        <v>94</v>
      </c>
      <c r="R95" s="62">
        <v>45292</v>
      </c>
      <c r="S95" s="42">
        <v>46203</v>
      </c>
      <c r="Y95" s="99"/>
      <c r="AB95" s="95"/>
    </row>
    <row r="96" spans="1:28" ht="21" x14ac:dyDescent="0.35">
      <c r="A96" s="108">
        <v>92</v>
      </c>
      <c r="B96" s="28" t="s">
        <v>26</v>
      </c>
      <c r="C96" s="66" t="s">
        <v>148</v>
      </c>
      <c r="D96" s="30">
        <v>750000</v>
      </c>
      <c r="E96" s="30">
        <v>83312.5</v>
      </c>
      <c r="F96" s="31">
        <v>833312.5</v>
      </c>
      <c r="G96" s="27">
        <v>50</v>
      </c>
      <c r="H96" s="4">
        <v>16666.25</v>
      </c>
      <c r="I96" s="33">
        <f t="shared" si="17"/>
        <v>1666.25</v>
      </c>
      <c r="J96" s="33">
        <f t="shared" si="18"/>
        <v>15000</v>
      </c>
      <c r="K96" s="33">
        <f t="shared" si="13"/>
        <v>14996.25</v>
      </c>
      <c r="L96" s="33">
        <f t="shared" si="14"/>
        <v>68316.25</v>
      </c>
      <c r="M96" s="29">
        <v>9</v>
      </c>
      <c r="N96" s="34">
        <f t="shared" si="10"/>
        <v>41</v>
      </c>
      <c r="O96" s="35">
        <f t="shared" si="11"/>
        <v>149996.25</v>
      </c>
      <c r="P96" s="36">
        <f t="shared" si="12"/>
        <v>683316.25</v>
      </c>
      <c r="Q96" s="73" t="s">
        <v>94</v>
      </c>
      <c r="R96" s="62">
        <v>45292</v>
      </c>
      <c r="S96" s="42">
        <v>46811</v>
      </c>
      <c r="Y96" s="99"/>
      <c r="AB96" s="95"/>
    </row>
    <row r="97" spans="1:28" ht="21" x14ac:dyDescent="0.35">
      <c r="A97" s="108">
        <v>93</v>
      </c>
      <c r="B97" s="28" t="s">
        <v>26</v>
      </c>
      <c r="C97" s="66" t="s">
        <v>149</v>
      </c>
      <c r="D97" s="30">
        <v>750000</v>
      </c>
      <c r="E97" s="96">
        <v>66650</v>
      </c>
      <c r="F97" s="97">
        <v>816650</v>
      </c>
      <c r="G97" s="87">
        <v>40</v>
      </c>
      <c r="H97" s="85">
        <v>20416.25</v>
      </c>
      <c r="I97" s="33">
        <f t="shared" si="17"/>
        <v>1333</v>
      </c>
      <c r="J97" s="33">
        <f t="shared" si="18"/>
        <v>15000</v>
      </c>
      <c r="K97" s="33">
        <f t="shared" si="13"/>
        <v>11997</v>
      </c>
      <c r="L97" s="33">
        <f t="shared" si="14"/>
        <v>41323</v>
      </c>
      <c r="M97" s="29">
        <v>9</v>
      </c>
      <c r="N97" s="34">
        <f t="shared" si="10"/>
        <v>31</v>
      </c>
      <c r="O97" s="35">
        <f t="shared" si="11"/>
        <v>183746.25</v>
      </c>
      <c r="P97" s="36">
        <f t="shared" si="12"/>
        <v>632903.75</v>
      </c>
      <c r="Q97" s="73" t="s">
        <v>94</v>
      </c>
      <c r="R97" s="62">
        <v>45292</v>
      </c>
      <c r="S97" s="42">
        <v>46507</v>
      </c>
      <c r="Y97" s="99"/>
      <c r="AB97" s="95"/>
    </row>
    <row r="98" spans="1:28" ht="21" x14ac:dyDescent="0.35">
      <c r="A98" s="108">
        <v>94</v>
      </c>
      <c r="B98" s="28" t="s">
        <v>26</v>
      </c>
      <c r="C98" s="66" t="s">
        <v>150</v>
      </c>
      <c r="D98" s="30">
        <v>600000</v>
      </c>
      <c r="E98" s="30">
        <v>33325</v>
      </c>
      <c r="F98" s="31">
        <v>633325</v>
      </c>
      <c r="G98" s="115">
        <v>25</v>
      </c>
      <c r="H98" s="72">
        <v>25333</v>
      </c>
      <c r="I98" s="33">
        <f t="shared" si="17"/>
        <v>666.5</v>
      </c>
      <c r="J98" s="33">
        <f t="shared" si="18"/>
        <v>12000</v>
      </c>
      <c r="K98" s="33">
        <f t="shared" si="13"/>
        <v>5998.5</v>
      </c>
      <c r="L98" s="33">
        <f t="shared" si="14"/>
        <v>10664</v>
      </c>
      <c r="M98" s="29">
        <v>9</v>
      </c>
      <c r="N98" s="34">
        <f t="shared" si="10"/>
        <v>16</v>
      </c>
      <c r="O98" s="35">
        <f t="shared" si="11"/>
        <v>227997</v>
      </c>
      <c r="P98" s="36">
        <f t="shared" si="12"/>
        <v>405328</v>
      </c>
      <c r="Q98" s="73" t="s">
        <v>94</v>
      </c>
      <c r="R98" s="62">
        <v>45292</v>
      </c>
      <c r="S98" s="42">
        <v>46052</v>
      </c>
      <c r="Y98" s="99"/>
      <c r="AB98" s="95"/>
    </row>
    <row r="99" spans="1:28" ht="21" x14ac:dyDescent="0.35">
      <c r="A99" s="108">
        <v>95</v>
      </c>
      <c r="B99" s="28" t="s">
        <v>26</v>
      </c>
      <c r="C99" s="66" t="s">
        <v>151</v>
      </c>
      <c r="D99" s="30">
        <v>750000</v>
      </c>
      <c r="E99" s="96">
        <v>66650</v>
      </c>
      <c r="F99" s="97">
        <v>816650</v>
      </c>
      <c r="G99" s="87">
        <v>40</v>
      </c>
      <c r="H99" s="85">
        <v>20416.25</v>
      </c>
      <c r="I99" s="33">
        <f t="shared" si="17"/>
        <v>1333</v>
      </c>
      <c r="J99" s="33">
        <f t="shared" si="18"/>
        <v>15000</v>
      </c>
      <c r="K99" s="33">
        <f t="shared" si="13"/>
        <v>11997</v>
      </c>
      <c r="L99" s="33">
        <f t="shared" si="14"/>
        <v>41323</v>
      </c>
      <c r="M99" s="29">
        <v>9</v>
      </c>
      <c r="N99" s="34">
        <f t="shared" si="10"/>
        <v>31</v>
      </c>
      <c r="O99" s="35">
        <f t="shared" si="11"/>
        <v>183746.25</v>
      </c>
      <c r="P99" s="36">
        <f t="shared" si="12"/>
        <v>632903.75</v>
      </c>
      <c r="Q99" s="73" t="s">
        <v>94</v>
      </c>
      <c r="R99" s="62">
        <v>45292</v>
      </c>
      <c r="S99" s="42">
        <v>46507</v>
      </c>
      <c r="Y99" s="99"/>
      <c r="AB99" s="95"/>
    </row>
    <row r="100" spans="1:28" ht="21" x14ac:dyDescent="0.35">
      <c r="A100" s="108">
        <v>96</v>
      </c>
      <c r="B100" s="28" t="s">
        <v>26</v>
      </c>
      <c r="C100" s="66" t="s">
        <v>152</v>
      </c>
      <c r="D100" s="30">
        <v>750000</v>
      </c>
      <c r="E100" s="30">
        <v>33325</v>
      </c>
      <c r="F100" s="31">
        <v>783325</v>
      </c>
      <c r="G100" s="115">
        <v>20</v>
      </c>
      <c r="H100" s="72">
        <v>39166.25</v>
      </c>
      <c r="I100" s="33">
        <f t="shared" si="17"/>
        <v>666.5</v>
      </c>
      <c r="J100" s="33">
        <f t="shared" si="18"/>
        <v>15000</v>
      </c>
      <c r="K100" s="33">
        <f t="shared" si="13"/>
        <v>5998.5</v>
      </c>
      <c r="L100" s="33">
        <f t="shared" si="14"/>
        <v>7331.5</v>
      </c>
      <c r="M100" s="29">
        <v>9</v>
      </c>
      <c r="N100" s="34">
        <f t="shared" si="10"/>
        <v>11</v>
      </c>
      <c r="O100" s="35">
        <f t="shared" si="11"/>
        <v>352496.25</v>
      </c>
      <c r="P100" s="36">
        <f t="shared" si="12"/>
        <v>430828.75</v>
      </c>
      <c r="Q100" s="73" t="s">
        <v>94</v>
      </c>
      <c r="R100" s="62">
        <v>45292</v>
      </c>
      <c r="S100" s="122">
        <v>45900</v>
      </c>
      <c r="Y100" s="99"/>
      <c r="AB100" s="95"/>
    </row>
    <row r="101" spans="1:28" ht="21" x14ac:dyDescent="0.35">
      <c r="A101" s="108">
        <v>97</v>
      </c>
      <c r="B101" s="28" t="s">
        <v>26</v>
      </c>
      <c r="C101" s="66" t="s">
        <v>154</v>
      </c>
      <c r="D101" s="30">
        <v>750000</v>
      </c>
      <c r="E101" s="30">
        <v>99975</v>
      </c>
      <c r="F101" s="31">
        <f t="shared" ref="F101" si="22">D101+E101</f>
        <v>849975</v>
      </c>
      <c r="G101" s="27">
        <v>60</v>
      </c>
      <c r="H101" s="72">
        <v>14166.25</v>
      </c>
      <c r="I101" s="33">
        <f t="shared" si="17"/>
        <v>1999.5</v>
      </c>
      <c r="J101" s="33">
        <f t="shared" si="18"/>
        <v>15000</v>
      </c>
      <c r="K101" s="33">
        <f t="shared" si="13"/>
        <v>15996</v>
      </c>
      <c r="L101" s="33">
        <f t="shared" si="14"/>
        <v>103974</v>
      </c>
      <c r="M101" s="29">
        <v>8</v>
      </c>
      <c r="N101" s="34">
        <f t="shared" si="10"/>
        <v>52</v>
      </c>
      <c r="O101" s="35">
        <f t="shared" si="11"/>
        <v>113330</v>
      </c>
      <c r="P101" s="36">
        <f t="shared" si="12"/>
        <v>736645</v>
      </c>
      <c r="Q101" s="73" t="s">
        <v>94</v>
      </c>
      <c r="R101" s="62">
        <v>45323</v>
      </c>
      <c r="S101" s="42">
        <v>47149</v>
      </c>
      <c r="Y101" s="99"/>
      <c r="AB101" s="95"/>
    </row>
    <row r="102" spans="1:28" ht="21" x14ac:dyDescent="0.35">
      <c r="A102" s="108">
        <v>98</v>
      </c>
      <c r="B102" s="28" t="s">
        <v>26</v>
      </c>
      <c r="C102" s="66" t="s">
        <v>42</v>
      </c>
      <c r="D102" s="30">
        <v>750000</v>
      </c>
      <c r="E102" s="30">
        <v>83312.5</v>
      </c>
      <c r="F102" s="31">
        <v>833312.5</v>
      </c>
      <c r="G102" s="27">
        <v>50</v>
      </c>
      <c r="H102" s="4">
        <v>16666.25</v>
      </c>
      <c r="I102" s="33">
        <f t="shared" si="17"/>
        <v>1666.25</v>
      </c>
      <c r="J102" s="33">
        <f t="shared" si="18"/>
        <v>15000</v>
      </c>
      <c r="K102" s="33">
        <f t="shared" si="13"/>
        <v>11663.75</v>
      </c>
      <c r="L102" s="33">
        <f t="shared" si="14"/>
        <v>71648.75</v>
      </c>
      <c r="M102" s="29">
        <v>7</v>
      </c>
      <c r="N102" s="34">
        <f t="shared" si="10"/>
        <v>43</v>
      </c>
      <c r="O102" s="35">
        <f t="shared" si="11"/>
        <v>116663.75</v>
      </c>
      <c r="P102" s="36">
        <f t="shared" si="12"/>
        <v>716648.75</v>
      </c>
      <c r="Q102" s="73" t="s">
        <v>94</v>
      </c>
      <c r="R102" s="62">
        <v>45323</v>
      </c>
      <c r="S102" s="122">
        <v>46843</v>
      </c>
      <c r="Y102" s="99"/>
      <c r="AB102" s="95"/>
    </row>
    <row r="103" spans="1:28" ht="21" x14ac:dyDescent="0.35">
      <c r="A103" s="108">
        <v>99</v>
      </c>
      <c r="B103" s="28" t="s">
        <v>26</v>
      </c>
      <c r="C103" s="66" t="s">
        <v>155</v>
      </c>
      <c r="D103" s="30">
        <v>600000</v>
      </c>
      <c r="E103" s="30">
        <v>79980</v>
      </c>
      <c r="F103" s="31">
        <f>D103+E103</f>
        <v>679980</v>
      </c>
      <c r="G103" s="27">
        <v>60</v>
      </c>
      <c r="H103" s="84">
        <v>11333</v>
      </c>
      <c r="I103" s="33">
        <f t="shared" si="17"/>
        <v>1599.6</v>
      </c>
      <c r="J103" s="33">
        <f t="shared" si="18"/>
        <v>12000</v>
      </c>
      <c r="K103" s="33">
        <f t="shared" si="13"/>
        <v>11197.199999999999</v>
      </c>
      <c r="L103" s="33">
        <f t="shared" si="14"/>
        <v>84778.799999999988</v>
      </c>
      <c r="M103" s="29">
        <v>7</v>
      </c>
      <c r="N103" s="34">
        <f t="shared" si="10"/>
        <v>53</v>
      </c>
      <c r="O103" s="35">
        <f t="shared" si="11"/>
        <v>79331</v>
      </c>
      <c r="P103" s="36">
        <f t="shared" si="12"/>
        <v>600649</v>
      </c>
      <c r="Q103" s="73" t="s">
        <v>94</v>
      </c>
      <c r="R103" s="62">
        <v>45323</v>
      </c>
      <c r="S103" s="42">
        <v>47149</v>
      </c>
      <c r="Y103" s="99"/>
      <c r="AB103" s="95"/>
    </row>
    <row r="104" spans="1:28" ht="21" x14ac:dyDescent="0.35">
      <c r="A104" s="108">
        <v>100</v>
      </c>
      <c r="B104" s="28" t="s">
        <v>26</v>
      </c>
      <c r="C104" s="66" t="s">
        <v>156</v>
      </c>
      <c r="D104" s="30">
        <v>600000</v>
      </c>
      <c r="E104" s="30">
        <v>79980</v>
      </c>
      <c r="F104" s="31">
        <f>D104+E104</f>
        <v>679980</v>
      </c>
      <c r="G104" s="27">
        <v>60</v>
      </c>
      <c r="H104" s="84">
        <v>11333</v>
      </c>
      <c r="I104" s="33">
        <f t="shared" si="17"/>
        <v>1599.6</v>
      </c>
      <c r="J104" s="33">
        <f t="shared" si="18"/>
        <v>12000</v>
      </c>
      <c r="K104" s="33">
        <f t="shared" si="13"/>
        <v>11197.199999999999</v>
      </c>
      <c r="L104" s="33">
        <f t="shared" si="14"/>
        <v>84778.799999999988</v>
      </c>
      <c r="M104" s="29">
        <v>7</v>
      </c>
      <c r="N104" s="34">
        <f t="shared" si="10"/>
        <v>53</v>
      </c>
      <c r="O104" s="35">
        <f t="shared" si="11"/>
        <v>79331</v>
      </c>
      <c r="P104" s="36">
        <f t="shared" si="12"/>
        <v>600649</v>
      </c>
      <c r="Q104" s="73" t="s">
        <v>94</v>
      </c>
      <c r="R104" s="62">
        <v>45323</v>
      </c>
      <c r="S104" s="42">
        <v>47149</v>
      </c>
      <c r="Y104" s="99"/>
      <c r="AB104" s="95"/>
    </row>
    <row r="105" spans="1:28" ht="21" x14ac:dyDescent="0.35">
      <c r="A105" s="108">
        <v>101</v>
      </c>
      <c r="B105" s="28" t="s">
        <v>26</v>
      </c>
      <c r="C105" s="116" t="s">
        <v>157</v>
      </c>
      <c r="D105" s="30">
        <v>450000</v>
      </c>
      <c r="E105" s="30">
        <v>49987.5</v>
      </c>
      <c r="F105" s="31">
        <f t="shared" ref="F105:F107" si="23">D105+E105</f>
        <v>499987.5</v>
      </c>
      <c r="G105" s="27">
        <v>50</v>
      </c>
      <c r="H105" s="54">
        <v>9999.75</v>
      </c>
      <c r="I105" s="33">
        <f t="shared" si="17"/>
        <v>999.75</v>
      </c>
      <c r="J105" s="33">
        <f t="shared" si="18"/>
        <v>9000</v>
      </c>
      <c r="K105" s="33">
        <f t="shared" si="13"/>
        <v>7998</v>
      </c>
      <c r="L105" s="33">
        <f t="shared" si="14"/>
        <v>41989.5</v>
      </c>
      <c r="M105" s="29">
        <v>8</v>
      </c>
      <c r="N105" s="34">
        <f t="shared" si="10"/>
        <v>42</v>
      </c>
      <c r="O105" s="35">
        <f t="shared" si="11"/>
        <v>79998</v>
      </c>
      <c r="P105" s="36">
        <f t="shared" si="12"/>
        <v>419989.5</v>
      </c>
      <c r="Q105" s="73" t="s">
        <v>94</v>
      </c>
      <c r="R105" s="62">
        <v>45323</v>
      </c>
      <c r="S105" s="122">
        <v>46843</v>
      </c>
      <c r="Y105" s="99"/>
      <c r="AB105" s="95"/>
    </row>
    <row r="106" spans="1:28" ht="21" x14ac:dyDescent="0.35">
      <c r="A106" s="108">
        <v>102</v>
      </c>
      <c r="B106" s="28" t="s">
        <v>26</v>
      </c>
      <c r="C106" s="66" t="s">
        <v>158</v>
      </c>
      <c r="D106" s="30">
        <v>450000</v>
      </c>
      <c r="E106" s="30">
        <v>59985</v>
      </c>
      <c r="F106" s="31">
        <f t="shared" si="23"/>
        <v>509985</v>
      </c>
      <c r="G106" s="27">
        <v>60</v>
      </c>
      <c r="H106" s="75">
        <v>8499.75</v>
      </c>
      <c r="I106" s="33">
        <f t="shared" si="17"/>
        <v>1199.7</v>
      </c>
      <c r="J106" s="33">
        <f t="shared" si="18"/>
        <v>9000</v>
      </c>
      <c r="K106" s="33">
        <f t="shared" si="13"/>
        <v>9597.6</v>
      </c>
      <c r="L106" s="33">
        <f t="shared" si="14"/>
        <v>62384.4</v>
      </c>
      <c r="M106" s="29">
        <v>8</v>
      </c>
      <c r="N106" s="34">
        <f t="shared" si="10"/>
        <v>52</v>
      </c>
      <c r="O106" s="35">
        <f t="shared" si="11"/>
        <v>67998</v>
      </c>
      <c r="P106" s="36">
        <f t="shared" si="12"/>
        <v>441987</v>
      </c>
      <c r="Q106" s="73" t="s">
        <v>94</v>
      </c>
      <c r="R106" s="62">
        <v>45323</v>
      </c>
      <c r="S106" s="42">
        <v>47149</v>
      </c>
      <c r="Y106" s="99"/>
      <c r="AB106" s="95"/>
    </row>
    <row r="107" spans="1:28" ht="21" x14ac:dyDescent="0.35">
      <c r="A107" s="108">
        <v>103</v>
      </c>
      <c r="B107" s="28" t="s">
        <v>26</v>
      </c>
      <c r="C107" s="66" t="s">
        <v>159</v>
      </c>
      <c r="D107" s="30">
        <v>250000</v>
      </c>
      <c r="E107" s="30">
        <v>33324.800000000003</v>
      </c>
      <c r="F107" s="31">
        <f t="shared" si="23"/>
        <v>283324.79999999999</v>
      </c>
      <c r="G107" s="115">
        <v>60</v>
      </c>
      <c r="H107" s="75">
        <v>4722.08</v>
      </c>
      <c r="I107" s="33">
        <f t="shared" si="17"/>
        <v>666.49600000000009</v>
      </c>
      <c r="J107" s="33">
        <f t="shared" si="18"/>
        <v>5000</v>
      </c>
      <c r="K107" s="33">
        <f t="shared" si="13"/>
        <v>5331.9680000000008</v>
      </c>
      <c r="L107" s="33">
        <f t="shared" si="14"/>
        <v>34657.792000000001</v>
      </c>
      <c r="M107" s="29">
        <v>8</v>
      </c>
      <c r="N107" s="34">
        <f t="shared" si="10"/>
        <v>52</v>
      </c>
      <c r="O107" s="35">
        <f t="shared" si="11"/>
        <v>37776.639999999999</v>
      </c>
      <c r="P107" s="36">
        <f t="shared" si="12"/>
        <v>245548.16</v>
      </c>
      <c r="Q107" s="73" t="s">
        <v>94</v>
      </c>
      <c r="R107" s="62">
        <v>45323</v>
      </c>
      <c r="S107" s="42">
        <v>47149</v>
      </c>
      <c r="Y107" s="99"/>
      <c r="AB107" s="95"/>
    </row>
    <row r="108" spans="1:28" ht="21" x14ac:dyDescent="0.35">
      <c r="A108" s="108">
        <v>104</v>
      </c>
      <c r="B108" s="28" t="s">
        <v>26</v>
      </c>
      <c r="C108" s="66" t="s">
        <v>160</v>
      </c>
      <c r="D108" s="30">
        <v>750000</v>
      </c>
      <c r="E108" s="30">
        <v>83312.5</v>
      </c>
      <c r="F108" s="31">
        <v>833312.5</v>
      </c>
      <c r="G108" s="27">
        <v>50</v>
      </c>
      <c r="H108" s="4">
        <v>16666.25</v>
      </c>
      <c r="I108" s="33">
        <f t="shared" si="17"/>
        <v>1666.25</v>
      </c>
      <c r="J108" s="33">
        <f t="shared" si="18"/>
        <v>15000</v>
      </c>
      <c r="K108" s="33">
        <f t="shared" si="13"/>
        <v>13330</v>
      </c>
      <c r="L108" s="33">
        <f t="shared" si="14"/>
        <v>69982.5</v>
      </c>
      <c r="M108" s="29">
        <v>8</v>
      </c>
      <c r="N108" s="34">
        <f t="shared" si="10"/>
        <v>42</v>
      </c>
      <c r="O108" s="35">
        <f t="shared" si="11"/>
        <v>133330</v>
      </c>
      <c r="P108" s="36">
        <f t="shared" si="12"/>
        <v>699982.5</v>
      </c>
      <c r="Q108" s="73" t="s">
        <v>94</v>
      </c>
      <c r="R108" s="62">
        <v>45323</v>
      </c>
      <c r="S108" s="122">
        <v>46843</v>
      </c>
      <c r="Y108" s="99"/>
      <c r="AB108" s="95"/>
    </row>
    <row r="109" spans="1:28" ht="21" x14ac:dyDescent="0.35">
      <c r="A109" s="108">
        <v>105</v>
      </c>
      <c r="B109" s="28" t="s">
        <v>26</v>
      </c>
      <c r="C109" s="66" t="s">
        <v>93</v>
      </c>
      <c r="D109" s="30">
        <v>750000</v>
      </c>
      <c r="E109" s="30">
        <v>99975</v>
      </c>
      <c r="F109" s="31">
        <f t="shared" ref="F109" si="24">D109+E109</f>
        <v>849975</v>
      </c>
      <c r="G109" s="27">
        <v>30</v>
      </c>
      <c r="H109" s="40">
        <v>26666.25</v>
      </c>
      <c r="I109" s="33">
        <f t="shared" si="17"/>
        <v>1999.5</v>
      </c>
      <c r="J109" s="33">
        <f t="shared" si="18"/>
        <v>15000</v>
      </c>
      <c r="K109" s="33">
        <f t="shared" si="13"/>
        <v>15996</v>
      </c>
      <c r="L109" s="33">
        <f t="shared" si="14"/>
        <v>43989</v>
      </c>
      <c r="M109" s="29">
        <v>8</v>
      </c>
      <c r="N109" s="34">
        <f t="shared" si="10"/>
        <v>22</v>
      </c>
      <c r="O109" s="35">
        <f t="shared" si="11"/>
        <v>213330</v>
      </c>
      <c r="P109" s="36">
        <f t="shared" si="12"/>
        <v>586657.5</v>
      </c>
      <c r="Q109" s="73" t="s">
        <v>94</v>
      </c>
      <c r="R109" s="62">
        <v>45323</v>
      </c>
      <c r="S109" s="129">
        <v>46234</v>
      </c>
      <c r="Y109" s="99"/>
      <c r="AB109" s="95"/>
    </row>
    <row r="110" spans="1:28" ht="21" x14ac:dyDescent="0.35">
      <c r="A110" s="108">
        <v>106</v>
      </c>
      <c r="B110" s="28" t="s">
        <v>26</v>
      </c>
      <c r="C110" s="66" t="s">
        <v>161</v>
      </c>
      <c r="D110" s="30">
        <v>600000</v>
      </c>
      <c r="E110" s="30">
        <v>53320</v>
      </c>
      <c r="F110" s="31">
        <v>653320</v>
      </c>
      <c r="G110" s="115">
        <v>40</v>
      </c>
      <c r="H110" s="72">
        <v>16333</v>
      </c>
      <c r="I110" s="33">
        <f t="shared" si="17"/>
        <v>1066.4000000000001</v>
      </c>
      <c r="J110" s="33">
        <f t="shared" si="18"/>
        <v>12000</v>
      </c>
      <c r="K110" s="33">
        <f t="shared" si="13"/>
        <v>12796.800000000001</v>
      </c>
      <c r="L110" s="33">
        <f t="shared" si="14"/>
        <v>29859.200000000004</v>
      </c>
      <c r="M110" s="29">
        <v>12</v>
      </c>
      <c r="N110" s="34">
        <f t="shared" si="10"/>
        <v>28</v>
      </c>
      <c r="O110" s="35">
        <f t="shared" si="11"/>
        <v>195996</v>
      </c>
      <c r="P110" s="36">
        <f t="shared" si="12"/>
        <v>457324</v>
      </c>
      <c r="Q110" s="113" t="s">
        <v>37</v>
      </c>
      <c r="R110" s="105">
        <v>45200</v>
      </c>
      <c r="S110" s="105">
        <v>46418</v>
      </c>
      <c r="Y110" s="99"/>
      <c r="AB110" s="95"/>
    </row>
    <row r="111" spans="1:28" ht="21" x14ac:dyDescent="0.35">
      <c r="A111" s="108">
        <v>107</v>
      </c>
      <c r="B111" s="28" t="s">
        <v>26</v>
      </c>
      <c r="C111" s="66" t="s">
        <v>163</v>
      </c>
      <c r="D111" s="30">
        <v>450000</v>
      </c>
      <c r="E111" s="30">
        <v>59985</v>
      </c>
      <c r="F111" s="31">
        <f t="shared" ref="F111" si="25">D111+E111</f>
        <v>509985</v>
      </c>
      <c r="G111" s="27">
        <v>60</v>
      </c>
      <c r="H111" s="75">
        <v>8499.75</v>
      </c>
      <c r="I111" s="33">
        <f t="shared" si="17"/>
        <v>1199.7</v>
      </c>
      <c r="J111" s="33">
        <f t="shared" si="18"/>
        <v>9000</v>
      </c>
      <c r="K111" s="33">
        <f t="shared" si="13"/>
        <v>46788.3</v>
      </c>
      <c r="L111" s="33">
        <f t="shared" si="14"/>
        <v>25193.7</v>
      </c>
      <c r="M111" s="29">
        <v>39</v>
      </c>
      <c r="N111" s="34">
        <f t="shared" si="10"/>
        <v>21</v>
      </c>
      <c r="O111" s="35">
        <f t="shared" si="11"/>
        <v>331490.25</v>
      </c>
      <c r="P111" s="36">
        <f t="shared" si="12"/>
        <v>178494.75</v>
      </c>
      <c r="Q111" s="113" t="s">
        <v>37</v>
      </c>
      <c r="R111" s="105">
        <v>44378</v>
      </c>
      <c r="S111" s="105">
        <v>46203</v>
      </c>
      <c r="Y111" s="99"/>
      <c r="AB111" s="95"/>
    </row>
    <row r="112" spans="1:28" ht="21" x14ac:dyDescent="0.35">
      <c r="A112" s="108">
        <v>108</v>
      </c>
      <c r="B112" s="28" t="s">
        <v>26</v>
      </c>
      <c r="C112" s="66" t="s">
        <v>164</v>
      </c>
      <c r="D112" s="30">
        <v>750000</v>
      </c>
      <c r="E112" s="30">
        <v>83312.5</v>
      </c>
      <c r="F112" s="31">
        <v>833312.5</v>
      </c>
      <c r="G112" s="27">
        <v>50</v>
      </c>
      <c r="H112" s="4">
        <v>16666.25</v>
      </c>
      <c r="I112" s="33">
        <f t="shared" si="17"/>
        <v>1666.25</v>
      </c>
      <c r="J112" s="33">
        <f t="shared" si="18"/>
        <v>15000</v>
      </c>
      <c r="K112" s="33">
        <f t="shared" si="13"/>
        <v>11663.75</v>
      </c>
      <c r="L112" s="33">
        <f t="shared" si="14"/>
        <v>71648.75</v>
      </c>
      <c r="M112" s="29">
        <v>7</v>
      </c>
      <c r="N112" s="34">
        <f t="shared" si="10"/>
        <v>43</v>
      </c>
      <c r="O112" s="35">
        <f t="shared" si="11"/>
        <v>116663.75</v>
      </c>
      <c r="P112" s="36">
        <f t="shared" si="12"/>
        <v>716648.75</v>
      </c>
      <c r="Q112" s="73" t="s">
        <v>94</v>
      </c>
      <c r="R112" s="62">
        <v>45352</v>
      </c>
      <c r="S112" s="42">
        <v>46873</v>
      </c>
      <c r="Y112" s="99"/>
      <c r="AB112" s="95"/>
    </row>
    <row r="113" spans="1:28" ht="21" x14ac:dyDescent="0.35">
      <c r="A113" s="108">
        <v>109</v>
      </c>
      <c r="B113" s="28" t="s">
        <v>26</v>
      </c>
      <c r="C113" s="66" t="s">
        <v>80</v>
      </c>
      <c r="D113" s="30">
        <v>750000</v>
      </c>
      <c r="E113" s="30">
        <v>99975</v>
      </c>
      <c r="F113" s="31">
        <f t="shared" ref="F113" si="26">D113+E113</f>
        <v>849975</v>
      </c>
      <c r="G113" s="27">
        <v>60</v>
      </c>
      <c r="H113" s="72">
        <v>14166.25</v>
      </c>
      <c r="I113" s="33">
        <f t="shared" si="17"/>
        <v>1999.5</v>
      </c>
      <c r="J113" s="33">
        <f t="shared" si="18"/>
        <v>15000</v>
      </c>
      <c r="K113" s="33">
        <f t="shared" si="13"/>
        <v>13996.5</v>
      </c>
      <c r="L113" s="33">
        <f t="shared" si="14"/>
        <v>105973.5</v>
      </c>
      <c r="M113" s="29">
        <v>7</v>
      </c>
      <c r="N113" s="34">
        <f t="shared" si="10"/>
        <v>53</v>
      </c>
      <c r="O113" s="35">
        <f t="shared" si="11"/>
        <v>99163.75</v>
      </c>
      <c r="P113" s="36">
        <f t="shared" si="12"/>
        <v>750811.25</v>
      </c>
      <c r="Q113" s="73" t="s">
        <v>94</v>
      </c>
      <c r="R113" s="62">
        <v>45352</v>
      </c>
      <c r="S113" s="42">
        <v>47177</v>
      </c>
      <c r="Y113" s="99"/>
      <c r="AB113" s="95"/>
    </row>
    <row r="114" spans="1:28" ht="21" x14ac:dyDescent="0.35">
      <c r="A114" s="108">
        <v>110</v>
      </c>
      <c r="B114" s="28" t="s">
        <v>26</v>
      </c>
      <c r="C114" s="66" t="s">
        <v>165</v>
      </c>
      <c r="D114" s="30">
        <v>750000</v>
      </c>
      <c r="E114" s="30">
        <v>59984.88</v>
      </c>
      <c r="F114" s="31">
        <v>809984.88</v>
      </c>
      <c r="G114" s="87">
        <v>36</v>
      </c>
      <c r="H114" s="72">
        <v>22499.58</v>
      </c>
      <c r="I114" s="33">
        <f t="shared" si="17"/>
        <v>1199.6976</v>
      </c>
      <c r="J114" s="33">
        <f t="shared" si="18"/>
        <v>15000</v>
      </c>
      <c r="K114" s="33">
        <f t="shared" si="13"/>
        <v>8397.8832000000002</v>
      </c>
      <c r="L114" s="33">
        <f t="shared" si="14"/>
        <v>34791.2304</v>
      </c>
      <c r="M114" s="29">
        <v>7</v>
      </c>
      <c r="N114" s="34">
        <f t="shared" si="10"/>
        <v>29</v>
      </c>
      <c r="O114" s="35">
        <f t="shared" si="11"/>
        <v>157497.06</v>
      </c>
      <c r="P114" s="36">
        <f t="shared" si="12"/>
        <v>652487.82000000007</v>
      </c>
      <c r="Q114" s="73" t="s">
        <v>94</v>
      </c>
      <c r="R114" s="62">
        <v>45352</v>
      </c>
      <c r="S114" s="42">
        <v>46446</v>
      </c>
      <c r="Y114" s="99"/>
      <c r="AB114" s="95"/>
    </row>
    <row r="115" spans="1:28" ht="21" x14ac:dyDescent="0.35">
      <c r="A115" s="108">
        <v>111</v>
      </c>
      <c r="B115" s="28" t="s">
        <v>26</v>
      </c>
      <c r="C115" s="66" t="s">
        <v>166</v>
      </c>
      <c r="D115" s="30">
        <v>450000</v>
      </c>
      <c r="E115" s="30">
        <v>49987.5</v>
      </c>
      <c r="F115" s="31">
        <f t="shared" ref="F115:F116" si="27">D115+E115</f>
        <v>499987.5</v>
      </c>
      <c r="G115" s="27">
        <v>50</v>
      </c>
      <c r="H115" s="54">
        <v>9999.75</v>
      </c>
      <c r="I115" s="33">
        <f t="shared" si="17"/>
        <v>999.75</v>
      </c>
      <c r="J115" s="33">
        <f t="shared" si="18"/>
        <v>9000</v>
      </c>
      <c r="K115" s="33">
        <f t="shared" si="13"/>
        <v>6998.25</v>
      </c>
      <c r="L115" s="33">
        <f t="shared" si="14"/>
        <v>42989.25</v>
      </c>
      <c r="M115" s="29">
        <v>7</v>
      </c>
      <c r="N115" s="34">
        <f t="shared" si="10"/>
        <v>43</v>
      </c>
      <c r="O115" s="35">
        <f t="shared" si="11"/>
        <v>69998.25</v>
      </c>
      <c r="P115" s="36">
        <f t="shared" si="12"/>
        <v>429989.25</v>
      </c>
      <c r="Q115" s="73" t="s">
        <v>94</v>
      </c>
      <c r="R115" s="62">
        <v>45352</v>
      </c>
      <c r="S115" s="42">
        <v>46873</v>
      </c>
      <c r="Y115" s="99"/>
      <c r="AB115" s="95"/>
    </row>
    <row r="116" spans="1:28" ht="21" x14ac:dyDescent="0.35">
      <c r="A116" s="108">
        <v>112</v>
      </c>
      <c r="B116" s="28" t="s">
        <v>26</v>
      </c>
      <c r="C116" s="66" t="s">
        <v>167</v>
      </c>
      <c r="D116" s="88">
        <v>450000</v>
      </c>
      <c r="E116" s="88">
        <v>47988</v>
      </c>
      <c r="F116" s="89">
        <f t="shared" si="27"/>
        <v>497988</v>
      </c>
      <c r="G116" s="70">
        <v>48</v>
      </c>
      <c r="H116" s="86">
        <v>10374.75</v>
      </c>
      <c r="I116" s="33">
        <f t="shared" si="17"/>
        <v>959.76</v>
      </c>
      <c r="J116" s="33">
        <f t="shared" si="18"/>
        <v>9000</v>
      </c>
      <c r="K116" s="33">
        <f t="shared" si="13"/>
        <v>6718.32</v>
      </c>
      <c r="L116" s="33">
        <f t="shared" si="14"/>
        <v>39350.159999999996</v>
      </c>
      <c r="M116" s="29">
        <v>7</v>
      </c>
      <c r="N116" s="34">
        <f t="shared" si="10"/>
        <v>41</v>
      </c>
      <c r="O116" s="35">
        <f t="shared" si="11"/>
        <v>72623.25</v>
      </c>
      <c r="P116" s="36">
        <f t="shared" si="12"/>
        <v>425364.75</v>
      </c>
      <c r="Q116" s="73" t="s">
        <v>94</v>
      </c>
      <c r="R116" s="62">
        <v>45352</v>
      </c>
      <c r="S116" s="42">
        <v>46811</v>
      </c>
      <c r="Y116" s="99"/>
      <c r="AB116" s="95"/>
    </row>
    <row r="117" spans="1:28" ht="21" x14ac:dyDescent="0.35">
      <c r="A117" s="108">
        <v>113</v>
      </c>
      <c r="B117" s="28" t="s">
        <v>26</v>
      </c>
      <c r="C117" s="66" t="s">
        <v>170</v>
      </c>
      <c r="D117" s="30">
        <v>750000</v>
      </c>
      <c r="E117" s="30">
        <v>59984.88</v>
      </c>
      <c r="F117" s="31">
        <v>809984.88</v>
      </c>
      <c r="G117" s="87">
        <v>36</v>
      </c>
      <c r="H117" s="72">
        <v>22499.59</v>
      </c>
      <c r="I117" s="33">
        <f t="shared" si="17"/>
        <v>1199.6976</v>
      </c>
      <c r="J117" s="33">
        <f t="shared" si="18"/>
        <v>15000</v>
      </c>
      <c r="K117" s="33">
        <f t="shared" si="13"/>
        <v>8397.8832000000002</v>
      </c>
      <c r="L117" s="33">
        <f t="shared" si="14"/>
        <v>34791.2304</v>
      </c>
      <c r="M117" s="29">
        <v>7</v>
      </c>
      <c r="N117" s="34">
        <f t="shared" si="10"/>
        <v>29</v>
      </c>
      <c r="O117" s="35">
        <f t="shared" si="11"/>
        <v>157497.13</v>
      </c>
      <c r="P117" s="36">
        <f t="shared" si="12"/>
        <v>652488.11</v>
      </c>
      <c r="Q117" s="73" t="s">
        <v>94</v>
      </c>
      <c r="R117" s="62">
        <v>45383</v>
      </c>
      <c r="S117" s="42">
        <v>46477</v>
      </c>
      <c r="Y117" s="99"/>
      <c r="AB117" s="95"/>
    </row>
    <row r="118" spans="1:28" ht="21" x14ac:dyDescent="0.35">
      <c r="A118" s="108">
        <v>114</v>
      </c>
      <c r="B118" s="28" t="s">
        <v>26</v>
      </c>
      <c r="C118" s="66" t="s">
        <v>171</v>
      </c>
      <c r="D118" s="30">
        <v>750000</v>
      </c>
      <c r="E118" s="30">
        <v>99975</v>
      </c>
      <c r="F118" s="31">
        <f t="shared" ref="F118:F119" si="28">D118+E118</f>
        <v>849975</v>
      </c>
      <c r="G118" s="27">
        <v>60</v>
      </c>
      <c r="H118" s="72">
        <v>14166.25</v>
      </c>
      <c r="I118" s="33">
        <f t="shared" si="17"/>
        <v>1999.5</v>
      </c>
      <c r="J118" s="33">
        <f t="shared" si="18"/>
        <v>15000</v>
      </c>
      <c r="K118" s="33">
        <f t="shared" si="13"/>
        <v>13996.5</v>
      </c>
      <c r="L118" s="33">
        <f t="shared" si="14"/>
        <v>105973.5</v>
      </c>
      <c r="M118" s="29">
        <v>7</v>
      </c>
      <c r="N118" s="34">
        <f t="shared" si="10"/>
        <v>53</v>
      </c>
      <c r="O118" s="35">
        <f t="shared" si="11"/>
        <v>99163.75</v>
      </c>
      <c r="P118" s="36">
        <f t="shared" si="12"/>
        <v>750811.25</v>
      </c>
      <c r="Q118" s="73" t="s">
        <v>94</v>
      </c>
      <c r="R118" s="62">
        <v>45383</v>
      </c>
      <c r="S118" s="42">
        <v>47208</v>
      </c>
      <c r="Y118" s="99"/>
      <c r="AB118" s="95"/>
    </row>
    <row r="119" spans="1:28" ht="21" x14ac:dyDescent="0.35">
      <c r="A119" s="108">
        <v>115</v>
      </c>
      <c r="B119" s="28" t="s">
        <v>26</v>
      </c>
      <c r="C119" s="66" t="s">
        <v>172</v>
      </c>
      <c r="D119" s="30">
        <v>450000</v>
      </c>
      <c r="E119" s="30">
        <v>49987.5</v>
      </c>
      <c r="F119" s="31">
        <f t="shared" si="28"/>
        <v>499987.5</v>
      </c>
      <c r="G119" s="27">
        <v>50</v>
      </c>
      <c r="H119" s="54">
        <v>9999.75</v>
      </c>
      <c r="I119" s="33">
        <f t="shared" si="17"/>
        <v>999.75</v>
      </c>
      <c r="J119" s="33">
        <f t="shared" si="18"/>
        <v>9000</v>
      </c>
      <c r="K119" s="33">
        <f t="shared" si="13"/>
        <v>6998.25</v>
      </c>
      <c r="L119" s="33">
        <f t="shared" si="14"/>
        <v>42989.25</v>
      </c>
      <c r="M119" s="29">
        <v>7</v>
      </c>
      <c r="N119" s="34">
        <f t="shared" si="10"/>
        <v>43</v>
      </c>
      <c r="O119" s="35">
        <f t="shared" si="11"/>
        <v>69998.25</v>
      </c>
      <c r="P119" s="36">
        <f t="shared" si="12"/>
        <v>429989.25</v>
      </c>
      <c r="Q119" s="73" t="s">
        <v>94</v>
      </c>
      <c r="R119" s="62">
        <v>45383</v>
      </c>
      <c r="S119" s="42">
        <v>46904</v>
      </c>
      <c r="Y119" s="99"/>
      <c r="AB119" s="95"/>
    </row>
    <row r="120" spans="1:28" ht="21" x14ac:dyDescent="0.35">
      <c r="A120" s="108">
        <v>116</v>
      </c>
      <c r="B120" s="28" t="s">
        <v>26</v>
      </c>
      <c r="C120" s="66" t="s">
        <v>173</v>
      </c>
      <c r="D120" s="30">
        <v>600000</v>
      </c>
      <c r="E120" s="30">
        <v>79980</v>
      </c>
      <c r="F120" s="31">
        <f>D120+E120</f>
        <v>679980</v>
      </c>
      <c r="G120" s="27">
        <v>60</v>
      </c>
      <c r="H120" s="84">
        <v>11333</v>
      </c>
      <c r="I120" s="33">
        <f t="shared" si="17"/>
        <v>1599.6</v>
      </c>
      <c r="J120" s="33">
        <f t="shared" si="18"/>
        <v>12000</v>
      </c>
      <c r="K120" s="33">
        <f t="shared" si="13"/>
        <v>11197.199999999999</v>
      </c>
      <c r="L120" s="33">
        <f t="shared" si="14"/>
        <v>84778.799999999988</v>
      </c>
      <c r="M120" s="29">
        <v>7</v>
      </c>
      <c r="N120" s="34">
        <f t="shared" si="10"/>
        <v>53</v>
      </c>
      <c r="O120" s="35">
        <f t="shared" si="11"/>
        <v>79331</v>
      </c>
      <c r="P120" s="36">
        <f t="shared" si="12"/>
        <v>600649</v>
      </c>
      <c r="Q120" s="73" t="s">
        <v>94</v>
      </c>
      <c r="R120" s="62">
        <v>45383</v>
      </c>
      <c r="S120" s="42">
        <v>47208</v>
      </c>
      <c r="Y120" s="99"/>
      <c r="AB120" s="95"/>
    </row>
    <row r="121" spans="1:28" ht="21" x14ac:dyDescent="0.35">
      <c r="A121" s="108">
        <v>117</v>
      </c>
      <c r="B121" s="28" t="s">
        <v>26</v>
      </c>
      <c r="C121" s="66" t="s">
        <v>174</v>
      </c>
      <c r="D121" s="30">
        <v>750000</v>
      </c>
      <c r="E121" s="30">
        <v>62688.75</v>
      </c>
      <c r="F121" s="31">
        <f t="shared" ref="F121:F124" si="29">D121+E121</f>
        <v>812688.75</v>
      </c>
      <c r="G121" s="115">
        <v>47</v>
      </c>
      <c r="H121" s="75">
        <v>17291.25</v>
      </c>
      <c r="I121" s="33">
        <f t="shared" si="17"/>
        <v>1253.7750000000001</v>
      </c>
      <c r="J121" s="33">
        <f t="shared" si="18"/>
        <v>15000</v>
      </c>
      <c r="K121" s="33">
        <f t="shared" si="13"/>
        <v>8776.4250000000011</v>
      </c>
      <c r="L121" s="33">
        <f t="shared" si="14"/>
        <v>50151</v>
      </c>
      <c r="M121" s="29">
        <v>7</v>
      </c>
      <c r="N121" s="34">
        <f t="shared" si="10"/>
        <v>40</v>
      </c>
      <c r="O121" s="35">
        <f t="shared" si="11"/>
        <v>121038.75</v>
      </c>
      <c r="P121" s="36">
        <f t="shared" si="12"/>
        <v>691650</v>
      </c>
      <c r="Q121" s="73" t="s">
        <v>94</v>
      </c>
      <c r="R121" s="62">
        <v>45383</v>
      </c>
      <c r="S121" s="129">
        <v>46843</v>
      </c>
      <c r="Y121" s="99"/>
      <c r="AB121" s="95"/>
    </row>
    <row r="122" spans="1:28" ht="21" x14ac:dyDescent="0.35">
      <c r="A122" s="108">
        <v>118</v>
      </c>
      <c r="B122" s="28" t="s">
        <v>26</v>
      </c>
      <c r="C122" s="66" t="s">
        <v>145</v>
      </c>
      <c r="D122" s="30">
        <v>250000</v>
      </c>
      <c r="E122" s="30">
        <v>27771</v>
      </c>
      <c r="F122" s="31">
        <f t="shared" si="29"/>
        <v>277771</v>
      </c>
      <c r="G122" s="115">
        <v>50</v>
      </c>
      <c r="H122" s="75">
        <v>5555.42</v>
      </c>
      <c r="I122" s="33">
        <f t="shared" si="17"/>
        <v>555.41999999999996</v>
      </c>
      <c r="J122" s="33">
        <f t="shared" si="18"/>
        <v>5000</v>
      </c>
      <c r="K122" s="33">
        <f t="shared" si="13"/>
        <v>3887.9399999999996</v>
      </c>
      <c r="L122" s="33">
        <f t="shared" si="14"/>
        <v>23883.059999999998</v>
      </c>
      <c r="M122" s="29">
        <v>7</v>
      </c>
      <c r="N122" s="34">
        <f t="shared" si="10"/>
        <v>43</v>
      </c>
      <c r="O122" s="35">
        <f t="shared" si="11"/>
        <v>38887.94</v>
      </c>
      <c r="P122" s="36">
        <f t="shared" si="12"/>
        <v>238883.06</v>
      </c>
      <c r="Q122" s="73" t="s">
        <v>94</v>
      </c>
      <c r="R122" s="62">
        <v>45383</v>
      </c>
      <c r="S122" s="42">
        <v>46904</v>
      </c>
      <c r="Y122" s="99"/>
      <c r="AB122" s="95"/>
    </row>
    <row r="123" spans="1:28" ht="21" x14ac:dyDescent="0.35">
      <c r="A123" s="108">
        <v>119</v>
      </c>
      <c r="B123" s="28" t="s">
        <v>26</v>
      </c>
      <c r="C123" s="66" t="s">
        <v>175</v>
      </c>
      <c r="D123" s="30">
        <v>600000</v>
      </c>
      <c r="E123" s="30">
        <v>79980</v>
      </c>
      <c r="F123" s="31">
        <f>D123+E123</f>
        <v>679980</v>
      </c>
      <c r="G123" s="27">
        <v>60</v>
      </c>
      <c r="H123" s="84">
        <v>11333</v>
      </c>
      <c r="I123" s="33">
        <f t="shared" si="17"/>
        <v>1599.6</v>
      </c>
      <c r="J123" s="33">
        <f t="shared" si="18"/>
        <v>12000</v>
      </c>
      <c r="K123" s="33">
        <f t="shared" si="13"/>
        <v>7998</v>
      </c>
      <c r="L123" s="33">
        <f t="shared" si="14"/>
        <v>87978</v>
      </c>
      <c r="M123" s="29">
        <v>5</v>
      </c>
      <c r="N123" s="34">
        <f t="shared" si="10"/>
        <v>55</v>
      </c>
      <c r="O123" s="35">
        <f t="shared" si="11"/>
        <v>56665</v>
      </c>
      <c r="P123" s="36">
        <f t="shared" si="12"/>
        <v>623315</v>
      </c>
      <c r="Q123" s="73"/>
      <c r="R123" s="62">
        <v>45413</v>
      </c>
      <c r="S123" s="42"/>
      <c r="Y123" s="99"/>
      <c r="AB123" s="95"/>
    </row>
    <row r="124" spans="1:28" ht="21" x14ac:dyDescent="0.35">
      <c r="A124" s="108">
        <v>120</v>
      </c>
      <c r="B124" s="28" t="s">
        <v>26</v>
      </c>
      <c r="C124" s="66" t="s">
        <v>176</v>
      </c>
      <c r="D124" s="30">
        <v>150000</v>
      </c>
      <c r="E124" s="30">
        <v>19995</v>
      </c>
      <c r="F124" s="31">
        <f t="shared" si="29"/>
        <v>169995</v>
      </c>
      <c r="G124" s="27">
        <v>50</v>
      </c>
      <c r="H124" s="54">
        <v>3399.9</v>
      </c>
      <c r="I124" s="33">
        <f t="shared" si="17"/>
        <v>399.9</v>
      </c>
      <c r="J124" s="33">
        <f t="shared" si="18"/>
        <v>3000</v>
      </c>
      <c r="K124" s="33">
        <f t="shared" si="13"/>
        <v>1999.5</v>
      </c>
      <c r="L124" s="33">
        <f t="shared" si="14"/>
        <v>17995.5</v>
      </c>
      <c r="M124" s="29">
        <v>5</v>
      </c>
      <c r="N124" s="34">
        <f t="shared" si="10"/>
        <v>45</v>
      </c>
      <c r="O124" s="35">
        <f t="shared" si="11"/>
        <v>16999.5</v>
      </c>
      <c r="P124" s="36">
        <f t="shared" si="12"/>
        <v>152995.5</v>
      </c>
      <c r="Q124" s="73" t="s">
        <v>94</v>
      </c>
      <c r="R124" s="62">
        <v>45413</v>
      </c>
      <c r="S124" s="42"/>
      <c r="Y124" s="99"/>
      <c r="AB124" s="95"/>
    </row>
    <row r="125" spans="1:28" ht="21" x14ac:dyDescent="0.35">
      <c r="A125" s="108">
        <v>121</v>
      </c>
      <c r="B125" s="28" t="s">
        <v>26</v>
      </c>
      <c r="C125" s="66" t="s">
        <v>177</v>
      </c>
      <c r="D125" s="30">
        <v>750000</v>
      </c>
      <c r="E125" s="30">
        <v>83312.5</v>
      </c>
      <c r="F125" s="31">
        <v>833312.5</v>
      </c>
      <c r="G125" s="27">
        <v>50</v>
      </c>
      <c r="H125" s="4">
        <v>16666.25</v>
      </c>
      <c r="I125" s="33">
        <f t="shared" si="17"/>
        <v>1666.25</v>
      </c>
      <c r="J125" s="33">
        <f t="shared" si="18"/>
        <v>15000</v>
      </c>
      <c r="K125" s="33">
        <f t="shared" si="13"/>
        <v>8331.25</v>
      </c>
      <c r="L125" s="33">
        <f t="shared" si="14"/>
        <v>74981.25</v>
      </c>
      <c r="M125" s="29">
        <v>5</v>
      </c>
      <c r="N125" s="34">
        <f t="shared" si="10"/>
        <v>45</v>
      </c>
      <c r="O125" s="35">
        <f t="shared" si="11"/>
        <v>83331.25</v>
      </c>
      <c r="P125" s="36">
        <f t="shared" si="12"/>
        <v>749981.25</v>
      </c>
      <c r="Q125" s="73" t="s">
        <v>94</v>
      </c>
      <c r="R125" s="62">
        <v>45413</v>
      </c>
      <c r="S125" s="42">
        <v>46934</v>
      </c>
      <c r="Y125" s="99"/>
      <c r="AB125" s="95"/>
    </row>
    <row r="126" spans="1:28" ht="21" x14ac:dyDescent="0.35">
      <c r="A126" s="108">
        <v>122</v>
      </c>
      <c r="B126" s="28" t="s">
        <v>26</v>
      </c>
      <c r="C126" s="66" t="s">
        <v>178</v>
      </c>
      <c r="D126" s="30">
        <v>750000</v>
      </c>
      <c r="E126" s="30">
        <v>99975</v>
      </c>
      <c r="F126" s="31">
        <f t="shared" ref="F126:F129" si="30">D126+E126</f>
        <v>849975</v>
      </c>
      <c r="G126" s="27">
        <v>60</v>
      </c>
      <c r="H126" s="72">
        <v>14166.25</v>
      </c>
      <c r="I126" s="33">
        <f t="shared" si="17"/>
        <v>1999.5</v>
      </c>
      <c r="J126" s="33">
        <f t="shared" si="18"/>
        <v>15000</v>
      </c>
      <c r="K126" s="33">
        <f t="shared" si="13"/>
        <v>9997.5</v>
      </c>
      <c r="L126" s="33">
        <f t="shared" si="14"/>
        <v>109972.5</v>
      </c>
      <c r="M126" s="29">
        <v>5</v>
      </c>
      <c r="N126" s="34">
        <f t="shared" si="10"/>
        <v>55</v>
      </c>
      <c r="O126" s="35">
        <f t="shared" si="11"/>
        <v>70831.25</v>
      </c>
      <c r="P126" s="36">
        <f t="shared" si="12"/>
        <v>779143.75</v>
      </c>
      <c r="Q126" s="73" t="s">
        <v>94</v>
      </c>
      <c r="R126" s="62">
        <v>45413</v>
      </c>
      <c r="S126" s="42">
        <v>47238</v>
      </c>
      <c r="Y126" s="99"/>
      <c r="AB126" s="95"/>
    </row>
    <row r="127" spans="1:28" ht="21" x14ac:dyDescent="0.35">
      <c r="A127" s="108">
        <v>123</v>
      </c>
      <c r="B127" s="28" t="s">
        <v>26</v>
      </c>
      <c r="C127" s="66" t="s">
        <v>17</v>
      </c>
      <c r="D127" s="88">
        <v>450000</v>
      </c>
      <c r="E127" s="88">
        <v>47988</v>
      </c>
      <c r="F127" s="89">
        <f t="shared" si="30"/>
        <v>497988</v>
      </c>
      <c r="G127" s="70">
        <v>48</v>
      </c>
      <c r="H127" s="86">
        <v>10374.75</v>
      </c>
      <c r="I127" s="33">
        <f t="shared" si="17"/>
        <v>959.76</v>
      </c>
      <c r="J127" s="33">
        <f t="shared" si="18"/>
        <v>9000</v>
      </c>
      <c r="K127" s="33">
        <f t="shared" si="13"/>
        <v>4798.8</v>
      </c>
      <c r="L127" s="33">
        <f t="shared" si="14"/>
        <v>41269.68</v>
      </c>
      <c r="M127" s="29">
        <v>5</v>
      </c>
      <c r="N127" s="34">
        <f t="shared" si="10"/>
        <v>43</v>
      </c>
      <c r="O127" s="35">
        <f t="shared" si="11"/>
        <v>51873.75</v>
      </c>
      <c r="P127" s="36">
        <f t="shared" si="12"/>
        <v>446114.25</v>
      </c>
      <c r="Q127" s="73" t="s">
        <v>94</v>
      </c>
      <c r="R127" s="62">
        <v>45413</v>
      </c>
      <c r="S127" s="42">
        <v>46873</v>
      </c>
      <c r="Y127" s="99"/>
      <c r="AB127" s="95"/>
    </row>
    <row r="128" spans="1:28" ht="21" x14ac:dyDescent="0.35">
      <c r="A128" s="108">
        <v>124</v>
      </c>
      <c r="B128" s="28" t="s">
        <v>26</v>
      </c>
      <c r="C128" s="66" t="s">
        <v>179</v>
      </c>
      <c r="D128" s="30">
        <v>750000</v>
      </c>
      <c r="E128" s="30">
        <v>99975</v>
      </c>
      <c r="F128" s="31">
        <f t="shared" si="30"/>
        <v>849975</v>
      </c>
      <c r="G128" s="27">
        <v>30</v>
      </c>
      <c r="H128" s="40">
        <v>26666.25</v>
      </c>
      <c r="I128" s="33">
        <f t="shared" si="17"/>
        <v>1999.5</v>
      </c>
      <c r="J128" s="33">
        <f t="shared" si="18"/>
        <v>15000</v>
      </c>
      <c r="K128" s="33">
        <f t="shared" si="13"/>
        <v>9997.5</v>
      </c>
      <c r="L128" s="33">
        <f t="shared" si="14"/>
        <v>49987.5</v>
      </c>
      <c r="M128" s="29">
        <v>5</v>
      </c>
      <c r="N128" s="34">
        <f t="shared" si="10"/>
        <v>25</v>
      </c>
      <c r="O128" s="35">
        <f t="shared" si="11"/>
        <v>133331.25</v>
      </c>
      <c r="P128" s="36">
        <f t="shared" si="12"/>
        <v>666656.25</v>
      </c>
      <c r="Q128" s="73" t="s">
        <v>94</v>
      </c>
      <c r="R128" s="62">
        <v>45413</v>
      </c>
      <c r="S128" s="42">
        <v>46326</v>
      </c>
      <c r="Y128" s="99"/>
      <c r="AB128" s="95"/>
    </row>
    <row r="129" spans="1:28" ht="21" x14ac:dyDescent="0.35">
      <c r="A129" s="108">
        <v>125</v>
      </c>
      <c r="B129" s="28" t="s">
        <v>26</v>
      </c>
      <c r="C129" s="66" t="s">
        <v>181</v>
      </c>
      <c r="D129" s="30">
        <v>750000</v>
      </c>
      <c r="E129" s="30">
        <v>99975</v>
      </c>
      <c r="F129" s="31">
        <f t="shared" si="30"/>
        <v>849975</v>
      </c>
      <c r="G129" s="27">
        <v>30</v>
      </c>
      <c r="H129" s="40">
        <v>26666.25</v>
      </c>
      <c r="I129" s="33">
        <f t="shared" si="17"/>
        <v>1999.5</v>
      </c>
      <c r="J129" s="33">
        <f t="shared" si="18"/>
        <v>15000</v>
      </c>
      <c r="K129" s="33">
        <f t="shared" si="13"/>
        <v>5998.5</v>
      </c>
      <c r="L129" s="33">
        <f t="shared" si="14"/>
        <v>53986.5</v>
      </c>
      <c r="M129" s="29">
        <v>3</v>
      </c>
      <c r="N129" s="34">
        <f t="shared" si="10"/>
        <v>27</v>
      </c>
      <c r="O129" s="35">
        <f t="shared" si="11"/>
        <v>79998.75</v>
      </c>
      <c r="P129" s="36">
        <f t="shared" si="12"/>
        <v>719988.75</v>
      </c>
      <c r="Q129" s="73" t="s">
        <v>94</v>
      </c>
      <c r="R129" s="62">
        <v>45474</v>
      </c>
      <c r="S129" s="42" t="s">
        <v>190</v>
      </c>
      <c r="Y129" s="99"/>
      <c r="AB129" s="95"/>
    </row>
    <row r="130" spans="1:28" ht="21" x14ac:dyDescent="0.35">
      <c r="A130" s="108">
        <v>126</v>
      </c>
      <c r="B130" s="28" t="s">
        <v>26</v>
      </c>
      <c r="C130" s="66" t="s">
        <v>182</v>
      </c>
      <c r="D130" s="30">
        <v>750000</v>
      </c>
      <c r="E130" s="30">
        <v>59984.88</v>
      </c>
      <c r="F130" s="31">
        <v>809984.88</v>
      </c>
      <c r="G130" s="87">
        <v>36</v>
      </c>
      <c r="H130" s="72">
        <v>22499.58</v>
      </c>
      <c r="I130" s="33">
        <f t="shared" si="17"/>
        <v>1199.6976</v>
      </c>
      <c r="J130" s="33">
        <f t="shared" si="18"/>
        <v>15000</v>
      </c>
      <c r="K130" s="33">
        <f t="shared" si="13"/>
        <v>3599.0927999999999</v>
      </c>
      <c r="L130" s="33">
        <f t="shared" si="14"/>
        <v>39590.020799999998</v>
      </c>
      <c r="M130" s="29">
        <v>3</v>
      </c>
      <c r="N130" s="34">
        <f t="shared" si="10"/>
        <v>33</v>
      </c>
      <c r="O130" s="35">
        <f t="shared" si="11"/>
        <v>67498.740000000005</v>
      </c>
      <c r="P130" s="36">
        <f t="shared" si="12"/>
        <v>742486.14</v>
      </c>
      <c r="Q130" s="73" t="s">
        <v>94</v>
      </c>
      <c r="R130" s="62">
        <v>45474</v>
      </c>
      <c r="S130" s="42" t="s">
        <v>191</v>
      </c>
      <c r="Y130" s="99"/>
      <c r="AB130" s="95"/>
    </row>
    <row r="131" spans="1:28" ht="21" x14ac:dyDescent="0.35">
      <c r="A131" s="108">
        <v>127</v>
      </c>
      <c r="B131" s="28" t="s">
        <v>26</v>
      </c>
      <c r="C131" s="66" t="s">
        <v>183</v>
      </c>
      <c r="D131" s="30">
        <v>450000</v>
      </c>
      <c r="E131" s="30">
        <v>22010.400000000001</v>
      </c>
      <c r="F131" s="31">
        <v>472010.4</v>
      </c>
      <c r="G131" s="115">
        <v>48</v>
      </c>
      <c r="H131" s="40">
        <v>9833.5499999999993</v>
      </c>
      <c r="I131" s="33">
        <f t="shared" si="17"/>
        <v>440.20800000000003</v>
      </c>
      <c r="J131" s="33">
        <f t="shared" si="18"/>
        <v>9000</v>
      </c>
      <c r="K131" s="33">
        <f t="shared" si="13"/>
        <v>1320.624</v>
      </c>
      <c r="L131" s="33">
        <f t="shared" si="14"/>
        <v>19809.36</v>
      </c>
      <c r="M131" s="29">
        <v>3</v>
      </c>
      <c r="N131" s="34">
        <f t="shared" si="10"/>
        <v>45</v>
      </c>
      <c r="O131" s="35">
        <f t="shared" si="11"/>
        <v>29500.649999999998</v>
      </c>
      <c r="P131" s="36">
        <f t="shared" si="12"/>
        <v>442509.74999999994</v>
      </c>
      <c r="Q131" s="73" t="s">
        <v>94</v>
      </c>
      <c r="R131" s="62">
        <v>45474</v>
      </c>
      <c r="S131" s="42" t="s">
        <v>192</v>
      </c>
      <c r="Y131" s="99"/>
      <c r="AB131" s="95"/>
    </row>
    <row r="132" spans="1:28" ht="21" x14ac:dyDescent="0.35">
      <c r="A132" s="108">
        <v>128</v>
      </c>
      <c r="B132" s="28" t="s">
        <v>26</v>
      </c>
      <c r="C132" s="133" t="s">
        <v>184</v>
      </c>
      <c r="D132" s="30">
        <v>750000</v>
      </c>
      <c r="E132" s="30">
        <v>99975</v>
      </c>
      <c r="F132" s="31">
        <f t="shared" ref="F132" si="31">D132+E132</f>
        <v>849975</v>
      </c>
      <c r="G132" s="27">
        <v>30</v>
      </c>
      <c r="H132" s="40">
        <v>26666.25</v>
      </c>
      <c r="I132" s="33">
        <f t="shared" si="17"/>
        <v>1999.5</v>
      </c>
      <c r="J132" s="33">
        <f t="shared" si="18"/>
        <v>15000</v>
      </c>
      <c r="K132" s="33">
        <f t="shared" si="13"/>
        <v>5998.5</v>
      </c>
      <c r="L132" s="33">
        <f t="shared" si="14"/>
        <v>53986.5</v>
      </c>
      <c r="M132" s="29">
        <v>3</v>
      </c>
      <c r="N132" s="34">
        <f t="shared" si="10"/>
        <v>27</v>
      </c>
      <c r="O132" s="35">
        <f t="shared" si="11"/>
        <v>79998.75</v>
      </c>
      <c r="P132" s="36">
        <f t="shared" si="12"/>
        <v>719988.75</v>
      </c>
      <c r="Q132" s="73" t="s">
        <v>94</v>
      </c>
      <c r="R132" s="62">
        <v>45474</v>
      </c>
      <c r="S132" s="42" t="s">
        <v>190</v>
      </c>
      <c r="Y132" s="99"/>
      <c r="AB132" s="95"/>
    </row>
    <row r="133" spans="1:28" ht="21" x14ac:dyDescent="0.35">
      <c r="A133" s="108">
        <v>129</v>
      </c>
      <c r="B133" s="28" t="s">
        <v>26</v>
      </c>
      <c r="C133" s="66" t="s">
        <v>185</v>
      </c>
      <c r="D133" s="30">
        <v>450000</v>
      </c>
      <c r="E133" s="30">
        <v>22010.400000000001</v>
      </c>
      <c r="F133" s="31">
        <v>472010.4</v>
      </c>
      <c r="G133" s="115">
        <v>48</v>
      </c>
      <c r="H133" s="40">
        <v>9833.5499999999993</v>
      </c>
      <c r="I133" s="33">
        <f t="shared" si="17"/>
        <v>440.20800000000003</v>
      </c>
      <c r="J133" s="33">
        <f t="shared" si="18"/>
        <v>9000</v>
      </c>
      <c r="K133" s="33">
        <f t="shared" si="13"/>
        <v>1320.624</v>
      </c>
      <c r="L133" s="33">
        <f t="shared" si="14"/>
        <v>19809.36</v>
      </c>
      <c r="M133" s="29">
        <v>3</v>
      </c>
      <c r="N133" s="34">
        <f t="shared" si="10"/>
        <v>45</v>
      </c>
      <c r="O133" s="35">
        <f t="shared" si="11"/>
        <v>29500.649999999998</v>
      </c>
      <c r="P133" s="36">
        <f t="shared" si="12"/>
        <v>442509.74999999994</v>
      </c>
      <c r="Q133" s="73" t="s">
        <v>94</v>
      </c>
      <c r="R133" s="62">
        <v>45474</v>
      </c>
      <c r="S133" s="42" t="s">
        <v>192</v>
      </c>
      <c r="Y133" s="99"/>
      <c r="AB133" s="95"/>
    </row>
    <row r="134" spans="1:28" ht="21" x14ac:dyDescent="0.35">
      <c r="A134" s="108">
        <v>130</v>
      </c>
      <c r="B134" s="28" t="s">
        <v>26</v>
      </c>
      <c r="C134" s="66" t="s">
        <v>186</v>
      </c>
      <c r="D134" s="88">
        <v>450000</v>
      </c>
      <c r="E134" s="88">
        <v>47988</v>
      </c>
      <c r="F134" s="89">
        <f t="shared" ref="F134" si="32">D134+E134</f>
        <v>497988</v>
      </c>
      <c r="G134" s="70">
        <v>48</v>
      </c>
      <c r="H134" s="86">
        <v>10374.75</v>
      </c>
      <c r="I134" s="33">
        <f t="shared" ref="I134:I155" si="33">E134/50</f>
        <v>959.76</v>
      </c>
      <c r="J134" s="33">
        <f t="shared" si="18"/>
        <v>9000</v>
      </c>
      <c r="K134" s="33">
        <f t="shared" si="13"/>
        <v>2879.2799999999997</v>
      </c>
      <c r="L134" s="33">
        <f t="shared" si="14"/>
        <v>43189.2</v>
      </c>
      <c r="M134" s="29">
        <v>3</v>
      </c>
      <c r="N134" s="34">
        <f t="shared" si="10"/>
        <v>45</v>
      </c>
      <c r="O134" s="35">
        <f t="shared" si="11"/>
        <v>31124.25</v>
      </c>
      <c r="P134" s="36">
        <f t="shared" si="12"/>
        <v>466863.75</v>
      </c>
      <c r="Q134" s="73" t="s">
        <v>94</v>
      </c>
      <c r="R134" s="62">
        <v>45474</v>
      </c>
      <c r="S134" s="42" t="s">
        <v>192</v>
      </c>
      <c r="Y134" s="99"/>
      <c r="AB134" s="95"/>
    </row>
    <row r="135" spans="1:28" ht="21" x14ac:dyDescent="0.35">
      <c r="A135" s="108">
        <v>131</v>
      </c>
      <c r="B135" s="28" t="s">
        <v>26</v>
      </c>
      <c r="C135" s="66" t="s">
        <v>187</v>
      </c>
      <c r="D135" s="30">
        <v>750000</v>
      </c>
      <c r="E135" s="30">
        <v>83312.5</v>
      </c>
      <c r="F135" s="31">
        <v>833312.5</v>
      </c>
      <c r="G135" s="27">
        <v>50</v>
      </c>
      <c r="H135" s="4">
        <v>16666.25</v>
      </c>
      <c r="I135" s="33">
        <f t="shared" si="33"/>
        <v>1666.25</v>
      </c>
      <c r="J135" s="33">
        <f t="shared" si="18"/>
        <v>15000</v>
      </c>
      <c r="K135" s="33">
        <f t="shared" si="13"/>
        <v>4998.75</v>
      </c>
      <c r="L135" s="33">
        <f t="shared" si="14"/>
        <v>78313.75</v>
      </c>
      <c r="M135" s="29">
        <v>3</v>
      </c>
      <c r="N135" s="34">
        <f t="shared" si="10"/>
        <v>47</v>
      </c>
      <c r="O135" s="35">
        <f t="shared" si="11"/>
        <v>49998.75</v>
      </c>
      <c r="P135" s="36">
        <f t="shared" si="12"/>
        <v>783313.75</v>
      </c>
      <c r="Q135" s="73" t="s">
        <v>94</v>
      </c>
      <c r="R135" s="62">
        <v>45474</v>
      </c>
      <c r="S135" s="42" t="s">
        <v>193</v>
      </c>
      <c r="Y135" s="99"/>
      <c r="AB135" s="95"/>
    </row>
    <row r="136" spans="1:28" ht="21" x14ac:dyDescent="0.35">
      <c r="A136" s="108">
        <v>132</v>
      </c>
      <c r="B136" s="28" t="s">
        <v>26</v>
      </c>
      <c r="C136" s="66" t="s">
        <v>188</v>
      </c>
      <c r="D136" s="30">
        <v>750000</v>
      </c>
      <c r="E136" s="30">
        <v>99975</v>
      </c>
      <c r="F136" s="31">
        <f t="shared" ref="F136:F138" si="34">D136+E136</f>
        <v>849975</v>
      </c>
      <c r="G136" s="27">
        <v>30</v>
      </c>
      <c r="H136" s="40">
        <v>26666.25</v>
      </c>
      <c r="I136" s="33">
        <f t="shared" si="33"/>
        <v>1999.5</v>
      </c>
      <c r="J136" s="33">
        <f t="shared" si="18"/>
        <v>15000</v>
      </c>
      <c r="K136" s="33">
        <f t="shared" si="13"/>
        <v>5998.5</v>
      </c>
      <c r="L136" s="33">
        <f t="shared" si="14"/>
        <v>53986.5</v>
      </c>
      <c r="M136" s="29">
        <v>3</v>
      </c>
      <c r="N136" s="34">
        <f t="shared" si="10"/>
        <v>27</v>
      </c>
      <c r="O136" s="35">
        <f t="shared" si="11"/>
        <v>79998.75</v>
      </c>
      <c r="P136" s="36">
        <f t="shared" si="12"/>
        <v>719988.75</v>
      </c>
      <c r="Q136" s="73" t="s">
        <v>94</v>
      </c>
      <c r="R136" s="62">
        <v>45474</v>
      </c>
      <c r="S136" s="134">
        <v>46387</v>
      </c>
      <c r="Y136" s="99"/>
      <c r="AB136" s="95"/>
    </row>
    <row r="137" spans="1:28" ht="21" x14ac:dyDescent="0.35">
      <c r="A137" s="108">
        <v>133</v>
      </c>
      <c r="B137" s="28" t="s">
        <v>26</v>
      </c>
      <c r="C137" s="66" t="s">
        <v>189</v>
      </c>
      <c r="D137" s="30">
        <v>600000</v>
      </c>
      <c r="E137" s="30">
        <v>47979.839999999997</v>
      </c>
      <c r="F137" s="31">
        <f t="shared" si="34"/>
        <v>647979.84</v>
      </c>
      <c r="G137" s="27">
        <v>36</v>
      </c>
      <c r="H137" s="75">
        <v>17999.439999999999</v>
      </c>
      <c r="I137" s="33">
        <f t="shared" si="33"/>
        <v>959.59679999999992</v>
      </c>
      <c r="J137" s="33">
        <f t="shared" si="18"/>
        <v>12000</v>
      </c>
      <c r="K137" s="33">
        <f t="shared" si="13"/>
        <v>2878.7903999999999</v>
      </c>
      <c r="L137" s="33">
        <f t="shared" si="14"/>
        <v>31666.694399999997</v>
      </c>
      <c r="M137" s="29">
        <v>3</v>
      </c>
      <c r="N137" s="34">
        <f t="shared" si="10"/>
        <v>33</v>
      </c>
      <c r="O137" s="35">
        <f t="shared" si="11"/>
        <v>53998.319999999992</v>
      </c>
      <c r="P137" s="36">
        <f t="shared" si="12"/>
        <v>593981.5199999999</v>
      </c>
      <c r="Q137" s="73" t="s">
        <v>94</v>
      </c>
      <c r="R137" s="62">
        <v>45474</v>
      </c>
      <c r="S137" s="42" t="s">
        <v>191</v>
      </c>
      <c r="Y137" s="99"/>
      <c r="AB137" s="95"/>
    </row>
    <row r="138" spans="1:28" ht="21" x14ac:dyDescent="0.35">
      <c r="A138" s="108">
        <v>134</v>
      </c>
      <c r="B138" s="28" t="s">
        <v>26</v>
      </c>
      <c r="C138" s="66" t="s">
        <v>195</v>
      </c>
      <c r="D138" s="30">
        <v>450000</v>
      </c>
      <c r="E138" s="30">
        <v>59985</v>
      </c>
      <c r="F138" s="31">
        <f t="shared" si="34"/>
        <v>509985</v>
      </c>
      <c r="G138" s="27">
        <v>60</v>
      </c>
      <c r="H138" s="75">
        <v>8499.5</v>
      </c>
      <c r="I138" s="33">
        <f t="shared" si="33"/>
        <v>1199.7</v>
      </c>
      <c r="J138" s="33">
        <f t="shared" si="18"/>
        <v>9000</v>
      </c>
      <c r="K138" s="33">
        <f t="shared" si="13"/>
        <v>2399.4</v>
      </c>
      <c r="L138" s="33">
        <f t="shared" si="14"/>
        <v>69582.600000000006</v>
      </c>
      <c r="M138" s="29">
        <v>2</v>
      </c>
      <c r="N138" s="34">
        <f t="shared" si="10"/>
        <v>58</v>
      </c>
      <c r="O138" s="35">
        <f t="shared" si="11"/>
        <v>16999</v>
      </c>
      <c r="P138" s="36">
        <f t="shared" si="12"/>
        <v>492971</v>
      </c>
      <c r="Q138" s="73" t="s">
        <v>94</v>
      </c>
      <c r="R138" s="62">
        <v>45505</v>
      </c>
      <c r="S138" s="42">
        <v>47330</v>
      </c>
      <c r="Y138" s="99"/>
      <c r="AB138" s="95"/>
    </row>
    <row r="139" spans="1:28" ht="21" x14ac:dyDescent="0.35">
      <c r="A139" s="108">
        <v>135</v>
      </c>
      <c r="B139" s="28" t="s">
        <v>26</v>
      </c>
      <c r="C139" s="66" t="s">
        <v>196</v>
      </c>
      <c r="D139" s="30">
        <v>750000</v>
      </c>
      <c r="E139" s="30">
        <v>99975</v>
      </c>
      <c r="F139" s="31">
        <v>849975</v>
      </c>
      <c r="G139" s="115">
        <v>30</v>
      </c>
      <c r="H139" s="75">
        <v>28332.5</v>
      </c>
      <c r="I139" s="33">
        <f t="shared" si="33"/>
        <v>1999.5</v>
      </c>
      <c r="J139" s="33">
        <f t="shared" si="18"/>
        <v>15000</v>
      </c>
      <c r="K139" s="33">
        <f t="shared" si="13"/>
        <v>3999</v>
      </c>
      <c r="L139" s="33">
        <f t="shared" si="14"/>
        <v>55986</v>
      </c>
      <c r="M139" s="29">
        <v>2</v>
      </c>
      <c r="N139" s="34">
        <f t="shared" si="10"/>
        <v>28</v>
      </c>
      <c r="O139" s="35">
        <f t="shared" si="11"/>
        <v>56665</v>
      </c>
      <c r="P139" s="36">
        <f t="shared" si="12"/>
        <v>793310</v>
      </c>
      <c r="Q139" s="73" t="s">
        <v>94</v>
      </c>
      <c r="R139" s="62">
        <v>45505</v>
      </c>
      <c r="S139" s="42">
        <v>46418</v>
      </c>
      <c r="Y139" s="99"/>
      <c r="AB139" s="95"/>
    </row>
    <row r="140" spans="1:28" ht="21" x14ac:dyDescent="0.35">
      <c r="A140" s="108">
        <v>136</v>
      </c>
      <c r="B140" s="28" t="s">
        <v>26</v>
      </c>
      <c r="C140" s="66" t="s">
        <v>197</v>
      </c>
      <c r="D140" s="30">
        <v>750000</v>
      </c>
      <c r="E140" s="30">
        <v>62688.75</v>
      </c>
      <c r="F140" s="31">
        <f t="shared" ref="F140" si="35">D140+E140</f>
        <v>812688.75</v>
      </c>
      <c r="G140" s="115">
        <v>47</v>
      </c>
      <c r="H140" s="75">
        <v>17291.25</v>
      </c>
      <c r="I140" s="33">
        <f t="shared" si="33"/>
        <v>1253.7750000000001</v>
      </c>
      <c r="J140" s="33">
        <f t="shared" si="18"/>
        <v>15000</v>
      </c>
      <c r="K140" s="33">
        <f t="shared" si="13"/>
        <v>2507.5500000000002</v>
      </c>
      <c r="L140" s="33">
        <f t="shared" si="14"/>
        <v>56419.875000000007</v>
      </c>
      <c r="M140" s="29">
        <v>2</v>
      </c>
      <c r="N140" s="34">
        <f t="shared" si="10"/>
        <v>45</v>
      </c>
      <c r="O140" s="35">
        <f t="shared" si="11"/>
        <v>34582.5</v>
      </c>
      <c r="P140" s="36">
        <f t="shared" si="12"/>
        <v>778106.25</v>
      </c>
      <c r="Q140" s="73" t="s">
        <v>94</v>
      </c>
      <c r="R140" s="62">
        <v>45505</v>
      </c>
      <c r="S140" s="42">
        <v>46934</v>
      </c>
      <c r="Y140" s="99"/>
      <c r="AB140" s="95"/>
    </row>
    <row r="141" spans="1:28" ht="21" x14ac:dyDescent="0.35">
      <c r="A141" s="108">
        <v>137</v>
      </c>
      <c r="B141" s="28" t="s">
        <v>26</v>
      </c>
      <c r="C141" s="66" t="s">
        <v>198</v>
      </c>
      <c r="D141" s="30">
        <v>450000</v>
      </c>
      <c r="E141" s="30">
        <v>22010.400000000001</v>
      </c>
      <c r="F141" s="31">
        <v>472010.4</v>
      </c>
      <c r="G141" s="115">
        <v>48</v>
      </c>
      <c r="H141" s="40">
        <v>9833.5499999999993</v>
      </c>
      <c r="I141" s="33">
        <f t="shared" si="33"/>
        <v>440.20800000000003</v>
      </c>
      <c r="J141" s="33">
        <f t="shared" si="18"/>
        <v>9000</v>
      </c>
      <c r="K141" s="33">
        <f t="shared" si="13"/>
        <v>880.41600000000005</v>
      </c>
      <c r="L141" s="33">
        <f t="shared" si="14"/>
        <v>20249.568000000003</v>
      </c>
      <c r="M141" s="29">
        <v>2</v>
      </c>
      <c r="N141" s="34">
        <f t="shared" si="10"/>
        <v>46</v>
      </c>
      <c r="O141" s="35">
        <f t="shared" si="11"/>
        <v>19667.099999999999</v>
      </c>
      <c r="P141" s="36">
        <f t="shared" si="12"/>
        <v>452343.3</v>
      </c>
      <c r="Q141" s="73" t="s">
        <v>94</v>
      </c>
      <c r="R141" s="62">
        <v>45505</v>
      </c>
      <c r="S141" s="42">
        <v>46965</v>
      </c>
      <c r="Y141" s="99"/>
      <c r="AB141" s="95"/>
    </row>
    <row r="142" spans="1:28" ht="21" x14ac:dyDescent="0.35">
      <c r="A142" s="108">
        <v>138</v>
      </c>
      <c r="B142" s="28" t="s">
        <v>26</v>
      </c>
      <c r="C142" s="66" t="s">
        <v>199</v>
      </c>
      <c r="D142" s="30">
        <v>750000</v>
      </c>
      <c r="E142" s="30">
        <v>99975</v>
      </c>
      <c r="F142" s="31">
        <f t="shared" ref="F142" si="36">D142+E142</f>
        <v>849975</v>
      </c>
      <c r="G142" s="27">
        <v>60</v>
      </c>
      <c r="H142" s="72">
        <v>14166.25</v>
      </c>
      <c r="I142" s="33">
        <f t="shared" si="33"/>
        <v>1999.5</v>
      </c>
      <c r="J142" s="33">
        <f t="shared" si="18"/>
        <v>15000</v>
      </c>
      <c r="K142" s="33">
        <f t="shared" si="13"/>
        <v>3999</v>
      </c>
      <c r="L142" s="33">
        <f t="shared" si="14"/>
        <v>115971</v>
      </c>
      <c r="M142" s="29">
        <v>2</v>
      </c>
      <c r="N142" s="34">
        <f t="shared" si="10"/>
        <v>58</v>
      </c>
      <c r="O142" s="35">
        <f t="shared" si="11"/>
        <v>28332.5</v>
      </c>
      <c r="P142" s="36">
        <f t="shared" si="12"/>
        <v>821642.5</v>
      </c>
      <c r="Q142" s="73" t="s">
        <v>94</v>
      </c>
      <c r="R142" s="62">
        <v>45505</v>
      </c>
      <c r="S142" s="42">
        <v>47330</v>
      </c>
      <c r="Y142" s="99"/>
      <c r="AB142" s="95"/>
    </row>
    <row r="143" spans="1:28" ht="21" x14ac:dyDescent="0.35">
      <c r="A143" s="108">
        <v>139</v>
      </c>
      <c r="B143" s="28" t="s">
        <v>26</v>
      </c>
      <c r="C143" s="66" t="s">
        <v>200</v>
      </c>
      <c r="D143" s="30">
        <v>450000</v>
      </c>
      <c r="E143" s="30">
        <v>35991.199999999997</v>
      </c>
      <c r="F143" s="31">
        <v>485991.2</v>
      </c>
      <c r="G143" s="115">
        <v>40</v>
      </c>
      <c r="H143" s="75">
        <v>12149.78</v>
      </c>
      <c r="I143" s="33">
        <f t="shared" si="33"/>
        <v>719.82399999999996</v>
      </c>
      <c r="J143" s="33">
        <f t="shared" si="18"/>
        <v>9000</v>
      </c>
      <c r="K143" s="33">
        <f t="shared" si="13"/>
        <v>1439.6479999999999</v>
      </c>
      <c r="L143" s="33">
        <f t="shared" si="14"/>
        <v>27353.311999999998</v>
      </c>
      <c r="M143" s="29">
        <v>2</v>
      </c>
      <c r="N143" s="34">
        <f t="shared" si="10"/>
        <v>38</v>
      </c>
      <c r="O143" s="35">
        <f t="shared" si="11"/>
        <v>24299.56</v>
      </c>
      <c r="P143" s="36">
        <f t="shared" si="12"/>
        <v>461691.64</v>
      </c>
      <c r="Q143" s="73" t="s">
        <v>94</v>
      </c>
      <c r="R143" s="62">
        <v>45505</v>
      </c>
      <c r="S143" s="135" t="s">
        <v>204</v>
      </c>
      <c r="Y143" s="99"/>
      <c r="AB143" s="95"/>
    </row>
    <row r="144" spans="1:28" ht="21" x14ac:dyDescent="0.35">
      <c r="A144" s="108">
        <v>140</v>
      </c>
      <c r="B144" s="28" t="s">
        <v>26</v>
      </c>
      <c r="C144" s="66" t="s">
        <v>201</v>
      </c>
      <c r="D144" s="30">
        <v>450000</v>
      </c>
      <c r="E144" s="30">
        <v>49987.5</v>
      </c>
      <c r="F144" s="31">
        <f t="shared" ref="F144" si="37">D144+E144</f>
        <v>499987.5</v>
      </c>
      <c r="G144" s="27">
        <v>50</v>
      </c>
      <c r="H144" s="54">
        <v>9999.75</v>
      </c>
      <c r="I144" s="33">
        <f t="shared" si="33"/>
        <v>999.75</v>
      </c>
      <c r="J144" s="33">
        <f t="shared" si="18"/>
        <v>9000</v>
      </c>
      <c r="K144" s="33">
        <f t="shared" si="13"/>
        <v>1999.5</v>
      </c>
      <c r="L144" s="33">
        <f t="shared" si="14"/>
        <v>47988</v>
      </c>
      <c r="M144" s="29">
        <v>2</v>
      </c>
      <c r="N144" s="34">
        <f t="shared" si="10"/>
        <v>48</v>
      </c>
      <c r="O144" s="35">
        <f t="shared" si="11"/>
        <v>19999.5</v>
      </c>
      <c r="P144" s="36">
        <f t="shared" si="12"/>
        <v>479988</v>
      </c>
      <c r="Q144" s="73" t="s">
        <v>94</v>
      </c>
      <c r="R144" s="62">
        <v>45505</v>
      </c>
      <c r="S144" s="42">
        <v>47026</v>
      </c>
      <c r="Y144" s="99"/>
      <c r="AB144" s="95"/>
    </row>
    <row r="145" spans="1:28" ht="21" x14ac:dyDescent="0.35">
      <c r="A145" s="108">
        <v>141</v>
      </c>
      <c r="B145" s="28" t="s">
        <v>26</v>
      </c>
      <c r="C145" s="66" t="s">
        <v>202</v>
      </c>
      <c r="D145" s="30">
        <v>600000</v>
      </c>
      <c r="E145" s="30">
        <v>63984</v>
      </c>
      <c r="F145" s="31">
        <v>663984</v>
      </c>
      <c r="G145" s="115">
        <v>48</v>
      </c>
      <c r="H145" s="75">
        <v>13833</v>
      </c>
      <c r="I145" s="33">
        <f t="shared" si="33"/>
        <v>1279.68</v>
      </c>
      <c r="J145" s="33">
        <f t="shared" si="18"/>
        <v>12000</v>
      </c>
      <c r="K145" s="33">
        <f t="shared" si="13"/>
        <v>2559.36</v>
      </c>
      <c r="L145" s="33">
        <f t="shared" si="14"/>
        <v>58865.280000000006</v>
      </c>
      <c r="M145" s="29">
        <v>2</v>
      </c>
      <c r="N145" s="34">
        <f t="shared" si="10"/>
        <v>46</v>
      </c>
      <c r="O145" s="35">
        <f t="shared" si="11"/>
        <v>27666</v>
      </c>
      <c r="P145" s="36">
        <f t="shared" si="12"/>
        <v>636318</v>
      </c>
      <c r="Q145" s="73" t="s">
        <v>94</v>
      </c>
      <c r="R145" s="62">
        <v>45505</v>
      </c>
      <c r="S145" s="42">
        <v>46965</v>
      </c>
      <c r="Y145" s="99"/>
      <c r="AB145" s="95"/>
    </row>
    <row r="146" spans="1:28" ht="21" x14ac:dyDescent="0.35">
      <c r="A146" s="108">
        <v>142</v>
      </c>
      <c r="B146" s="28" t="s">
        <v>26</v>
      </c>
      <c r="C146" s="66" t="s">
        <v>203</v>
      </c>
      <c r="D146" s="30">
        <v>450000</v>
      </c>
      <c r="E146" s="30">
        <v>59985</v>
      </c>
      <c r="F146" s="31">
        <f t="shared" ref="F146:F147" si="38">D146+E146</f>
        <v>509985</v>
      </c>
      <c r="G146" s="27">
        <v>60</v>
      </c>
      <c r="H146" s="75">
        <v>8499.75</v>
      </c>
      <c r="I146" s="33">
        <f t="shared" si="33"/>
        <v>1199.7</v>
      </c>
      <c r="J146" s="33">
        <f t="shared" si="18"/>
        <v>9000</v>
      </c>
      <c r="K146" s="33">
        <f t="shared" si="13"/>
        <v>2399.4</v>
      </c>
      <c r="L146" s="33">
        <f t="shared" si="14"/>
        <v>69582.600000000006</v>
      </c>
      <c r="M146" s="29">
        <v>2</v>
      </c>
      <c r="N146" s="34">
        <f t="shared" si="10"/>
        <v>58</v>
      </c>
      <c r="O146" s="35">
        <f t="shared" si="11"/>
        <v>16999.5</v>
      </c>
      <c r="P146" s="36">
        <f t="shared" si="12"/>
        <v>492985.5</v>
      </c>
      <c r="Q146" s="73" t="s">
        <v>94</v>
      </c>
      <c r="R146" s="62">
        <v>45505</v>
      </c>
      <c r="S146" s="42">
        <v>47330</v>
      </c>
      <c r="Y146" s="99"/>
      <c r="AB146" s="95"/>
    </row>
    <row r="147" spans="1:28" ht="21" x14ac:dyDescent="0.35">
      <c r="A147" s="108">
        <v>143</v>
      </c>
      <c r="B147" s="28" t="s">
        <v>26</v>
      </c>
      <c r="C147" s="66" t="s">
        <v>97</v>
      </c>
      <c r="D147" s="30">
        <v>750000</v>
      </c>
      <c r="E147" s="30">
        <v>99975</v>
      </c>
      <c r="F147" s="31">
        <f t="shared" si="38"/>
        <v>849975</v>
      </c>
      <c r="G147" s="27">
        <v>60</v>
      </c>
      <c r="H147" s="72">
        <v>14166.25</v>
      </c>
      <c r="I147" s="33">
        <f t="shared" si="33"/>
        <v>1999.5</v>
      </c>
      <c r="J147" s="33">
        <f t="shared" si="18"/>
        <v>15000</v>
      </c>
      <c r="K147" s="33">
        <f t="shared" si="13"/>
        <v>1999.5</v>
      </c>
      <c r="L147" s="33">
        <f t="shared" si="14"/>
        <v>117970.5</v>
      </c>
      <c r="M147" s="29">
        <v>1</v>
      </c>
      <c r="N147" s="34">
        <f t="shared" si="10"/>
        <v>59</v>
      </c>
      <c r="O147" s="35">
        <f t="shared" si="11"/>
        <v>14166.25</v>
      </c>
      <c r="P147" s="36">
        <f t="shared" si="12"/>
        <v>835808.75</v>
      </c>
      <c r="Q147" s="73" t="s">
        <v>94</v>
      </c>
      <c r="R147" s="62">
        <v>45536</v>
      </c>
      <c r="S147" s="135">
        <v>47361</v>
      </c>
      <c r="Y147" s="99"/>
      <c r="AB147" s="95"/>
    </row>
    <row r="148" spans="1:28" ht="21" x14ac:dyDescent="0.35">
      <c r="A148" s="108">
        <v>144</v>
      </c>
      <c r="B148" s="28" t="s">
        <v>26</v>
      </c>
      <c r="C148" s="116" t="s">
        <v>207</v>
      </c>
      <c r="D148" s="30">
        <v>750000</v>
      </c>
      <c r="E148" s="30">
        <v>59984.88</v>
      </c>
      <c r="F148" s="31">
        <v>809984.88</v>
      </c>
      <c r="G148" s="87">
        <v>36</v>
      </c>
      <c r="H148" s="72">
        <v>22499.58</v>
      </c>
      <c r="I148" s="33">
        <f t="shared" si="33"/>
        <v>1199.6976</v>
      </c>
      <c r="J148" s="33">
        <f t="shared" si="18"/>
        <v>15000</v>
      </c>
      <c r="K148" s="33">
        <f t="shared" si="13"/>
        <v>1199.6976</v>
      </c>
      <c r="L148" s="33">
        <f t="shared" si="14"/>
        <v>41989.415999999997</v>
      </c>
      <c r="M148" s="29">
        <v>1</v>
      </c>
      <c r="N148" s="34">
        <f t="shared" si="10"/>
        <v>35</v>
      </c>
      <c r="O148" s="35">
        <f t="shared" si="11"/>
        <v>22499.58</v>
      </c>
      <c r="P148" s="36">
        <f t="shared" si="12"/>
        <v>787485.3</v>
      </c>
      <c r="Q148" s="73" t="s">
        <v>94</v>
      </c>
      <c r="R148" s="62">
        <v>45536</v>
      </c>
      <c r="S148" s="42">
        <v>46630</v>
      </c>
      <c r="Y148" s="99"/>
      <c r="AB148" s="95"/>
    </row>
    <row r="149" spans="1:28" ht="21" x14ac:dyDescent="0.35">
      <c r="A149" s="108">
        <v>145</v>
      </c>
      <c r="B149" s="28" t="s">
        <v>26</v>
      </c>
      <c r="C149" s="66" t="s">
        <v>208</v>
      </c>
      <c r="D149" s="30">
        <v>250000</v>
      </c>
      <c r="E149" s="30">
        <v>27771</v>
      </c>
      <c r="F149" s="31">
        <f t="shared" ref="F149:F151" si="39">D149+E149</f>
        <v>277771</v>
      </c>
      <c r="G149" s="115">
        <v>50</v>
      </c>
      <c r="H149" s="75">
        <v>5555.42</v>
      </c>
      <c r="I149" s="33">
        <f t="shared" si="33"/>
        <v>555.41999999999996</v>
      </c>
      <c r="J149" s="33">
        <f t="shared" si="18"/>
        <v>5000</v>
      </c>
      <c r="K149" s="33">
        <f t="shared" si="13"/>
        <v>555.41999999999996</v>
      </c>
      <c r="L149" s="33">
        <f t="shared" si="14"/>
        <v>27215.579999999998</v>
      </c>
      <c r="M149" s="29">
        <v>1</v>
      </c>
      <c r="N149" s="34">
        <f t="shared" si="10"/>
        <v>49</v>
      </c>
      <c r="O149" s="35">
        <f t="shared" si="11"/>
        <v>5555.42</v>
      </c>
      <c r="P149" s="36">
        <f t="shared" si="12"/>
        <v>272215.58</v>
      </c>
      <c r="Q149" s="73" t="s">
        <v>94</v>
      </c>
      <c r="R149" s="62">
        <v>45536</v>
      </c>
      <c r="S149" s="42">
        <v>47057</v>
      </c>
      <c r="Y149" s="99"/>
      <c r="AB149" s="95"/>
    </row>
    <row r="150" spans="1:28" ht="21" x14ac:dyDescent="0.35">
      <c r="A150" s="108">
        <v>146</v>
      </c>
      <c r="B150" s="28" t="s">
        <v>26</v>
      </c>
      <c r="C150" s="66" t="s">
        <v>209</v>
      </c>
      <c r="D150" s="30">
        <v>450000</v>
      </c>
      <c r="E150" s="30">
        <v>59985</v>
      </c>
      <c r="F150" s="31">
        <f t="shared" si="39"/>
        <v>509985</v>
      </c>
      <c r="G150" s="27">
        <v>60</v>
      </c>
      <c r="H150" s="75">
        <v>8499.75</v>
      </c>
      <c r="I150" s="33">
        <f t="shared" si="33"/>
        <v>1199.7</v>
      </c>
      <c r="J150" s="33">
        <f t="shared" si="18"/>
        <v>9000</v>
      </c>
      <c r="K150" s="33">
        <f t="shared" si="13"/>
        <v>1199.7</v>
      </c>
      <c r="L150" s="33">
        <f t="shared" si="14"/>
        <v>70782.3</v>
      </c>
      <c r="M150" s="29">
        <v>1</v>
      </c>
      <c r="N150" s="34">
        <f t="shared" si="10"/>
        <v>59</v>
      </c>
      <c r="O150" s="35">
        <f t="shared" si="11"/>
        <v>8499.75</v>
      </c>
      <c r="P150" s="36">
        <f t="shared" si="12"/>
        <v>501485.25</v>
      </c>
      <c r="Q150" s="73" t="s">
        <v>94</v>
      </c>
      <c r="R150" s="62">
        <v>45536</v>
      </c>
      <c r="S150" s="135">
        <v>47361</v>
      </c>
      <c r="Y150" s="99"/>
      <c r="AB150" s="95"/>
    </row>
    <row r="151" spans="1:28" ht="21" x14ac:dyDescent="0.35">
      <c r="A151" s="108">
        <v>147</v>
      </c>
      <c r="B151" s="28" t="s">
        <v>26</v>
      </c>
      <c r="C151" s="66" t="s">
        <v>210</v>
      </c>
      <c r="D151" s="88">
        <v>450000</v>
      </c>
      <c r="E151" s="88">
        <v>47988</v>
      </c>
      <c r="F151" s="89">
        <f t="shared" si="39"/>
        <v>497988</v>
      </c>
      <c r="G151" s="70">
        <v>48</v>
      </c>
      <c r="H151" s="86">
        <v>10374.75</v>
      </c>
      <c r="I151" s="33">
        <f t="shared" si="33"/>
        <v>959.76</v>
      </c>
      <c r="J151" s="33">
        <f t="shared" si="18"/>
        <v>9000</v>
      </c>
      <c r="K151" s="33">
        <f t="shared" si="13"/>
        <v>959.76</v>
      </c>
      <c r="L151" s="33">
        <f t="shared" si="14"/>
        <v>45108.72</v>
      </c>
      <c r="M151" s="29">
        <v>1</v>
      </c>
      <c r="N151" s="34">
        <f t="shared" si="10"/>
        <v>47</v>
      </c>
      <c r="O151" s="35">
        <f t="shared" si="11"/>
        <v>10374.75</v>
      </c>
      <c r="P151" s="36">
        <f t="shared" si="12"/>
        <v>487613.25</v>
      </c>
      <c r="Q151" s="73" t="s">
        <v>94</v>
      </c>
      <c r="R151" s="62">
        <v>45536</v>
      </c>
      <c r="S151" s="42">
        <v>46996</v>
      </c>
      <c r="Y151" s="99"/>
      <c r="AB151" s="95"/>
    </row>
    <row r="152" spans="1:28" ht="21" x14ac:dyDescent="0.35">
      <c r="A152" s="108">
        <v>148</v>
      </c>
      <c r="B152" s="28" t="s">
        <v>26</v>
      </c>
      <c r="C152" s="66" t="s">
        <v>211</v>
      </c>
      <c r="D152" s="88">
        <v>450000</v>
      </c>
      <c r="E152" s="88">
        <v>47988</v>
      </c>
      <c r="F152" s="89">
        <f t="shared" ref="F152" si="40">D152+E152</f>
        <v>497988</v>
      </c>
      <c r="G152" s="70">
        <v>48</v>
      </c>
      <c r="H152" s="75">
        <v>10374.75</v>
      </c>
      <c r="I152" s="33">
        <f t="shared" si="33"/>
        <v>959.76</v>
      </c>
      <c r="J152" s="33">
        <f t="shared" si="18"/>
        <v>9000</v>
      </c>
      <c r="K152" s="33">
        <f t="shared" si="13"/>
        <v>959.76</v>
      </c>
      <c r="L152" s="33">
        <f t="shared" si="14"/>
        <v>45108.72</v>
      </c>
      <c r="M152" s="29">
        <v>1</v>
      </c>
      <c r="N152" s="34">
        <f t="shared" si="10"/>
        <v>47</v>
      </c>
      <c r="O152" s="35">
        <f t="shared" si="11"/>
        <v>10374.75</v>
      </c>
      <c r="P152" s="36">
        <f t="shared" si="12"/>
        <v>487613.25</v>
      </c>
      <c r="Q152" s="73" t="s">
        <v>94</v>
      </c>
      <c r="R152" s="62">
        <v>45536</v>
      </c>
      <c r="S152" s="42">
        <v>46996</v>
      </c>
      <c r="Y152" s="99"/>
      <c r="AB152" s="95"/>
    </row>
    <row r="153" spans="1:28" ht="21" x14ac:dyDescent="0.35">
      <c r="A153" s="108">
        <v>149</v>
      </c>
      <c r="B153" s="28" t="s">
        <v>26</v>
      </c>
      <c r="C153" s="66" t="s">
        <v>212</v>
      </c>
      <c r="D153" s="88">
        <v>450000</v>
      </c>
      <c r="E153" s="88">
        <v>47988</v>
      </c>
      <c r="F153" s="89">
        <f t="shared" ref="F153:F154" si="41">D153+E153</f>
        <v>497988</v>
      </c>
      <c r="G153" s="70">
        <v>48</v>
      </c>
      <c r="H153" s="75">
        <v>10374.75</v>
      </c>
      <c r="I153" s="33">
        <f t="shared" si="33"/>
        <v>959.76</v>
      </c>
      <c r="J153" s="33">
        <f t="shared" si="18"/>
        <v>9000</v>
      </c>
      <c r="K153" s="33">
        <f t="shared" si="13"/>
        <v>959.76</v>
      </c>
      <c r="L153" s="33">
        <f t="shared" si="14"/>
        <v>45108.72</v>
      </c>
      <c r="M153" s="29">
        <v>1</v>
      </c>
      <c r="N153" s="34">
        <f t="shared" si="10"/>
        <v>47</v>
      </c>
      <c r="O153" s="35">
        <f t="shared" si="11"/>
        <v>10374.75</v>
      </c>
      <c r="P153" s="36">
        <f t="shared" si="12"/>
        <v>487613.25</v>
      </c>
      <c r="Q153" s="73" t="s">
        <v>94</v>
      </c>
      <c r="R153" s="62">
        <v>45536</v>
      </c>
      <c r="S153" s="42">
        <v>46996</v>
      </c>
      <c r="Y153" s="99"/>
      <c r="AB153" s="95"/>
    </row>
    <row r="154" spans="1:28" ht="21" x14ac:dyDescent="0.35">
      <c r="A154" s="108">
        <v>150</v>
      </c>
      <c r="B154" s="28" t="s">
        <v>26</v>
      </c>
      <c r="C154" s="66" t="s">
        <v>213</v>
      </c>
      <c r="D154" s="30">
        <v>750000</v>
      </c>
      <c r="E154" s="30">
        <v>99975</v>
      </c>
      <c r="F154" s="31">
        <f t="shared" si="41"/>
        <v>849975</v>
      </c>
      <c r="G154" s="27">
        <v>60</v>
      </c>
      <c r="H154" s="72">
        <v>14166.25</v>
      </c>
      <c r="I154" s="33">
        <f t="shared" si="33"/>
        <v>1999.5</v>
      </c>
      <c r="J154" s="33">
        <f t="shared" si="18"/>
        <v>15000</v>
      </c>
      <c r="K154" s="33">
        <f t="shared" si="13"/>
        <v>1999.5</v>
      </c>
      <c r="L154" s="33">
        <f t="shared" si="14"/>
        <v>117970.5</v>
      </c>
      <c r="M154" s="29">
        <v>1</v>
      </c>
      <c r="N154" s="34">
        <f t="shared" si="10"/>
        <v>59</v>
      </c>
      <c r="O154" s="35">
        <f t="shared" si="11"/>
        <v>14166.25</v>
      </c>
      <c r="P154" s="36">
        <f t="shared" si="12"/>
        <v>835808.75</v>
      </c>
      <c r="Q154" s="73" t="s">
        <v>94</v>
      </c>
      <c r="R154" s="62">
        <v>45536</v>
      </c>
      <c r="S154" s="135">
        <v>47361</v>
      </c>
      <c r="Y154" s="99"/>
      <c r="AB154" s="95"/>
    </row>
    <row r="155" spans="1:28" ht="21" x14ac:dyDescent="0.35">
      <c r="A155" s="108">
        <v>151</v>
      </c>
      <c r="B155" s="28" t="s">
        <v>26</v>
      </c>
      <c r="C155" s="66" t="s">
        <v>214</v>
      </c>
      <c r="D155" s="88">
        <v>450000</v>
      </c>
      <c r="E155" s="88">
        <v>47988</v>
      </c>
      <c r="F155" s="89">
        <f t="shared" ref="F155" si="42">D155+E155</f>
        <v>497988</v>
      </c>
      <c r="G155" s="70">
        <v>48</v>
      </c>
      <c r="H155" s="75">
        <v>10374.75</v>
      </c>
      <c r="I155" s="33">
        <f t="shared" si="33"/>
        <v>959.76</v>
      </c>
      <c r="J155" s="33">
        <f t="shared" si="18"/>
        <v>9000</v>
      </c>
      <c r="K155" s="33">
        <f t="shared" si="13"/>
        <v>959.76</v>
      </c>
      <c r="L155" s="33">
        <f t="shared" si="14"/>
        <v>45108.72</v>
      </c>
      <c r="M155" s="29">
        <v>1</v>
      </c>
      <c r="N155" s="34">
        <f t="shared" si="10"/>
        <v>47</v>
      </c>
      <c r="O155" s="35">
        <f t="shared" si="11"/>
        <v>10374.75</v>
      </c>
      <c r="P155" s="36">
        <f t="shared" si="12"/>
        <v>487613.25</v>
      </c>
      <c r="Q155" s="73" t="s">
        <v>94</v>
      </c>
      <c r="R155" s="62">
        <v>45536</v>
      </c>
      <c r="S155" s="42">
        <v>46996</v>
      </c>
      <c r="Y155" s="99"/>
      <c r="AB155" s="95"/>
    </row>
    <row r="156" spans="1:28" ht="19.5" x14ac:dyDescent="0.3">
      <c r="B156" s="28"/>
      <c r="C156" s="46" t="s">
        <v>169</v>
      </c>
      <c r="D156" s="47">
        <f>SUM(D5:D155)</f>
        <v>83750000</v>
      </c>
      <c r="E156" s="47">
        <f>SUM(E5:E155)</f>
        <v>9939246.1899999995</v>
      </c>
      <c r="F156" s="47">
        <f>SUM(F5:F155)</f>
        <v>93689246.190000013</v>
      </c>
      <c r="G156" s="98"/>
      <c r="H156" s="47">
        <f>SUM(H5:H155)</f>
        <v>1901859.6400000004</v>
      </c>
      <c r="I156" s="47">
        <f>SUM(I5:I155)</f>
        <v>197163.10713333351</v>
      </c>
      <c r="J156" s="47">
        <f>SUM(J5:J155)</f>
        <v>1662833.3333333335</v>
      </c>
      <c r="K156" s="47">
        <f>SUM(K5:K155)</f>
        <v>4144902.6987999971</v>
      </c>
      <c r="L156" s="47">
        <f>SUM(L5:L155)</f>
        <v>6343968.7009999985</v>
      </c>
      <c r="M156" s="48"/>
      <c r="N156" s="41"/>
      <c r="O156" s="47">
        <f>SUM(O5:O155)</f>
        <v>34471995.409999996</v>
      </c>
      <c r="P156" s="47">
        <f>SUM(P5:P155)</f>
        <v>58989536.840000004</v>
      </c>
      <c r="Q156" s="43"/>
      <c r="R156" s="39"/>
      <c r="S156" s="22"/>
      <c r="Y156" s="99"/>
      <c r="AB156" s="95"/>
    </row>
    <row r="157" spans="1:28" ht="19.5" x14ac:dyDescent="0.3">
      <c r="B157" s="28"/>
      <c r="C157" s="46"/>
      <c r="D157" s="47"/>
      <c r="E157" s="47"/>
      <c r="F157" s="47"/>
      <c r="G157" s="98"/>
      <c r="H157" s="47"/>
      <c r="I157" s="47"/>
      <c r="J157" s="47"/>
      <c r="K157" s="47"/>
      <c r="L157" s="47"/>
      <c r="M157" s="48"/>
      <c r="N157" s="41"/>
      <c r="O157" s="47"/>
      <c r="P157" s="47"/>
      <c r="Q157" s="43"/>
      <c r="R157" s="37"/>
      <c r="S157" s="22"/>
      <c r="Y157" s="99"/>
      <c r="AB157" s="95"/>
    </row>
    <row r="158" spans="1:28" ht="21" x14ac:dyDescent="0.35">
      <c r="B158" s="90" t="s">
        <v>82</v>
      </c>
      <c r="J158" s="6"/>
      <c r="Y158" s="99"/>
      <c r="AB158" s="95"/>
    </row>
    <row r="159" spans="1:28" ht="19.5" x14ac:dyDescent="0.3">
      <c r="A159" s="132">
        <v>1</v>
      </c>
      <c r="B159" s="28" t="s">
        <v>26</v>
      </c>
      <c r="C159" s="38" t="s">
        <v>47</v>
      </c>
      <c r="D159" s="30">
        <v>750000</v>
      </c>
      <c r="E159" s="30">
        <v>83312.5</v>
      </c>
      <c r="F159" s="31">
        <f t="shared" ref="F159:F162" si="43">D159+E159</f>
        <v>833312.5</v>
      </c>
      <c r="G159" s="27">
        <v>50</v>
      </c>
      <c r="H159" s="32">
        <v>16666.25</v>
      </c>
      <c r="I159" s="33">
        <f t="shared" ref="I159:I163" si="44">E159/50</f>
        <v>1666.25</v>
      </c>
      <c r="J159" s="33">
        <f t="shared" ref="J159:J163" si="45">D159/50</f>
        <v>15000</v>
      </c>
      <c r="K159" s="33">
        <f t="shared" ref="K159:K163" si="46">I159*M159</f>
        <v>74981.25</v>
      </c>
      <c r="L159" s="33">
        <f t="shared" ref="L159:L163" si="47">I159*N159</f>
        <v>8331.25</v>
      </c>
      <c r="M159" s="29">
        <v>45</v>
      </c>
      <c r="N159" s="34">
        <f t="shared" ref="N159:N163" si="48">G159-M159</f>
        <v>5</v>
      </c>
      <c r="O159" s="35">
        <f t="shared" ref="O159:O163" si="49">H159*M159</f>
        <v>749981.25</v>
      </c>
      <c r="P159" s="36">
        <f t="shared" ref="P159:P163" si="50">H159*N159</f>
        <v>83331.25</v>
      </c>
      <c r="Q159" s="53" t="s">
        <v>215</v>
      </c>
      <c r="R159" s="62">
        <v>44166</v>
      </c>
      <c r="S159" s="42">
        <v>45688</v>
      </c>
      <c r="Y159" s="99"/>
      <c r="AB159" s="95"/>
    </row>
    <row r="160" spans="1:28" ht="19.5" x14ac:dyDescent="0.3">
      <c r="A160" s="132">
        <v>2</v>
      </c>
      <c r="B160" s="28" t="s">
        <v>26</v>
      </c>
      <c r="C160" s="66" t="s">
        <v>86</v>
      </c>
      <c r="D160" s="30">
        <v>750000</v>
      </c>
      <c r="E160" s="30">
        <v>99975</v>
      </c>
      <c r="F160" s="31">
        <f t="shared" si="43"/>
        <v>849975</v>
      </c>
      <c r="G160" s="27">
        <v>36</v>
      </c>
      <c r="H160" s="40">
        <v>22499.58</v>
      </c>
      <c r="I160" s="33">
        <f t="shared" si="44"/>
        <v>1999.5</v>
      </c>
      <c r="J160" s="33">
        <f t="shared" si="45"/>
        <v>15000</v>
      </c>
      <c r="K160" s="33">
        <f t="shared" si="46"/>
        <v>69982.5</v>
      </c>
      <c r="L160" s="33">
        <f t="shared" si="47"/>
        <v>1999.5</v>
      </c>
      <c r="M160" s="55">
        <v>35</v>
      </c>
      <c r="N160" s="34">
        <f t="shared" si="48"/>
        <v>1</v>
      </c>
      <c r="O160" s="35">
        <f t="shared" si="49"/>
        <v>787485.3</v>
      </c>
      <c r="P160" s="36">
        <f t="shared" si="50"/>
        <v>22499.58</v>
      </c>
      <c r="Q160" s="53" t="s">
        <v>215</v>
      </c>
      <c r="R160" s="64">
        <v>44470</v>
      </c>
      <c r="S160" s="18">
        <v>45565</v>
      </c>
      <c r="Y160" s="99"/>
      <c r="AB160" s="95"/>
    </row>
    <row r="161" spans="1:28" ht="19.5" x14ac:dyDescent="0.3">
      <c r="A161" s="132"/>
      <c r="B161" s="28" t="s">
        <v>26</v>
      </c>
      <c r="C161" s="94" t="s">
        <v>96</v>
      </c>
      <c r="D161" s="30">
        <v>450000</v>
      </c>
      <c r="E161" s="30">
        <v>59985</v>
      </c>
      <c r="F161" s="31">
        <f t="shared" si="43"/>
        <v>509985</v>
      </c>
      <c r="G161" s="27">
        <v>60</v>
      </c>
      <c r="H161" s="72">
        <v>8499.75</v>
      </c>
      <c r="I161" s="33">
        <f t="shared" si="44"/>
        <v>1199.7</v>
      </c>
      <c r="J161" s="33">
        <f t="shared" si="45"/>
        <v>9000</v>
      </c>
      <c r="K161" s="33">
        <f t="shared" si="46"/>
        <v>63584.100000000006</v>
      </c>
      <c r="L161" s="33">
        <f t="shared" si="47"/>
        <v>8397.9</v>
      </c>
      <c r="M161" s="3">
        <v>53</v>
      </c>
      <c r="N161" s="3">
        <f t="shared" si="48"/>
        <v>7</v>
      </c>
      <c r="O161" s="5">
        <f t="shared" si="49"/>
        <v>450486.75</v>
      </c>
      <c r="P161" s="5">
        <f t="shared" si="50"/>
        <v>59498.25</v>
      </c>
      <c r="Q161" s="53" t="s">
        <v>215</v>
      </c>
      <c r="R161" s="68">
        <v>43891</v>
      </c>
      <c r="S161" s="69">
        <v>45716</v>
      </c>
      <c r="Y161" s="99"/>
      <c r="AB161" s="95"/>
    </row>
    <row r="162" spans="1:28" ht="19.5" x14ac:dyDescent="0.3">
      <c r="A162" s="132"/>
      <c r="B162" s="28" t="s">
        <v>26</v>
      </c>
      <c r="C162" s="66" t="s">
        <v>134</v>
      </c>
      <c r="D162" s="30">
        <v>750000</v>
      </c>
      <c r="E162" s="30">
        <v>99975</v>
      </c>
      <c r="F162" s="31">
        <f t="shared" si="43"/>
        <v>849975</v>
      </c>
      <c r="G162" s="27">
        <v>60</v>
      </c>
      <c r="H162" s="72">
        <v>13709.27</v>
      </c>
      <c r="I162" s="33">
        <f t="shared" si="44"/>
        <v>1999.5</v>
      </c>
      <c r="J162" s="33">
        <f t="shared" si="45"/>
        <v>15000</v>
      </c>
      <c r="K162" s="33">
        <f t="shared" si="46"/>
        <v>21994.5</v>
      </c>
      <c r="L162" s="33">
        <f t="shared" si="47"/>
        <v>97975.5</v>
      </c>
      <c r="M162" s="29">
        <v>11</v>
      </c>
      <c r="N162" s="34">
        <f t="shared" si="48"/>
        <v>49</v>
      </c>
      <c r="O162" s="35">
        <f t="shared" si="49"/>
        <v>150801.97</v>
      </c>
      <c r="P162" s="36">
        <f t="shared" si="50"/>
        <v>671754.23</v>
      </c>
      <c r="Q162" s="73" t="s">
        <v>115</v>
      </c>
      <c r="R162" s="62">
        <v>45231</v>
      </c>
      <c r="S162" s="42">
        <v>47057</v>
      </c>
      <c r="Y162" s="99"/>
      <c r="AB162" s="95"/>
    </row>
    <row r="163" spans="1:28" ht="19.5" x14ac:dyDescent="0.3">
      <c r="B163" s="28" t="s">
        <v>26</v>
      </c>
      <c r="C163" s="66" t="s">
        <v>112</v>
      </c>
      <c r="D163" s="30">
        <v>750000</v>
      </c>
      <c r="E163" s="30">
        <v>59984.88</v>
      </c>
      <c r="F163" s="31">
        <v>809984.88</v>
      </c>
      <c r="G163" s="87">
        <v>36</v>
      </c>
      <c r="H163" s="31">
        <v>15967.44</v>
      </c>
      <c r="I163" s="33">
        <f t="shared" si="44"/>
        <v>1199.6976</v>
      </c>
      <c r="J163" s="33">
        <f t="shared" si="45"/>
        <v>15000</v>
      </c>
      <c r="K163" s="33">
        <f t="shared" si="46"/>
        <v>26393.3472</v>
      </c>
      <c r="L163" s="33">
        <f t="shared" si="47"/>
        <v>16795.7664</v>
      </c>
      <c r="M163" s="107">
        <v>22</v>
      </c>
      <c r="N163" s="107">
        <f t="shared" si="48"/>
        <v>14</v>
      </c>
      <c r="O163" s="5">
        <f t="shared" si="49"/>
        <v>351283.68</v>
      </c>
      <c r="P163" s="5">
        <f t="shared" si="50"/>
        <v>223544.16</v>
      </c>
      <c r="Q163" s="73" t="s">
        <v>115</v>
      </c>
      <c r="R163" s="64">
        <v>44896</v>
      </c>
      <c r="S163" s="18">
        <v>45991</v>
      </c>
      <c r="Y163" s="99"/>
      <c r="AB163" s="95"/>
    </row>
    <row r="164" spans="1:28" ht="19.5" x14ac:dyDescent="0.3">
      <c r="B164" s="28" t="s">
        <v>26</v>
      </c>
      <c r="C164" s="66" t="s">
        <v>97</v>
      </c>
      <c r="D164" s="30">
        <v>600000</v>
      </c>
      <c r="E164" s="30">
        <v>79980</v>
      </c>
      <c r="F164" s="31">
        <f t="shared" ref="F164" si="51">D164+E164</f>
        <v>679980</v>
      </c>
      <c r="G164" s="27">
        <v>50</v>
      </c>
      <c r="H164" s="72">
        <v>13599.6</v>
      </c>
      <c r="I164" s="33">
        <f t="shared" ref="I164" si="52">E164/50</f>
        <v>1599.6</v>
      </c>
      <c r="J164" s="33">
        <f t="shared" ref="J164" si="53">D164/50</f>
        <v>12000</v>
      </c>
      <c r="K164" s="33">
        <f t="shared" ref="K164" si="54">I164*M164</f>
        <v>57585.599999999999</v>
      </c>
      <c r="L164" s="33">
        <f t="shared" ref="L164" si="55">I164*N164</f>
        <v>22394.399999999998</v>
      </c>
      <c r="M164" s="3">
        <v>36</v>
      </c>
      <c r="N164" s="3">
        <f t="shared" ref="N164" si="56">G164-M164</f>
        <v>14</v>
      </c>
      <c r="O164" s="5">
        <f t="shared" ref="O164" si="57">H164*M164</f>
        <v>489585.60000000003</v>
      </c>
      <c r="P164" s="5">
        <f t="shared" ref="P164" si="58">H164*N164</f>
        <v>190394.4</v>
      </c>
      <c r="Q164" s="53" t="s">
        <v>215</v>
      </c>
      <c r="R164" s="76">
        <v>44409</v>
      </c>
      <c r="S164" s="77">
        <v>45930</v>
      </c>
      <c r="Y164" s="99"/>
      <c r="AB164" s="95"/>
    </row>
    <row r="165" spans="1:28" ht="19.5" x14ac:dyDescent="0.3">
      <c r="B165" s="23" t="s">
        <v>30</v>
      </c>
      <c r="C165" s="24"/>
      <c r="D165" s="24"/>
      <c r="E165" s="22"/>
      <c r="F165" s="47"/>
      <c r="G165" s="98"/>
      <c r="H165" s="47"/>
      <c r="I165" s="47"/>
      <c r="J165" s="47"/>
      <c r="K165" s="47"/>
      <c r="L165" s="47"/>
      <c r="M165" s="48"/>
      <c r="N165" s="41"/>
      <c r="O165" s="47"/>
      <c r="P165" s="47"/>
      <c r="Q165" s="43"/>
      <c r="R165" s="37"/>
      <c r="S165" s="22"/>
      <c r="Y165" s="99"/>
      <c r="AB165" s="95"/>
    </row>
    <row r="166" spans="1:28" ht="19.5" x14ac:dyDescent="0.3">
      <c r="B166" s="25" t="s">
        <v>194</v>
      </c>
      <c r="D166" s="24"/>
      <c r="E166" s="22"/>
      <c r="F166" s="47"/>
      <c r="G166" s="98"/>
      <c r="H166" s="47"/>
      <c r="I166" s="47"/>
      <c r="J166" s="47"/>
      <c r="K166" s="47"/>
      <c r="L166" s="47"/>
      <c r="M166" s="48"/>
      <c r="N166" s="41"/>
      <c r="O166" s="47"/>
      <c r="P166" s="47"/>
      <c r="Q166" s="43"/>
      <c r="R166" s="37"/>
      <c r="S166" s="22"/>
      <c r="Y166" s="99"/>
      <c r="AB166" s="95"/>
    </row>
    <row r="167" spans="1:28" ht="19.5" x14ac:dyDescent="0.3">
      <c r="B167" s="28"/>
      <c r="C167" s="24" t="s">
        <v>23</v>
      </c>
      <c r="D167" s="22"/>
      <c r="E167" s="22"/>
      <c r="F167" s="31"/>
      <c r="G167" s="22"/>
      <c r="H167" s="22"/>
      <c r="I167" s="46"/>
      <c r="J167" s="46"/>
      <c r="K167" s="46"/>
      <c r="L167" s="46"/>
      <c r="M167" s="22"/>
      <c r="N167" s="41"/>
      <c r="O167" s="41"/>
      <c r="P167" s="36"/>
      <c r="Q167" s="53"/>
      <c r="R167" s="37"/>
      <c r="S167" s="22"/>
      <c r="Y167" s="99"/>
      <c r="AB167" s="95"/>
    </row>
    <row r="168" spans="1:28" ht="92.25" customHeight="1" x14ac:dyDescent="0.3">
      <c r="B168" s="26" t="s">
        <v>6</v>
      </c>
      <c r="C168" s="26" t="s">
        <v>0</v>
      </c>
      <c r="D168" s="26" t="s">
        <v>1</v>
      </c>
      <c r="E168" s="26" t="s">
        <v>7</v>
      </c>
      <c r="F168" s="26" t="s">
        <v>2</v>
      </c>
      <c r="G168" s="26" t="s">
        <v>12</v>
      </c>
      <c r="H168" s="26" t="s">
        <v>13</v>
      </c>
      <c r="I168" s="56" t="s">
        <v>9</v>
      </c>
      <c r="J168" s="56" t="s">
        <v>8</v>
      </c>
      <c r="K168" s="56" t="s">
        <v>10</v>
      </c>
      <c r="L168" s="56" t="s">
        <v>11</v>
      </c>
      <c r="M168" s="57" t="s">
        <v>3</v>
      </c>
      <c r="N168" s="57" t="s">
        <v>44</v>
      </c>
      <c r="O168" s="26" t="s">
        <v>4</v>
      </c>
      <c r="P168" s="58" t="s">
        <v>5</v>
      </c>
      <c r="Q168" s="26" t="s">
        <v>29</v>
      </c>
      <c r="R168" s="61" t="s">
        <v>38</v>
      </c>
      <c r="S168" s="52" t="s">
        <v>28</v>
      </c>
      <c r="Y168" s="99"/>
      <c r="AB168" s="95"/>
    </row>
    <row r="169" spans="1:28" ht="21" x14ac:dyDescent="0.35">
      <c r="A169" s="108">
        <v>1</v>
      </c>
      <c r="B169" s="28" t="s">
        <v>26</v>
      </c>
      <c r="C169" s="38" t="s">
        <v>36</v>
      </c>
      <c r="D169" s="30">
        <v>250000</v>
      </c>
      <c r="E169" s="30">
        <v>33225</v>
      </c>
      <c r="F169" s="31">
        <f t="shared" ref="F169:F182" si="59">D169+E169</f>
        <v>283225</v>
      </c>
      <c r="G169" s="27">
        <v>60</v>
      </c>
      <c r="H169" s="40">
        <v>4722.08</v>
      </c>
      <c r="I169" s="33">
        <f t="shared" ref="I169:I187" si="60">E169/50</f>
        <v>664.5</v>
      </c>
      <c r="J169" s="33">
        <f t="shared" ref="J169:J187" si="61">D169/50</f>
        <v>5000</v>
      </c>
      <c r="K169" s="33">
        <f t="shared" ref="K169:K187" si="62">I169*M169</f>
        <v>33225</v>
      </c>
      <c r="L169" s="33">
        <f t="shared" ref="L169:L187" si="63">I169*N169</f>
        <v>6645</v>
      </c>
      <c r="M169" s="55">
        <v>50</v>
      </c>
      <c r="N169" s="34">
        <f t="shared" ref="N169:N187" si="64">G169-M169</f>
        <v>10</v>
      </c>
      <c r="O169" s="35">
        <f t="shared" ref="O169:O187" si="65">H169*M169</f>
        <v>236104</v>
      </c>
      <c r="P169" s="36">
        <f t="shared" ref="P169:P187" si="66">H169*N169</f>
        <v>47220.800000000003</v>
      </c>
      <c r="Q169" s="53"/>
      <c r="R169" s="37"/>
      <c r="S169" s="22"/>
      <c r="Y169" s="99"/>
      <c r="AB169" s="95"/>
    </row>
    <row r="170" spans="1:28" ht="19.5" x14ac:dyDescent="0.3">
      <c r="A170" s="128">
        <v>2</v>
      </c>
      <c r="B170" s="28" t="s">
        <v>26</v>
      </c>
      <c r="C170" s="38" t="s">
        <v>39</v>
      </c>
      <c r="D170" s="30">
        <v>750000</v>
      </c>
      <c r="E170" s="30">
        <v>99975</v>
      </c>
      <c r="F170" s="31">
        <f t="shared" si="59"/>
        <v>849975</v>
      </c>
      <c r="G170" s="27">
        <v>60</v>
      </c>
      <c r="H170" s="40">
        <v>14166.25</v>
      </c>
      <c r="I170" s="33">
        <f t="shared" si="60"/>
        <v>1999.5</v>
      </c>
      <c r="J170" s="33">
        <f t="shared" si="61"/>
        <v>15000</v>
      </c>
      <c r="K170" s="33">
        <f t="shared" si="62"/>
        <v>79980</v>
      </c>
      <c r="L170" s="33">
        <f t="shared" si="63"/>
        <v>39990</v>
      </c>
      <c r="M170" s="55">
        <v>40</v>
      </c>
      <c r="N170" s="34">
        <f t="shared" si="64"/>
        <v>20</v>
      </c>
      <c r="O170" s="35">
        <f t="shared" si="65"/>
        <v>566650</v>
      </c>
      <c r="P170" s="36">
        <f t="shared" si="66"/>
        <v>283325</v>
      </c>
      <c r="Q170" s="53"/>
      <c r="R170" s="62">
        <v>44013</v>
      </c>
      <c r="S170" s="42">
        <v>45838</v>
      </c>
      <c r="Y170" s="99"/>
      <c r="AB170" s="95"/>
    </row>
    <row r="171" spans="1:28" ht="21" x14ac:dyDescent="0.35">
      <c r="A171" s="108">
        <v>3</v>
      </c>
      <c r="B171" s="28" t="s">
        <v>26</v>
      </c>
      <c r="C171" s="38" t="s">
        <v>40</v>
      </c>
      <c r="D171" s="30">
        <v>450000</v>
      </c>
      <c r="E171" s="30">
        <v>59985</v>
      </c>
      <c r="F171" s="31">
        <f t="shared" si="59"/>
        <v>509985</v>
      </c>
      <c r="G171" s="27">
        <v>60</v>
      </c>
      <c r="H171" s="40">
        <v>8499.75</v>
      </c>
      <c r="I171" s="33">
        <f t="shared" si="60"/>
        <v>1199.7</v>
      </c>
      <c r="J171" s="33">
        <f t="shared" si="61"/>
        <v>9000</v>
      </c>
      <c r="K171" s="33">
        <f t="shared" si="62"/>
        <v>47988</v>
      </c>
      <c r="L171" s="33">
        <f t="shared" si="63"/>
        <v>23994</v>
      </c>
      <c r="M171" s="55">
        <v>40</v>
      </c>
      <c r="N171" s="34">
        <f t="shared" si="64"/>
        <v>20</v>
      </c>
      <c r="O171" s="35">
        <f t="shared" si="65"/>
        <v>339990</v>
      </c>
      <c r="P171" s="36">
        <f t="shared" si="66"/>
        <v>169995</v>
      </c>
      <c r="Q171" s="53"/>
      <c r="R171" s="62">
        <v>44013</v>
      </c>
      <c r="S171" s="42">
        <v>45838</v>
      </c>
      <c r="Y171" s="99"/>
      <c r="AB171" s="95"/>
    </row>
    <row r="172" spans="1:28" ht="19.5" x14ac:dyDescent="0.3">
      <c r="A172" s="128">
        <v>4</v>
      </c>
      <c r="B172" s="28" t="s">
        <v>26</v>
      </c>
      <c r="C172" s="38" t="s">
        <v>41</v>
      </c>
      <c r="D172" s="30">
        <v>250000</v>
      </c>
      <c r="E172" s="30">
        <v>33225</v>
      </c>
      <c r="F172" s="31">
        <f t="shared" si="59"/>
        <v>283225</v>
      </c>
      <c r="G172" s="27">
        <v>60</v>
      </c>
      <c r="H172" s="40">
        <v>4722.08</v>
      </c>
      <c r="I172" s="33">
        <f t="shared" si="60"/>
        <v>664.5</v>
      </c>
      <c r="J172" s="33">
        <f t="shared" si="61"/>
        <v>5000</v>
      </c>
      <c r="K172" s="33">
        <f t="shared" si="62"/>
        <v>26580</v>
      </c>
      <c r="L172" s="33">
        <f t="shared" si="63"/>
        <v>13290</v>
      </c>
      <c r="M172" s="55">
        <v>40</v>
      </c>
      <c r="N172" s="34">
        <f t="shared" si="64"/>
        <v>20</v>
      </c>
      <c r="O172" s="35">
        <f t="shared" si="65"/>
        <v>188883.20000000001</v>
      </c>
      <c r="P172" s="36">
        <f t="shared" si="66"/>
        <v>94441.600000000006</v>
      </c>
      <c r="Q172" s="53"/>
      <c r="R172" s="62">
        <v>44013</v>
      </c>
      <c r="S172" s="42">
        <v>45838</v>
      </c>
      <c r="Y172" s="99"/>
      <c r="AB172" s="95"/>
    </row>
    <row r="173" spans="1:28" ht="21" x14ac:dyDescent="0.35">
      <c r="A173" s="108">
        <v>5</v>
      </c>
      <c r="B173" s="28" t="s">
        <v>26</v>
      </c>
      <c r="C173" s="38" t="s">
        <v>24</v>
      </c>
      <c r="D173" s="30">
        <v>600000</v>
      </c>
      <c r="E173" s="30">
        <v>79980</v>
      </c>
      <c r="F173" s="31">
        <f t="shared" si="59"/>
        <v>679980</v>
      </c>
      <c r="G173" s="27">
        <v>60</v>
      </c>
      <c r="H173" s="40">
        <v>11333</v>
      </c>
      <c r="I173" s="33">
        <f t="shared" si="60"/>
        <v>1599.6</v>
      </c>
      <c r="J173" s="33">
        <f t="shared" si="61"/>
        <v>12000</v>
      </c>
      <c r="K173" s="33">
        <f t="shared" si="62"/>
        <v>63984</v>
      </c>
      <c r="L173" s="33">
        <f t="shared" si="63"/>
        <v>31992</v>
      </c>
      <c r="M173" s="55">
        <v>40</v>
      </c>
      <c r="N173" s="34">
        <f t="shared" si="64"/>
        <v>20</v>
      </c>
      <c r="O173" s="35">
        <f t="shared" si="65"/>
        <v>453320</v>
      </c>
      <c r="P173" s="36">
        <f t="shared" si="66"/>
        <v>226660</v>
      </c>
      <c r="Q173" s="43"/>
      <c r="R173" s="63">
        <v>44197</v>
      </c>
      <c r="S173" s="42">
        <v>46022</v>
      </c>
      <c r="Y173" s="99"/>
      <c r="AB173" s="95"/>
    </row>
    <row r="174" spans="1:28" ht="19.5" x14ac:dyDescent="0.3">
      <c r="A174" s="128">
        <v>6</v>
      </c>
      <c r="B174" s="28" t="s">
        <v>26</v>
      </c>
      <c r="C174" s="38" t="s">
        <v>49</v>
      </c>
      <c r="D174" s="30">
        <v>450000</v>
      </c>
      <c r="E174" s="30">
        <v>59985</v>
      </c>
      <c r="F174" s="31">
        <f t="shared" si="59"/>
        <v>509985</v>
      </c>
      <c r="G174" s="27">
        <v>60</v>
      </c>
      <c r="H174" s="40">
        <v>8499.75</v>
      </c>
      <c r="I174" s="33">
        <f t="shared" si="60"/>
        <v>1199.7</v>
      </c>
      <c r="J174" s="33">
        <f t="shared" si="61"/>
        <v>9000</v>
      </c>
      <c r="K174" s="33">
        <f t="shared" si="62"/>
        <v>47988</v>
      </c>
      <c r="L174" s="33">
        <f t="shared" si="63"/>
        <v>23994</v>
      </c>
      <c r="M174" s="55">
        <v>40</v>
      </c>
      <c r="N174" s="34">
        <f t="shared" si="64"/>
        <v>20</v>
      </c>
      <c r="O174" s="35">
        <f t="shared" si="65"/>
        <v>339990</v>
      </c>
      <c r="P174" s="36">
        <f t="shared" si="66"/>
        <v>169995</v>
      </c>
      <c r="Q174" s="43"/>
      <c r="R174" s="63">
        <v>44197</v>
      </c>
      <c r="S174" s="42">
        <v>46022</v>
      </c>
      <c r="Y174" s="99"/>
      <c r="AB174" s="95"/>
    </row>
    <row r="175" spans="1:28" ht="21" x14ac:dyDescent="0.35">
      <c r="A175" s="108">
        <v>7</v>
      </c>
      <c r="B175" s="28" t="s">
        <v>26</v>
      </c>
      <c r="C175" s="66" t="s">
        <v>66</v>
      </c>
      <c r="D175" s="30">
        <v>450000</v>
      </c>
      <c r="E175" s="30">
        <v>59985</v>
      </c>
      <c r="F175" s="31">
        <f t="shared" si="59"/>
        <v>509985</v>
      </c>
      <c r="G175" s="27">
        <v>60</v>
      </c>
      <c r="H175" s="40">
        <v>8499.75</v>
      </c>
      <c r="I175" s="33">
        <f t="shared" si="60"/>
        <v>1199.7</v>
      </c>
      <c r="J175" s="33">
        <f t="shared" si="61"/>
        <v>9000</v>
      </c>
      <c r="K175" s="33">
        <f t="shared" si="62"/>
        <v>44388.9</v>
      </c>
      <c r="L175" s="33">
        <f t="shared" si="63"/>
        <v>27593.100000000002</v>
      </c>
      <c r="M175" s="55">
        <v>37</v>
      </c>
      <c r="N175" s="34">
        <f t="shared" si="64"/>
        <v>23</v>
      </c>
      <c r="O175" s="35">
        <f t="shared" si="65"/>
        <v>314490.75</v>
      </c>
      <c r="P175" s="36">
        <f t="shared" si="66"/>
        <v>195494.25</v>
      </c>
      <c r="Q175" s="43"/>
      <c r="R175" s="18">
        <v>44378</v>
      </c>
      <c r="S175" s="18">
        <v>46203</v>
      </c>
      <c r="Y175" s="99"/>
      <c r="AB175" s="95"/>
    </row>
    <row r="176" spans="1:28" ht="19.5" x14ac:dyDescent="0.3">
      <c r="A176" s="128">
        <v>8</v>
      </c>
      <c r="B176" s="28" t="s">
        <v>26</v>
      </c>
      <c r="C176" s="66" t="s">
        <v>67</v>
      </c>
      <c r="D176" s="30">
        <v>450000</v>
      </c>
      <c r="E176" s="30">
        <v>59985</v>
      </c>
      <c r="F176" s="31">
        <f t="shared" si="59"/>
        <v>509985</v>
      </c>
      <c r="G176" s="27">
        <v>60</v>
      </c>
      <c r="H176" s="40">
        <v>8499.75</v>
      </c>
      <c r="I176" s="33">
        <f t="shared" si="60"/>
        <v>1199.7</v>
      </c>
      <c r="J176" s="33">
        <f t="shared" si="61"/>
        <v>9000</v>
      </c>
      <c r="K176" s="33">
        <f t="shared" si="62"/>
        <v>44388.9</v>
      </c>
      <c r="L176" s="33">
        <f t="shared" si="63"/>
        <v>27593.100000000002</v>
      </c>
      <c r="M176" s="55">
        <v>37</v>
      </c>
      <c r="N176" s="34">
        <f t="shared" si="64"/>
        <v>23</v>
      </c>
      <c r="O176" s="35">
        <f t="shared" si="65"/>
        <v>314490.75</v>
      </c>
      <c r="P176" s="36">
        <f t="shared" si="66"/>
        <v>195494.25</v>
      </c>
      <c r="Q176" s="43"/>
      <c r="R176" s="18">
        <v>44378</v>
      </c>
      <c r="S176" s="18">
        <v>46203</v>
      </c>
      <c r="Y176" s="99"/>
      <c r="AB176" s="95"/>
    </row>
    <row r="177" spans="1:28" ht="21" x14ac:dyDescent="0.35">
      <c r="A177" s="108">
        <v>9</v>
      </c>
      <c r="B177" s="28" t="s">
        <v>26</v>
      </c>
      <c r="C177" s="66" t="s">
        <v>68</v>
      </c>
      <c r="D177" s="30">
        <v>750000</v>
      </c>
      <c r="E177" s="30">
        <v>99975</v>
      </c>
      <c r="F177" s="31">
        <f t="shared" si="59"/>
        <v>849975</v>
      </c>
      <c r="G177" s="27">
        <v>60</v>
      </c>
      <c r="H177" s="40">
        <v>14166.25</v>
      </c>
      <c r="I177" s="33">
        <f t="shared" si="60"/>
        <v>1999.5</v>
      </c>
      <c r="J177" s="33">
        <f t="shared" si="61"/>
        <v>15000</v>
      </c>
      <c r="K177" s="33">
        <f t="shared" si="62"/>
        <v>73981.5</v>
      </c>
      <c r="L177" s="33">
        <f t="shared" si="63"/>
        <v>45988.5</v>
      </c>
      <c r="M177" s="55">
        <v>37</v>
      </c>
      <c r="N177" s="34">
        <f t="shared" si="64"/>
        <v>23</v>
      </c>
      <c r="O177" s="35">
        <f t="shared" si="65"/>
        <v>524151.25</v>
      </c>
      <c r="P177" s="36">
        <f t="shared" si="66"/>
        <v>325823.75</v>
      </c>
      <c r="Q177" s="43"/>
      <c r="R177" s="18">
        <v>44378</v>
      </c>
      <c r="S177" s="18">
        <v>46203</v>
      </c>
      <c r="Y177" s="99"/>
      <c r="AB177" s="95"/>
    </row>
    <row r="178" spans="1:28" ht="19.5" x14ac:dyDescent="0.3">
      <c r="A178" s="128">
        <v>10</v>
      </c>
      <c r="B178" s="28" t="s">
        <v>26</v>
      </c>
      <c r="C178" s="66" t="s">
        <v>69</v>
      </c>
      <c r="D178" s="30">
        <v>450000</v>
      </c>
      <c r="E178" s="30">
        <v>59985</v>
      </c>
      <c r="F178" s="31">
        <f t="shared" si="59"/>
        <v>509985</v>
      </c>
      <c r="G178" s="27">
        <v>60</v>
      </c>
      <c r="H178" s="40">
        <v>8499.75</v>
      </c>
      <c r="I178" s="33">
        <f t="shared" si="60"/>
        <v>1199.7</v>
      </c>
      <c r="J178" s="33">
        <f t="shared" si="61"/>
        <v>9000</v>
      </c>
      <c r="K178" s="33">
        <f t="shared" si="62"/>
        <v>44388.9</v>
      </c>
      <c r="L178" s="33">
        <f t="shared" si="63"/>
        <v>27593.100000000002</v>
      </c>
      <c r="M178" s="55">
        <v>37</v>
      </c>
      <c r="N178" s="34">
        <f t="shared" si="64"/>
        <v>23</v>
      </c>
      <c r="O178" s="35">
        <f t="shared" si="65"/>
        <v>314490.75</v>
      </c>
      <c r="P178" s="36">
        <f t="shared" si="66"/>
        <v>195494.25</v>
      </c>
      <c r="Q178" s="43"/>
      <c r="R178" s="18">
        <v>44378</v>
      </c>
      <c r="S178" s="18">
        <v>46203</v>
      </c>
      <c r="Y178" s="99"/>
      <c r="AB178" s="95"/>
    </row>
    <row r="179" spans="1:28" ht="21" x14ac:dyDescent="0.35">
      <c r="A179" s="108">
        <v>11</v>
      </c>
      <c r="B179" s="28" t="s">
        <v>26</v>
      </c>
      <c r="C179" s="66" t="s">
        <v>70</v>
      </c>
      <c r="D179" s="30">
        <v>450000</v>
      </c>
      <c r="E179" s="30">
        <v>59985</v>
      </c>
      <c r="F179" s="31">
        <f t="shared" si="59"/>
        <v>509985</v>
      </c>
      <c r="G179" s="27">
        <v>60</v>
      </c>
      <c r="H179" s="40">
        <v>8499.75</v>
      </c>
      <c r="I179" s="33">
        <f t="shared" si="60"/>
        <v>1199.7</v>
      </c>
      <c r="J179" s="33">
        <f t="shared" si="61"/>
        <v>9000</v>
      </c>
      <c r="K179" s="33">
        <f t="shared" si="62"/>
        <v>44388.9</v>
      </c>
      <c r="L179" s="33">
        <f t="shared" si="63"/>
        <v>27593.100000000002</v>
      </c>
      <c r="M179" s="55">
        <v>37</v>
      </c>
      <c r="N179" s="34">
        <f t="shared" si="64"/>
        <v>23</v>
      </c>
      <c r="O179" s="35">
        <f t="shared" si="65"/>
        <v>314490.75</v>
      </c>
      <c r="P179" s="36">
        <f t="shared" si="66"/>
        <v>195494.25</v>
      </c>
      <c r="Q179" s="43"/>
      <c r="R179" s="18">
        <v>44378</v>
      </c>
      <c r="S179" s="18">
        <v>46203</v>
      </c>
      <c r="AB179" s="95"/>
    </row>
    <row r="180" spans="1:28" ht="19.5" x14ac:dyDescent="0.3">
      <c r="A180" s="128">
        <v>12</v>
      </c>
      <c r="B180" s="28" t="s">
        <v>26</v>
      </c>
      <c r="C180" s="66" t="s">
        <v>108</v>
      </c>
      <c r="D180" s="30">
        <v>250000</v>
      </c>
      <c r="E180" s="30">
        <v>33225</v>
      </c>
      <c r="F180" s="31">
        <f t="shared" si="59"/>
        <v>283225</v>
      </c>
      <c r="G180" s="27">
        <v>60</v>
      </c>
      <c r="H180" s="85">
        <v>4722.08</v>
      </c>
      <c r="I180" s="33">
        <f t="shared" si="60"/>
        <v>664.5</v>
      </c>
      <c r="J180" s="33">
        <f t="shared" si="61"/>
        <v>5000</v>
      </c>
      <c r="K180" s="33">
        <f t="shared" si="62"/>
        <v>14619</v>
      </c>
      <c r="L180" s="33">
        <f t="shared" si="63"/>
        <v>25251</v>
      </c>
      <c r="M180" s="91">
        <v>22</v>
      </c>
      <c r="N180" s="92">
        <f t="shared" si="64"/>
        <v>38</v>
      </c>
      <c r="O180" s="35">
        <f t="shared" si="65"/>
        <v>103885.75999999999</v>
      </c>
      <c r="P180" s="36">
        <f t="shared" si="66"/>
        <v>179439.04</v>
      </c>
      <c r="Q180" s="19" t="s">
        <v>94</v>
      </c>
      <c r="R180" s="79">
        <v>44835</v>
      </c>
      <c r="S180" s="79">
        <v>46660</v>
      </c>
    </row>
    <row r="181" spans="1:28" ht="21" x14ac:dyDescent="0.35">
      <c r="A181" s="108">
        <v>13</v>
      </c>
      <c r="B181" s="28" t="s">
        <v>26</v>
      </c>
      <c r="C181" s="66" t="s">
        <v>109</v>
      </c>
      <c r="D181" s="30">
        <v>250000</v>
      </c>
      <c r="E181" s="30">
        <v>33225</v>
      </c>
      <c r="F181" s="31">
        <f t="shared" si="59"/>
        <v>283225</v>
      </c>
      <c r="G181" s="27">
        <v>60</v>
      </c>
      <c r="H181" s="85">
        <v>4722.08</v>
      </c>
      <c r="I181" s="33">
        <f t="shared" si="60"/>
        <v>664.5</v>
      </c>
      <c r="J181" s="33">
        <f t="shared" si="61"/>
        <v>5000</v>
      </c>
      <c r="K181" s="33">
        <f t="shared" si="62"/>
        <v>14619</v>
      </c>
      <c r="L181" s="33">
        <f t="shared" si="63"/>
        <v>25251</v>
      </c>
      <c r="M181" s="91">
        <v>22</v>
      </c>
      <c r="N181" s="92">
        <f t="shared" si="64"/>
        <v>38</v>
      </c>
      <c r="O181" s="35">
        <f t="shared" si="65"/>
        <v>103885.75999999999</v>
      </c>
      <c r="P181" s="36">
        <f t="shared" si="66"/>
        <v>179439.04</v>
      </c>
      <c r="Q181" s="19" t="s">
        <v>94</v>
      </c>
      <c r="R181" s="79">
        <v>44835</v>
      </c>
      <c r="S181" s="79">
        <v>46660</v>
      </c>
      <c r="Y181" s="99"/>
      <c r="AB181" s="95"/>
    </row>
    <row r="182" spans="1:28" ht="19.5" x14ac:dyDescent="0.3">
      <c r="A182" s="128">
        <v>14</v>
      </c>
      <c r="B182" s="28" t="s">
        <v>26</v>
      </c>
      <c r="C182" s="66" t="s">
        <v>110</v>
      </c>
      <c r="D182" s="88">
        <v>450000</v>
      </c>
      <c r="E182" s="88">
        <v>47988</v>
      </c>
      <c r="F182" s="89">
        <f t="shared" si="59"/>
        <v>497988</v>
      </c>
      <c r="G182" s="70">
        <v>48</v>
      </c>
      <c r="H182" s="86">
        <v>10374.75</v>
      </c>
      <c r="I182" s="33">
        <f t="shared" si="60"/>
        <v>959.76</v>
      </c>
      <c r="J182" s="33">
        <f t="shared" si="61"/>
        <v>9000</v>
      </c>
      <c r="K182" s="33">
        <f t="shared" si="62"/>
        <v>20154.96</v>
      </c>
      <c r="L182" s="33">
        <f t="shared" si="63"/>
        <v>25913.52</v>
      </c>
      <c r="M182" s="91">
        <v>21</v>
      </c>
      <c r="N182" s="92">
        <f t="shared" si="64"/>
        <v>27</v>
      </c>
      <c r="O182" s="35">
        <f t="shared" si="65"/>
        <v>217869.75</v>
      </c>
      <c r="P182" s="36">
        <f t="shared" si="66"/>
        <v>280118.25</v>
      </c>
      <c r="Q182" s="19" t="s">
        <v>94</v>
      </c>
      <c r="R182" s="79">
        <v>44835</v>
      </c>
      <c r="S182" s="79">
        <v>46295</v>
      </c>
      <c r="Y182" s="99"/>
      <c r="AB182" s="95"/>
    </row>
    <row r="183" spans="1:28" ht="21" x14ac:dyDescent="0.35">
      <c r="A183" s="108">
        <v>15</v>
      </c>
      <c r="B183" s="28" t="s">
        <v>26</v>
      </c>
      <c r="C183" s="66" t="s">
        <v>162</v>
      </c>
      <c r="D183" s="30">
        <v>450000</v>
      </c>
      <c r="E183" s="30">
        <v>39990</v>
      </c>
      <c r="F183" s="31">
        <v>489990</v>
      </c>
      <c r="G183" s="27">
        <v>40</v>
      </c>
      <c r="H183" s="40">
        <v>12249.75</v>
      </c>
      <c r="I183" s="33">
        <f t="shared" si="60"/>
        <v>799.8</v>
      </c>
      <c r="J183" s="33">
        <f t="shared" si="61"/>
        <v>9000</v>
      </c>
      <c r="K183" s="33">
        <f t="shared" si="62"/>
        <v>4798.7999999999993</v>
      </c>
      <c r="L183" s="33">
        <f t="shared" si="63"/>
        <v>27193.199999999997</v>
      </c>
      <c r="M183" s="91">
        <v>6</v>
      </c>
      <c r="N183" s="92">
        <f t="shared" si="64"/>
        <v>34</v>
      </c>
      <c r="O183" s="35">
        <f t="shared" si="65"/>
        <v>73498.5</v>
      </c>
      <c r="P183" s="36">
        <f t="shared" si="66"/>
        <v>416491.5</v>
      </c>
      <c r="Q183" s="19" t="s">
        <v>94</v>
      </c>
      <c r="R183" s="62">
        <v>45323</v>
      </c>
      <c r="S183" s="129">
        <v>46538</v>
      </c>
      <c r="Y183" s="99"/>
      <c r="AB183" s="95"/>
    </row>
    <row r="184" spans="1:28" ht="19.5" x14ac:dyDescent="0.3">
      <c r="A184" s="128">
        <v>16</v>
      </c>
      <c r="B184" s="28" t="s">
        <v>26</v>
      </c>
      <c r="C184" s="66" t="s">
        <v>153</v>
      </c>
      <c r="D184" s="30">
        <v>450000</v>
      </c>
      <c r="E184" s="30">
        <v>49987.5</v>
      </c>
      <c r="F184" s="31">
        <f t="shared" ref="F184" si="67">D184+E184</f>
        <v>499987.5</v>
      </c>
      <c r="G184" s="27">
        <v>50</v>
      </c>
      <c r="H184" s="54">
        <v>9999.75</v>
      </c>
      <c r="I184" s="33">
        <f t="shared" si="60"/>
        <v>999.75</v>
      </c>
      <c r="J184" s="33">
        <f t="shared" si="61"/>
        <v>9000</v>
      </c>
      <c r="K184" s="33">
        <f t="shared" si="62"/>
        <v>37990.5</v>
      </c>
      <c r="L184" s="33">
        <f t="shared" si="63"/>
        <v>11997</v>
      </c>
      <c r="M184" s="29">
        <v>38</v>
      </c>
      <c r="N184" s="34">
        <f t="shared" si="64"/>
        <v>12</v>
      </c>
      <c r="O184" s="35">
        <f t="shared" si="65"/>
        <v>379990.5</v>
      </c>
      <c r="P184" s="36">
        <f t="shared" si="66"/>
        <v>119997</v>
      </c>
      <c r="Q184" s="73" t="s">
        <v>37</v>
      </c>
      <c r="R184" s="62">
        <v>44348</v>
      </c>
      <c r="S184" s="42">
        <v>46022</v>
      </c>
      <c r="Y184" s="99"/>
      <c r="AB184" s="95"/>
    </row>
    <row r="185" spans="1:28" ht="21" x14ac:dyDescent="0.35">
      <c r="A185" s="108">
        <v>17</v>
      </c>
      <c r="B185" s="28" t="s">
        <v>26</v>
      </c>
      <c r="C185" s="66" t="s">
        <v>168</v>
      </c>
      <c r="D185" s="30">
        <v>600000</v>
      </c>
      <c r="E185" s="30">
        <v>79980</v>
      </c>
      <c r="F185" s="31">
        <f>D185+E185</f>
        <v>679980</v>
      </c>
      <c r="G185" s="27">
        <v>60</v>
      </c>
      <c r="H185" s="84">
        <v>11333</v>
      </c>
      <c r="I185" s="33">
        <f t="shared" si="60"/>
        <v>1599.6</v>
      </c>
      <c r="J185" s="33">
        <f t="shared" si="61"/>
        <v>12000</v>
      </c>
      <c r="K185" s="33">
        <f t="shared" si="62"/>
        <v>70382.399999999994</v>
      </c>
      <c r="L185" s="33">
        <f t="shared" si="63"/>
        <v>25593.599999999999</v>
      </c>
      <c r="M185" s="29">
        <v>44</v>
      </c>
      <c r="N185" s="34">
        <f t="shared" si="64"/>
        <v>16</v>
      </c>
      <c r="O185" s="35">
        <f t="shared" si="65"/>
        <v>498652</v>
      </c>
      <c r="P185" s="36">
        <f t="shared" si="66"/>
        <v>181328</v>
      </c>
      <c r="Q185" s="113" t="s">
        <v>37</v>
      </c>
      <c r="R185" s="130">
        <v>44166</v>
      </c>
      <c r="S185" s="130">
        <v>45991</v>
      </c>
      <c r="Y185" s="99"/>
      <c r="AB185" s="95"/>
    </row>
    <row r="186" spans="1:28" ht="19.5" x14ac:dyDescent="0.3">
      <c r="A186" s="128">
        <v>18</v>
      </c>
      <c r="B186" s="28" t="s">
        <v>26</v>
      </c>
      <c r="C186" s="66" t="s">
        <v>180</v>
      </c>
      <c r="D186" s="30">
        <v>750000</v>
      </c>
      <c r="E186" s="96">
        <v>66650</v>
      </c>
      <c r="F186" s="97">
        <v>816650</v>
      </c>
      <c r="G186" s="87">
        <v>40</v>
      </c>
      <c r="H186" s="85">
        <v>20416.25</v>
      </c>
      <c r="I186" s="33">
        <f t="shared" si="60"/>
        <v>1333</v>
      </c>
      <c r="J186" s="33">
        <f t="shared" si="61"/>
        <v>15000</v>
      </c>
      <c r="K186" s="33">
        <f t="shared" si="62"/>
        <v>3999</v>
      </c>
      <c r="L186" s="33">
        <f t="shared" si="63"/>
        <v>49321</v>
      </c>
      <c r="M186" s="29">
        <v>3</v>
      </c>
      <c r="N186" s="34">
        <f t="shared" si="64"/>
        <v>37</v>
      </c>
      <c r="O186" s="35">
        <f t="shared" si="65"/>
        <v>61248.75</v>
      </c>
      <c r="P186" s="36">
        <f t="shared" si="66"/>
        <v>755401.25</v>
      </c>
      <c r="Q186" s="19" t="s">
        <v>94</v>
      </c>
      <c r="R186" s="62">
        <v>45413</v>
      </c>
      <c r="S186" s="42">
        <v>46630</v>
      </c>
      <c r="Y186" s="99"/>
      <c r="AB186" s="95"/>
    </row>
    <row r="187" spans="1:28" ht="21" x14ac:dyDescent="0.35">
      <c r="A187" s="108">
        <v>19</v>
      </c>
      <c r="B187" s="28" t="s">
        <v>26</v>
      </c>
      <c r="C187" s="66" t="s">
        <v>205</v>
      </c>
      <c r="D187" s="30">
        <v>750000</v>
      </c>
      <c r="E187" s="30">
        <v>99975</v>
      </c>
      <c r="F187" s="31">
        <f t="shared" ref="F187" si="68">D187+E187</f>
        <v>849975</v>
      </c>
      <c r="G187" s="27">
        <v>60</v>
      </c>
      <c r="H187" s="40">
        <v>14166.25</v>
      </c>
      <c r="I187" s="33">
        <f t="shared" si="60"/>
        <v>1999.5</v>
      </c>
      <c r="J187" s="33">
        <f t="shared" si="61"/>
        <v>15000</v>
      </c>
      <c r="K187" s="33">
        <f t="shared" si="62"/>
        <v>1999.5</v>
      </c>
      <c r="L187" s="33">
        <f t="shared" si="63"/>
        <v>117970.5</v>
      </c>
      <c r="M187" s="29">
        <v>1</v>
      </c>
      <c r="N187" s="34">
        <f t="shared" si="64"/>
        <v>59</v>
      </c>
      <c r="O187" s="35">
        <f t="shared" si="65"/>
        <v>14166.25</v>
      </c>
      <c r="P187" s="36">
        <f t="shared" si="66"/>
        <v>835808.75</v>
      </c>
      <c r="Q187" s="19" t="s">
        <v>94</v>
      </c>
      <c r="R187" s="62">
        <v>45505</v>
      </c>
      <c r="S187" s="42">
        <v>47330</v>
      </c>
      <c r="Y187" s="99"/>
      <c r="AB187" s="95"/>
    </row>
    <row r="188" spans="1:28" ht="19.5" x14ac:dyDescent="0.3">
      <c r="B188" s="28"/>
      <c r="C188" s="46" t="s">
        <v>169</v>
      </c>
      <c r="D188" s="47">
        <f>SUM(D169:D187)</f>
        <v>9250000</v>
      </c>
      <c r="E188" s="47">
        <f>SUM(E169:E187)</f>
        <v>1157310.5</v>
      </c>
      <c r="F188" s="47">
        <f>SUM(F169:F187)</f>
        <v>10407310.5</v>
      </c>
      <c r="G188" s="45"/>
      <c r="H188" s="47">
        <f>SUM(H169:H187)</f>
        <v>188092.07</v>
      </c>
      <c r="I188" s="47">
        <f>SUM(I169:I187)</f>
        <v>23146.21</v>
      </c>
      <c r="J188" s="47">
        <f>SUM(J169:J187)</f>
        <v>185000</v>
      </c>
      <c r="K188" s="47">
        <f>SUM(K169:K187)</f>
        <v>719845.26000000013</v>
      </c>
      <c r="L188" s="47">
        <f>SUM(L169:L187)</f>
        <v>604756.72</v>
      </c>
      <c r="M188" s="48"/>
      <c r="N188" s="41"/>
      <c r="O188" s="47">
        <f>SUM(O169:O187)</f>
        <v>5360248.72</v>
      </c>
      <c r="P188" s="47">
        <f>SUM(P169:P187)</f>
        <v>5047460.9800000004</v>
      </c>
      <c r="Q188" s="53"/>
      <c r="R188" s="37"/>
      <c r="S188" s="22"/>
      <c r="Y188" s="99"/>
      <c r="AB188" s="95"/>
    </row>
    <row r="189" spans="1:28" ht="19.5" x14ac:dyDescent="0.3">
      <c r="B189" s="28"/>
      <c r="C189" s="39"/>
      <c r="D189" s="51"/>
      <c r="E189" s="51"/>
      <c r="F189" s="51"/>
      <c r="G189" s="51"/>
      <c r="H189" s="47"/>
      <c r="I189" s="51"/>
      <c r="J189" s="51"/>
      <c r="K189" s="51"/>
      <c r="L189" s="51"/>
      <c r="M189" s="51"/>
      <c r="N189" s="41"/>
      <c r="O189" s="51"/>
      <c r="P189" s="51"/>
      <c r="Q189" s="53"/>
      <c r="R189" s="37"/>
      <c r="S189" s="22"/>
      <c r="Y189" s="99"/>
      <c r="AB189" s="95"/>
    </row>
    <row r="190" spans="1:28" ht="21" x14ac:dyDescent="0.35">
      <c r="B190" s="16"/>
      <c r="C190" s="15"/>
      <c r="D190" s="8"/>
      <c r="E190" s="8"/>
      <c r="F190" s="9"/>
      <c r="G190" s="7"/>
      <c r="H190" s="17"/>
      <c r="I190" s="10"/>
      <c r="J190" s="10"/>
      <c r="K190" s="10"/>
      <c r="L190" s="10"/>
      <c r="M190" s="14"/>
      <c r="N190" s="11"/>
      <c r="O190" s="12"/>
      <c r="P190" s="13"/>
      <c r="Q190" s="16"/>
      <c r="R190" s="18"/>
      <c r="S190" s="18"/>
      <c r="Y190" s="99"/>
      <c r="AB190" s="95"/>
    </row>
    <row r="191" spans="1:28" x14ac:dyDescent="0.25">
      <c r="Y191" s="99"/>
      <c r="AB191" s="95"/>
    </row>
    <row r="192" spans="1:28" ht="18.75" x14ac:dyDescent="0.3">
      <c r="H192" s="20"/>
      <c r="I192" s="6"/>
      <c r="Y192" s="99"/>
      <c r="AB192" s="95"/>
    </row>
    <row r="194" spans="8:10" ht="18.75" x14ac:dyDescent="0.3">
      <c r="H194" s="20"/>
      <c r="I194" s="6"/>
    </row>
    <row r="195" spans="8:10" x14ac:dyDescent="0.25">
      <c r="J195" s="6"/>
    </row>
  </sheetData>
  <sortState ref="E4:F136">
    <sortCondition ref="E4:E136"/>
  </sortState>
  <conditionalFormatting sqref="AA188:AA189 AA83:AA178">
    <cfRule type="duplicateValues" dxfId="87" priority="28"/>
  </conditionalFormatting>
  <conditionalFormatting sqref="C169:C183">
    <cfRule type="duplicateValues" dxfId="86" priority="27"/>
  </conditionalFormatting>
  <conditionalFormatting sqref="D166 C165">
    <cfRule type="duplicateValues" dxfId="85" priority="25"/>
  </conditionalFormatting>
  <conditionalFormatting sqref="C158">
    <cfRule type="duplicateValues" dxfId="84" priority="24"/>
  </conditionalFormatting>
  <conditionalFormatting sqref="C188:C192 C157 C3 D2 C1 C167 C169:C183">
    <cfRule type="duplicateValues" dxfId="83" priority="29"/>
  </conditionalFormatting>
  <conditionalFormatting sqref="AA181:AA192 AA83:AA178">
    <cfRule type="duplicateValues" dxfId="82" priority="30"/>
  </conditionalFormatting>
  <conditionalFormatting sqref="C193:C195">
    <cfRule type="duplicateValues" dxfId="81" priority="31"/>
  </conditionalFormatting>
  <conditionalFormatting sqref="C168">
    <cfRule type="duplicateValues" dxfId="80" priority="21"/>
  </conditionalFormatting>
  <conditionalFormatting sqref="C159">
    <cfRule type="duplicateValues" dxfId="79" priority="13"/>
  </conditionalFormatting>
  <conditionalFormatting sqref="C159">
    <cfRule type="duplicateValues" dxfId="78" priority="14"/>
  </conditionalFormatting>
  <conditionalFormatting sqref="C160">
    <cfRule type="duplicateValues" dxfId="77" priority="11"/>
  </conditionalFormatting>
  <conditionalFormatting sqref="C160">
    <cfRule type="duplicateValues" dxfId="76" priority="12"/>
  </conditionalFormatting>
  <conditionalFormatting sqref="C161">
    <cfRule type="duplicateValues" dxfId="75" priority="9"/>
  </conditionalFormatting>
  <conditionalFormatting sqref="C161">
    <cfRule type="duplicateValues" dxfId="74" priority="10"/>
  </conditionalFormatting>
  <conditionalFormatting sqref="C163">
    <cfRule type="duplicateValues" dxfId="73" priority="7"/>
  </conditionalFormatting>
  <conditionalFormatting sqref="C163">
    <cfRule type="duplicateValues" dxfId="72" priority="8"/>
  </conditionalFormatting>
  <conditionalFormatting sqref="C156 C5:C65">
    <cfRule type="duplicateValues" dxfId="71" priority="5"/>
  </conditionalFormatting>
  <conditionalFormatting sqref="C156 C4:C65">
    <cfRule type="duplicateValues" dxfId="70" priority="6"/>
  </conditionalFormatting>
  <conditionalFormatting sqref="C164">
    <cfRule type="duplicateValues" dxfId="69" priority="1"/>
  </conditionalFormatting>
  <conditionalFormatting sqref="C164">
    <cfRule type="duplicateValues" dxfId="68" priority="2"/>
  </conditionalFormatting>
  <conditionalFormatting sqref="C157">
    <cfRule type="duplicateValues" dxfId="67" priority="811"/>
  </conditionalFormatting>
  <conditionalFormatting sqref="AA5:AA192">
    <cfRule type="duplicateValues" dxfId="66" priority="821"/>
  </conditionalFormatting>
  <pageMargins left="0.19685039370078741" right="0.19685039370078741" top="0.19685039370078741" bottom="0.19685039370078741" header="0.31496062992125984" footer="0.19685039370078741"/>
  <pageSetup paperSize="5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450"/>
  <sheetViews>
    <sheetView workbookViewId="0">
      <selection activeCell="C14" sqref="C14"/>
    </sheetView>
  </sheetViews>
  <sheetFormatPr defaultRowHeight="15" x14ac:dyDescent="0.25"/>
  <cols>
    <col min="1" max="1" width="5.7109375" customWidth="1"/>
    <col min="2" max="2" width="26.28515625" customWidth="1"/>
    <col min="3" max="3" width="29.28515625" customWidth="1"/>
    <col min="4" max="4" width="19.7109375" customWidth="1"/>
    <col min="5" max="5" width="18.42578125" customWidth="1"/>
    <col min="6" max="6" width="19.5703125" customWidth="1"/>
    <col min="7" max="7" width="5.5703125" customWidth="1"/>
    <col min="8" max="8" width="17.85546875" customWidth="1"/>
    <col min="9" max="9" width="16.28515625" customWidth="1"/>
    <col min="10" max="10" width="18" customWidth="1"/>
    <col min="11" max="11" width="17.85546875" customWidth="1"/>
    <col min="12" max="12" width="18.28515625" customWidth="1"/>
    <col min="13" max="14" width="5.7109375" customWidth="1"/>
    <col min="15" max="15" width="19.28515625" customWidth="1"/>
    <col min="16" max="16" width="19.140625" customWidth="1"/>
    <col min="17" max="17" width="8.28515625" customWidth="1"/>
    <col min="18" max="18" width="14.7109375" customWidth="1"/>
    <col min="19" max="19" width="15.140625" customWidth="1"/>
  </cols>
  <sheetData>
    <row r="2" spans="1:19" ht="19.5" x14ac:dyDescent="0.3">
      <c r="B2" s="23"/>
      <c r="C2" s="24"/>
      <c r="D2" s="24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7"/>
      <c r="R2" s="60"/>
      <c r="S2" s="22"/>
    </row>
    <row r="3" spans="1:19" ht="19.5" x14ac:dyDescent="0.3">
      <c r="B3" s="25"/>
      <c r="C3" s="24"/>
      <c r="D3" s="24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7"/>
      <c r="R3" s="60"/>
      <c r="S3" s="22"/>
    </row>
    <row r="4" spans="1:19" ht="19.5" x14ac:dyDescent="0.3">
      <c r="B4" s="25"/>
      <c r="C4" s="24"/>
      <c r="D4" s="24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7"/>
      <c r="R4" s="60"/>
      <c r="S4" s="22"/>
    </row>
    <row r="5" spans="1:19" ht="19.5" x14ac:dyDescent="0.3">
      <c r="B5" s="26"/>
      <c r="C5" s="26"/>
      <c r="D5" s="26"/>
      <c r="E5" s="26"/>
      <c r="F5" s="26"/>
      <c r="G5" s="26"/>
      <c r="H5" s="26"/>
      <c r="I5" s="56"/>
      <c r="J5" s="56"/>
      <c r="K5" s="56"/>
      <c r="L5" s="56"/>
      <c r="M5" s="57"/>
      <c r="N5" s="57"/>
      <c r="O5" s="26"/>
      <c r="P5" s="58"/>
      <c r="Q5" s="26"/>
      <c r="R5" s="61"/>
      <c r="S5" s="52"/>
    </row>
    <row r="6" spans="1:19" ht="21" x14ac:dyDescent="0.35">
      <c r="A6" s="108"/>
      <c r="B6" s="28"/>
      <c r="C6" s="38"/>
      <c r="D6" s="30"/>
      <c r="E6" s="30"/>
      <c r="F6" s="31"/>
      <c r="G6" s="27"/>
      <c r="H6" s="32"/>
      <c r="I6" s="33"/>
      <c r="J6" s="33"/>
      <c r="K6" s="33"/>
      <c r="L6" s="33"/>
      <c r="M6" s="29"/>
      <c r="N6" s="34"/>
      <c r="O6" s="35"/>
      <c r="P6" s="36"/>
      <c r="Q6" s="53"/>
      <c r="R6" s="37"/>
      <c r="S6" s="22"/>
    </row>
    <row r="7" spans="1:19" ht="21" x14ac:dyDescent="0.35">
      <c r="A7" s="108"/>
      <c r="B7" s="28"/>
      <c r="C7" s="38"/>
      <c r="D7" s="30"/>
      <c r="E7" s="30"/>
      <c r="F7" s="31"/>
      <c r="G7" s="27"/>
      <c r="H7" s="32"/>
      <c r="I7" s="33"/>
      <c r="J7" s="33"/>
      <c r="K7" s="33"/>
      <c r="L7" s="33"/>
      <c r="M7" s="29"/>
      <c r="N7" s="34"/>
      <c r="O7" s="35"/>
      <c r="P7" s="36"/>
      <c r="Q7" s="53"/>
      <c r="R7" s="37"/>
      <c r="S7" s="22"/>
    </row>
    <row r="8" spans="1:19" ht="21" x14ac:dyDescent="0.35">
      <c r="A8" s="108"/>
      <c r="B8" s="28"/>
      <c r="C8" s="38"/>
      <c r="D8" s="30"/>
      <c r="E8" s="30"/>
      <c r="F8" s="31"/>
      <c r="G8" s="27"/>
      <c r="H8" s="40"/>
      <c r="I8" s="33"/>
      <c r="J8" s="33"/>
      <c r="K8" s="33"/>
      <c r="L8" s="33"/>
      <c r="M8" s="29"/>
      <c r="N8" s="34"/>
      <c r="O8" s="35"/>
      <c r="P8" s="36"/>
      <c r="Q8" s="53"/>
      <c r="R8" s="37"/>
      <c r="S8" s="22"/>
    </row>
    <row r="9" spans="1:19" ht="21" x14ac:dyDescent="0.35">
      <c r="A9" s="108"/>
      <c r="B9" s="28"/>
      <c r="C9" s="38"/>
      <c r="D9" s="30"/>
      <c r="E9" s="30"/>
      <c r="F9" s="31"/>
      <c r="G9" s="27"/>
      <c r="H9" s="40"/>
      <c r="I9" s="33"/>
      <c r="J9" s="33"/>
      <c r="K9" s="33"/>
      <c r="L9" s="33"/>
      <c r="M9" s="29"/>
      <c r="N9" s="34"/>
      <c r="O9" s="35"/>
      <c r="P9" s="36"/>
      <c r="Q9" s="53"/>
      <c r="R9" s="37"/>
      <c r="S9" s="22"/>
    </row>
    <row r="10" spans="1:19" ht="21" x14ac:dyDescent="0.35">
      <c r="A10" s="108"/>
      <c r="B10" s="28"/>
      <c r="C10" s="38"/>
      <c r="D10" s="30"/>
      <c r="E10" s="30"/>
      <c r="F10" s="31"/>
      <c r="G10" s="27"/>
      <c r="H10" s="40"/>
      <c r="I10" s="33"/>
      <c r="J10" s="33"/>
      <c r="K10" s="33"/>
      <c r="L10" s="33"/>
      <c r="M10" s="29"/>
      <c r="N10" s="34"/>
      <c r="O10" s="35"/>
      <c r="P10" s="36"/>
      <c r="Q10" s="53"/>
      <c r="R10" s="37"/>
      <c r="S10" s="22"/>
    </row>
    <row r="11" spans="1:19" ht="21" x14ac:dyDescent="0.35">
      <c r="A11" s="108"/>
      <c r="B11" s="28"/>
      <c r="C11" s="38"/>
      <c r="D11" s="30"/>
      <c r="E11" s="30"/>
      <c r="F11" s="31"/>
      <c r="G11" s="27"/>
      <c r="H11" s="40"/>
      <c r="I11" s="33"/>
      <c r="J11" s="33"/>
      <c r="K11" s="33"/>
      <c r="L11" s="33"/>
      <c r="M11" s="29"/>
      <c r="N11" s="34"/>
      <c r="O11" s="35"/>
      <c r="P11" s="36"/>
      <c r="Q11" s="53"/>
      <c r="R11" s="37"/>
      <c r="S11" s="59"/>
    </row>
    <row r="12" spans="1:19" ht="21" x14ac:dyDescent="0.35">
      <c r="A12" s="108"/>
      <c r="B12" s="28"/>
      <c r="C12" s="38"/>
      <c r="D12" s="30"/>
      <c r="E12" s="30"/>
      <c r="F12" s="31"/>
      <c r="G12" s="27"/>
      <c r="H12" s="40"/>
      <c r="I12" s="33"/>
      <c r="J12" s="33"/>
      <c r="K12" s="33"/>
      <c r="L12" s="33"/>
      <c r="M12" s="29"/>
      <c r="N12" s="34"/>
      <c r="O12" s="35"/>
      <c r="P12" s="36"/>
      <c r="Q12" s="53"/>
      <c r="R12" s="37"/>
      <c r="S12" s="22"/>
    </row>
    <row r="13" spans="1:19" ht="21" x14ac:dyDescent="0.35">
      <c r="A13" s="108"/>
      <c r="B13" s="28"/>
      <c r="C13" s="38"/>
      <c r="D13" s="30"/>
      <c r="E13" s="30"/>
      <c r="F13" s="31"/>
      <c r="G13" s="27"/>
      <c r="H13" s="40"/>
      <c r="I13" s="33"/>
      <c r="J13" s="33"/>
      <c r="K13" s="33"/>
      <c r="L13" s="33"/>
      <c r="M13" s="29"/>
      <c r="N13" s="34"/>
      <c r="O13" s="35"/>
      <c r="P13" s="36"/>
      <c r="Q13" s="53"/>
      <c r="R13" s="37"/>
      <c r="S13" s="22"/>
    </row>
    <row r="14" spans="1:19" ht="21" x14ac:dyDescent="0.35">
      <c r="A14" s="108"/>
      <c r="B14" s="28"/>
      <c r="C14" s="38"/>
      <c r="D14" s="30"/>
      <c r="E14" s="30"/>
      <c r="F14" s="31"/>
      <c r="G14" s="27"/>
      <c r="H14" s="40"/>
      <c r="I14" s="33"/>
      <c r="J14" s="33"/>
      <c r="K14" s="33"/>
      <c r="L14" s="33"/>
      <c r="M14" s="29"/>
      <c r="N14" s="34"/>
      <c r="O14" s="35"/>
      <c r="P14" s="36"/>
      <c r="Q14" s="53"/>
      <c r="R14" s="37"/>
      <c r="S14" s="22"/>
    </row>
    <row r="15" spans="1:19" ht="21" x14ac:dyDescent="0.35">
      <c r="A15" s="108"/>
      <c r="B15" s="28"/>
      <c r="C15" s="38"/>
      <c r="D15" s="30"/>
      <c r="E15" s="30"/>
      <c r="F15" s="31"/>
      <c r="G15" s="27"/>
      <c r="H15" s="40"/>
      <c r="I15" s="33"/>
      <c r="J15" s="33"/>
      <c r="K15" s="33"/>
      <c r="L15" s="33"/>
      <c r="M15" s="29"/>
      <c r="N15" s="34"/>
      <c r="O15" s="35"/>
      <c r="P15" s="36"/>
      <c r="Q15" s="53"/>
      <c r="R15" s="37"/>
      <c r="S15" s="22"/>
    </row>
    <row r="16" spans="1:19" ht="21" x14ac:dyDescent="0.35">
      <c r="A16" s="108"/>
      <c r="B16" s="28"/>
      <c r="C16" s="38"/>
      <c r="D16" s="30"/>
      <c r="E16" s="30"/>
      <c r="F16" s="31"/>
      <c r="G16" s="27"/>
      <c r="H16" s="32"/>
      <c r="I16" s="33"/>
      <c r="J16" s="33"/>
      <c r="K16" s="33"/>
      <c r="L16" s="33"/>
      <c r="M16" s="29"/>
      <c r="N16" s="34"/>
      <c r="O16" s="35"/>
      <c r="P16" s="36"/>
      <c r="Q16" s="53"/>
      <c r="R16" s="62"/>
      <c r="S16" s="42"/>
    </row>
    <row r="17" spans="1:19" ht="21" x14ac:dyDescent="0.35">
      <c r="A17" s="108"/>
      <c r="B17" s="28"/>
      <c r="C17" s="38"/>
      <c r="D17" s="30"/>
      <c r="E17" s="30"/>
      <c r="F17" s="31"/>
      <c r="G17" s="27"/>
      <c r="H17" s="32"/>
      <c r="I17" s="33"/>
      <c r="J17" s="33"/>
      <c r="K17" s="33"/>
      <c r="L17" s="33"/>
      <c r="M17" s="29"/>
      <c r="N17" s="34"/>
      <c r="O17" s="35"/>
      <c r="P17" s="36"/>
      <c r="Q17" s="53"/>
      <c r="R17" s="62"/>
      <c r="S17" s="42"/>
    </row>
    <row r="18" spans="1:19" ht="21" x14ac:dyDescent="0.35">
      <c r="A18" s="108"/>
      <c r="B18" s="28"/>
      <c r="C18" s="38"/>
      <c r="D18" s="30"/>
      <c r="E18" s="30"/>
      <c r="F18" s="31"/>
      <c r="G18" s="27"/>
      <c r="H18" s="32"/>
      <c r="I18" s="33"/>
      <c r="J18" s="33"/>
      <c r="K18" s="33"/>
      <c r="L18" s="33"/>
      <c r="M18" s="29"/>
      <c r="N18" s="34"/>
      <c r="O18" s="35"/>
      <c r="P18" s="36"/>
      <c r="Q18" s="53"/>
      <c r="R18" s="62"/>
      <c r="S18" s="42"/>
    </row>
    <row r="19" spans="1:19" ht="21" x14ac:dyDescent="0.35">
      <c r="A19" s="108"/>
      <c r="B19" s="28"/>
      <c r="C19" s="38"/>
      <c r="D19" s="30"/>
      <c r="E19" s="30"/>
      <c r="F19" s="31"/>
      <c r="G19" s="27"/>
      <c r="H19" s="32"/>
      <c r="I19" s="33"/>
      <c r="J19" s="33"/>
      <c r="K19" s="33"/>
      <c r="L19" s="33"/>
      <c r="M19" s="29"/>
      <c r="N19" s="34"/>
      <c r="O19" s="35"/>
      <c r="P19" s="36"/>
      <c r="Q19" s="53"/>
      <c r="R19" s="62"/>
      <c r="S19" s="42"/>
    </row>
    <row r="20" spans="1:19" ht="21" x14ac:dyDescent="0.35">
      <c r="A20" s="108"/>
      <c r="B20" s="28"/>
      <c r="C20" s="38"/>
      <c r="D20" s="30"/>
      <c r="E20" s="30"/>
      <c r="F20" s="31"/>
      <c r="G20" s="27"/>
      <c r="H20" s="32"/>
      <c r="I20" s="33"/>
      <c r="J20" s="33"/>
      <c r="K20" s="33"/>
      <c r="L20" s="33"/>
      <c r="M20" s="29"/>
      <c r="N20" s="34"/>
      <c r="O20" s="35"/>
      <c r="P20" s="36"/>
      <c r="Q20" s="53"/>
      <c r="R20" s="62"/>
      <c r="S20" s="42"/>
    </row>
    <row r="21" spans="1:19" ht="21" x14ac:dyDescent="0.35">
      <c r="A21" s="108"/>
      <c r="B21" s="28"/>
      <c r="C21" s="38"/>
      <c r="D21" s="30"/>
      <c r="E21" s="30"/>
      <c r="F21" s="31"/>
      <c r="G21" s="27"/>
      <c r="H21" s="32"/>
      <c r="I21" s="33"/>
      <c r="J21" s="33"/>
      <c r="K21" s="33"/>
      <c r="L21" s="33"/>
      <c r="M21" s="29"/>
      <c r="N21" s="34"/>
      <c r="O21" s="35"/>
      <c r="P21" s="36"/>
      <c r="Q21" s="53"/>
      <c r="R21" s="62"/>
      <c r="S21" s="42"/>
    </row>
    <row r="22" spans="1:19" ht="20.25" customHeight="1" x14ac:dyDescent="0.35">
      <c r="A22" s="108"/>
      <c r="B22" s="28"/>
      <c r="C22" s="38"/>
      <c r="D22" s="30"/>
      <c r="E22" s="30"/>
      <c r="F22" s="31"/>
      <c r="G22" s="27"/>
      <c r="H22" s="32"/>
      <c r="I22" s="33"/>
      <c r="J22" s="33"/>
      <c r="K22" s="33"/>
      <c r="L22" s="33"/>
      <c r="M22" s="29"/>
      <c r="N22" s="34"/>
      <c r="O22" s="35"/>
      <c r="P22" s="36"/>
      <c r="Q22" s="53"/>
      <c r="R22" s="62"/>
      <c r="S22" s="42"/>
    </row>
    <row r="23" spans="1:19" ht="20.25" customHeight="1" x14ac:dyDescent="0.35">
      <c r="A23" s="108"/>
      <c r="B23" s="28"/>
      <c r="C23" s="38"/>
      <c r="D23" s="30"/>
      <c r="E23" s="30"/>
      <c r="F23" s="31"/>
      <c r="G23" s="27"/>
      <c r="H23" s="32"/>
      <c r="I23" s="33"/>
      <c r="J23" s="33"/>
      <c r="K23" s="33"/>
      <c r="L23" s="33"/>
      <c r="M23" s="29"/>
      <c r="N23" s="34"/>
      <c r="O23" s="35"/>
      <c r="P23" s="36"/>
      <c r="Q23" s="53"/>
      <c r="R23" s="62"/>
      <c r="S23" s="42"/>
    </row>
    <row r="24" spans="1:19" ht="21" x14ac:dyDescent="0.35">
      <c r="A24" s="108"/>
      <c r="B24" s="28"/>
      <c r="C24" s="38"/>
      <c r="D24" s="30"/>
      <c r="E24" s="30"/>
      <c r="F24" s="31"/>
      <c r="G24" s="27"/>
      <c r="H24" s="32"/>
      <c r="I24" s="33"/>
      <c r="J24" s="33"/>
      <c r="K24" s="33"/>
      <c r="L24" s="33"/>
      <c r="M24" s="29"/>
      <c r="N24" s="34"/>
      <c r="O24" s="35"/>
      <c r="P24" s="36"/>
      <c r="Q24" s="44"/>
      <c r="R24" s="62"/>
      <c r="S24" s="42"/>
    </row>
    <row r="25" spans="1:19" ht="21" x14ac:dyDescent="0.35">
      <c r="A25" s="108"/>
      <c r="B25" s="28"/>
      <c r="C25" s="38"/>
      <c r="D25" s="30"/>
      <c r="E25" s="30"/>
      <c r="F25" s="31"/>
      <c r="G25" s="27"/>
      <c r="H25" s="32"/>
      <c r="I25" s="33"/>
      <c r="J25" s="33"/>
      <c r="K25" s="33"/>
      <c r="L25" s="33"/>
      <c r="M25" s="29"/>
      <c r="N25" s="34"/>
      <c r="O25" s="35"/>
      <c r="P25" s="36"/>
      <c r="Q25" s="44"/>
      <c r="R25" s="62"/>
      <c r="S25" s="42"/>
    </row>
    <row r="26" spans="1:19" ht="21" x14ac:dyDescent="0.35">
      <c r="A26" s="108"/>
      <c r="B26" s="28"/>
      <c r="C26" s="38"/>
      <c r="D26" s="30"/>
      <c r="E26" s="30"/>
      <c r="F26" s="31"/>
      <c r="G26" s="27"/>
      <c r="H26" s="32"/>
      <c r="I26" s="33"/>
      <c r="J26" s="33"/>
      <c r="K26" s="33"/>
      <c r="L26" s="33"/>
      <c r="M26" s="29"/>
      <c r="N26" s="34"/>
      <c r="O26" s="35"/>
      <c r="P26" s="36"/>
      <c r="Q26" s="44"/>
      <c r="R26" s="62"/>
      <c r="S26" s="42"/>
    </row>
    <row r="27" spans="1:19" ht="21" x14ac:dyDescent="0.35">
      <c r="A27" s="108"/>
      <c r="B27" s="28"/>
      <c r="C27" s="38"/>
      <c r="D27" s="30"/>
      <c r="E27" s="30"/>
      <c r="F27" s="31"/>
      <c r="G27" s="27"/>
      <c r="H27" s="32"/>
      <c r="I27" s="33"/>
      <c r="J27" s="33"/>
      <c r="K27" s="33"/>
      <c r="L27" s="33"/>
      <c r="M27" s="29"/>
      <c r="N27" s="34"/>
      <c r="O27" s="35"/>
      <c r="P27" s="36"/>
      <c r="Q27" s="44"/>
      <c r="R27" s="62"/>
      <c r="S27" s="42"/>
    </row>
    <row r="28" spans="1:19" ht="21" x14ac:dyDescent="0.35">
      <c r="A28" s="108"/>
      <c r="B28" s="28"/>
      <c r="C28" s="38"/>
      <c r="D28" s="30"/>
      <c r="E28" s="30"/>
      <c r="F28" s="31"/>
      <c r="G28" s="27"/>
      <c r="H28" s="32"/>
      <c r="I28" s="33"/>
      <c r="J28" s="33"/>
      <c r="K28" s="33"/>
      <c r="L28" s="33"/>
      <c r="M28" s="29"/>
      <c r="N28" s="34"/>
      <c r="O28" s="35"/>
      <c r="P28" s="36"/>
      <c r="Q28" s="44"/>
      <c r="R28" s="62"/>
      <c r="S28" s="42"/>
    </row>
    <row r="29" spans="1:19" ht="21" x14ac:dyDescent="0.35">
      <c r="A29" s="108"/>
      <c r="B29" s="28"/>
      <c r="C29" s="38"/>
      <c r="D29" s="30"/>
      <c r="E29" s="30"/>
      <c r="F29" s="31"/>
      <c r="G29" s="27"/>
      <c r="H29" s="32"/>
      <c r="I29" s="33"/>
      <c r="J29" s="33"/>
      <c r="K29" s="33"/>
      <c r="L29" s="33"/>
      <c r="M29" s="29"/>
      <c r="N29" s="34"/>
      <c r="O29" s="35"/>
      <c r="P29" s="36"/>
      <c r="Q29" s="44"/>
      <c r="R29" s="62"/>
      <c r="S29" s="42"/>
    </row>
    <row r="30" spans="1:19" ht="21" x14ac:dyDescent="0.35">
      <c r="A30" s="108"/>
      <c r="B30" s="28"/>
      <c r="C30" s="38"/>
      <c r="D30" s="30"/>
      <c r="E30" s="30"/>
      <c r="F30" s="31"/>
      <c r="G30" s="27"/>
      <c r="H30" s="54"/>
      <c r="I30" s="33"/>
      <c r="J30" s="33"/>
      <c r="K30" s="33"/>
      <c r="L30" s="33"/>
      <c r="M30" s="29"/>
      <c r="N30" s="34"/>
      <c r="O30" s="35"/>
      <c r="P30" s="36"/>
      <c r="Q30" s="43"/>
      <c r="R30" s="64"/>
      <c r="S30" s="18"/>
    </row>
    <row r="31" spans="1:19" ht="21" x14ac:dyDescent="0.35">
      <c r="A31" s="108"/>
      <c r="B31" s="28"/>
      <c r="C31" s="38"/>
      <c r="D31" s="30"/>
      <c r="E31" s="30"/>
      <c r="F31" s="31"/>
      <c r="G31" s="27"/>
      <c r="H31" s="54"/>
      <c r="I31" s="33"/>
      <c r="J31" s="33"/>
      <c r="K31" s="33"/>
      <c r="L31" s="33"/>
      <c r="M31" s="29"/>
      <c r="N31" s="34"/>
      <c r="O31" s="35"/>
      <c r="P31" s="36"/>
      <c r="Q31" s="43"/>
      <c r="R31" s="65"/>
      <c r="S31" s="18"/>
    </row>
    <row r="32" spans="1:19" ht="21" x14ac:dyDescent="0.35">
      <c r="A32" s="108"/>
      <c r="B32" s="28"/>
      <c r="C32" s="38"/>
      <c r="D32" s="30"/>
      <c r="E32" s="30"/>
      <c r="F32" s="31"/>
      <c r="G32" s="27"/>
      <c r="H32" s="54"/>
      <c r="I32" s="33"/>
      <c r="J32" s="33"/>
      <c r="K32" s="33"/>
      <c r="L32" s="33"/>
      <c r="M32" s="29"/>
      <c r="N32" s="34"/>
      <c r="O32" s="35"/>
      <c r="P32" s="36"/>
      <c r="Q32" s="43"/>
      <c r="R32" s="65"/>
      <c r="S32" s="18"/>
    </row>
    <row r="33" spans="1:19" ht="21" x14ac:dyDescent="0.35">
      <c r="A33" s="108"/>
      <c r="B33" s="28"/>
      <c r="C33" s="38"/>
      <c r="D33" s="30"/>
      <c r="E33" s="30"/>
      <c r="F33" s="31"/>
      <c r="G33" s="27"/>
      <c r="H33" s="54"/>
      <c r="I33" s="33"/>
      <c r="J33" s="33"/>
      <c r="K33" s="33"/>
      <c r="L33" s="33"/>
      <c r="M33" s="29"/>
      <c r="N33" s="34"/>
      <c r="O33" s="35"/>
      <c r="P33" s="36"/>
      <c r="Q33" s="43"/>
      <c r="R33" s="65"/>
      <c r="S33" s="18"/>
    </row>
    <row r="34" spans="1:19" ht="21" x14ac:dyDescent="0.35">
      <c r="A34" s="108"/>
      <c r="B34" s="28"/>
      <c r="C34" s="38"/>
      <c r="D34" s="30"/>
      <c r="E34" s="30"/>
      <c r="F34" s="31"/>
      <c r="G34" s="27"/>
      <c r="H34" s="54"/>
      <c r="I34" s="33"/>
      <c r="J34" s="33"/>
      <c r="K34" s="33"/>
      <c r="L34" s="33"/>
      <c r="M34" s="29"/>
      <c r="N34" s="34"/>
      <c r="O34" s="35"/>
      <c r="P34" s="36"/>
      <c r="Q34" s="43"/>
      <c r="R34" s="65"/>
      <c r="S34" s="18"/>
    </row>
    <row r="35" spans="1:19" ht="21" x14ac:dyDescent="0.35">
      <c r="A35" s="108"/>
      <c r="B35" s="28"/>
      <c r="C35" s="38"/>
      <c r="D35" s="30"/>
      <c r="E35" s="30"/>
      <c r="F35" s="31"/>
      <c r="G35" s="27"/>
      <c r="H35" s="54"/>
      <c r="I35" s="33"/>
      <c r="J35" s="33"/>
      <c r="K35" s="33"/>
      <c r="L35" s="33"/>
      <c r="M35" s="29"/>
      <c r="N35" s="34"/>
      <c r="O35" s="35"/>
      <c r="P35" s="36"/>
      <c r="Q35" s="43"/>
      <c r="R35" s="65"/>
      <c r="S35" s="18"/>
    </row>
    <row r="36" spans="1:19" ht="21" x14ac:dyDescent="0.35">
      <c r="A36" s="108"/>
      <c r="B36" s="28"/>
      <c r="C36" s="38"/>
      <c r="D36" s="30"/>
      <c r="E36" s="30"/>
      <c r="F36" s="31"/>
      <c r="G36" s="27"/>
      <c r="H36" s="54"/>
      <c r="I36" s="33"/>
      <c r="J36" s="33"/>
      <c r="K36" s="33"/>
      <c r="L36" s="33"/>
      <c r="M36" s="29"/>
      <c r="N36" s="34"/>
      <c r="O36" s="35"/>
      <c r="P36" s="36"/>
      <c r="Q36" s="43"/>
      <c r="R36" s="65"/>
      <c r="S36" s="18"/>
    </row>
    <row r="37" spans="1:19" ht="21" x14ac:dyDescent="0.35">
      <c r="A37" s="108"/>
      <c r="B37" s="28"/>
      <c r="C37" s="38"/>
      <c r="D37" s="30"/>
      <c r="E37" s="30"/>
      <c r="F37" s="31"/>
      <c r="G37" s="27"/>
      <c r="H37" s="54"/>
      <c r="I37" s="33"/>
      <c r="J37" s="33"/>
      <c r="K37" s="33"/>
      <c r="L37" s="33"/>
      <c r="M37" s="29"/>
      <c r="N37" s="34"/>
      <c r="O37" s="35"/>
      <c r="P37" s="36"/>
      <c r="Q37" s="43"/>
      <c r="R37" s="65"/>
      <c r="S37" s="18"/>
    </row>
    <row r="38" spans="1:19" ht="21" x14ac:dyDescent="0.35">
      <c r="A38" s="108"/>
      <c r="B38" s="28"/>
      <c r="C38" s="38"/>
      <c r="D38" s="30"/>
      <c r="E38" s="30"/>
      <c r="F38" s="31"/>
      <c r="G38" s="27"/>
      <c r="H38" s="54"/>
      <c r="I38" s="33"/>
      <c r="J38" s="33"/>
      <c r="K38" s="33"/>
      <c r="L38" s="33"/>
      <c r="M38" s="29"/>
      <c r="N38" s="34"/>
      <c r="O38" s="35"/>
      <c r="P38" s="36"/>
      <c r="Q38" s="43"/>
      <c r="R38" s="65"/>
      <c r="S38" s="18"/>
    </row>
    <row r="39" spans="1:19" ht="21" x14ac:dyDescent="0.35">
      <c r="A39" s="108"/>
      <c r="B39" s="28"/>
      <c r="C39" s="38"/>
      <c r="D39" s="30"/>
      <c r="E39" s="30"/>
      <c r="F39" s="31"/>
      <c r="G39" s="27"/>
      <c r="H39" s="54"/>
      <c r="I39" s="33"/>
      <c r="J39" s="33"/>
      <c r="K39" s="33"/>
      <c r="L39" s="33"/>
      <c r="M39" s="29"/>
      <c r="N39" s="34"/>
      <c r="O39" s="35"/>
      <c r="P39" s="36"/>
      <c r="Q39" s="43"/>
      <c r="R39" s="65"/>
      <c r="S39" s="18"/>
    </row>
    <row r="40" spans="1:19" ht="21" x14ac:dyDescent="0.35">
      <c r="A40" s="108"/>
      <c r="B40" s="28"/>
      <c r="C40" s="38"/>
      <c r="D40" s="30"/>
      <c r="E40" s="30"/>
      <c r="F40" s="31"/>
      <c r="G40" s="27"/>
      <c r="H40" s="54"/>
      <c r="I40" s="33"/>
      <c r="J40" s="33"/>
      <c r="K40" s="33"/>
      <c r="L40" s="33"/>
      <c r="M40" s="29"/>
      <c r="N40" s="34"/>
      <c r="O40" s="35"/>
      <c r="P40" s="36"/>
      <c r="Q40" s="43"/>
      <c r="R40" s="65"/>
      <c r="S40" s="18"/>
    </row>
    <row r="41" spans="1:19" ht="21" x14ac:dyDescent="0.35">
      <c r="A41" s="108"/>
      <c r="B41" s="28"/>
      <c r="C41" s="38"/>
      <c r="D41" s="30"/>
      <c r="E41" s="30"/>
      <c r="F41" s="31"/>
      <c r="G41" s="27"/>
      <c r="H41" s="54"/>
      <c r="I41" s="33"/>
      <c r="J41" s="33"/>
      <c r="K41" s="33"/>
      <c r="L41" s="33"/>
      <c r="M41" s="29"/>
      <c r="N41" s="34"/>
      <c r="O41" s="35"/>
      <c r="P41" s="36"/>
      <c r="Q41" s="43"/>
      <c r="R41" s="65"/>
      <c r="S41" s="18"/>
    </row>
    <row r="42" spans="1:19" ht="21" x14ac:dyDescent="0.35">
      <c r="A42" s="108"/>
      <c r="B42" s="28"/>
      <c r="C42" s="38"/>
      <c r="D42" s="30"/>
      <c r="E42" s="30"/>
      <c r="F42" s="31"/>
      <c r="G42" s="27"/>
      <c r="H42" s="54"/>
      <c r="I42" s="33"/>
      <c r="J42" s="33"/>
      <c r="K42" s="33"/>
      <c r="L42" s="33"/>
      <c r="M42" s="29"/>
      <c r="N42" s="34"/>
      <c r="O42" s="35"/>
      <c r="P42" s="36"/>
      <c r="Q42" s="21"/>
      <c r="R42" s="65"/>
      <c r="S42" s="18"/>
    </row>
    <row r="43" spans="1:19" ht="21" x14ac:dyDescent="0.35">
      <c r="A43" s="108"/>
      <c r="B43" s="28"/>
      <c r="C43" s="66"/>
      <c r="D43" s="30"/>
      <c r="E43" s="30"/>
      <c r="F43" s="31"/>
      <c r="G43" s="27"/>
      <c r="H43" s="54"/>
      <c r="I43" s="33"/>
      <c r="J43" s="33"/>
      <c r="K43" s="33"/>
      <c r="L43" s="33"/>
      <c r="M43" s="29"/>
      <c r="N43" s="34"/>
      <c r="O43" s="35"/>
      <c r="P43" s="36"/>
      <c r="Q43" s="43"/>
      <c r="R43" s="67"/>
      <c r="S43" s="67"/>
    </row>
    <row r="44" spans="1:19" ht="21" x14ac:dyDescent="0.35">
      <c r="A44" s="108"/>
      <c r="B44" s="28"/>
      <c r="C44" s="66"/>
      <c r="D44" s="30"/>
      <c r="E44" s="30"/>
      <c r="F44" s="31"/>
      <c r="G44" s="27"/>
      <c r="H44" s="54"/>
      <c r="I44" s="33"/>
      <c r="J44" s="33"/>
      <c r="K44" s="33"/>
      <c r="L44" s="33"/>
      <c r="M44" s="29"/>
      <c r="N44" s="34"/>
      <c r="O44" s="35"/>
      <c r="P44" s="36"/>
      <c r="Q44" s="43"/>
      <c r="R44" s="67"/>
      <c r="S44" s="67"/>
    </row>
    <row r="45" spans="1:19" ht="21" x14ac:dyDescent="0.35">
      <c r="A45" s="108"/>
      <c r="B45" s="28"/>
      <c r="C45" s="66"/>
      <c r="D45" s="30"/>
      <c r="E45" s="30"/>
      <c r="F45" s="31"/>
      <c r="G45" s="27"/>
      <c r="H45" s="54"/>
      <c r="I45" s="33"/>
      <c r="J45" s="33"/>
      <c r="K45" s="33"/>
      <c r="L45" s="33"/>
      <c r="M45" s="29"/>
      <c r="N45" s="34"/>
      <c r="O45" s="35"/>
      <c r="P45" s="36"/>
      <c r="Q45" s="43"/>
      <c r="R45" s="67"/>
      <c r="S45" s="67"/>
    </row>
    <row r="46" spans="1:19" ht="21" x14ac:dyDescent="0.35">
      <c r="A46" s="108"/>
      <c r="B46" s="28"/>
      <c r="C46" s="66"/>
      <c r="D46" s="30"/>
      <c r="E46" s="30"/>
      <c r="F46" s="31"/>
      <c r="G46" s="27"/>
      <c r="H46" s="54"/>
      <c r="I46" s="33"/>
      <c r="J46" s="33"/>
      <c r="K46" s="33"/>
      <c r="L46" s="33"/>
      <c r="M46" s="29"/>
      <c r="N46" s="34"/>
      <c r="O46" s="35"/>
      <c r="P46" s="36"/>
      <c r="Q46" s="43"/>
      <c r="R46" s="67"/>
      <c r="S46" s="67"/>
    </row>
    <row r="47" spans="1:19" ht="21" x14ac:dyDescent="0.35">
      <c r="A47" s="108"/>
      <c r="B47" s="28"/>
      <c r="C47" s="66"/>
      <c r="D47" s="30"/>
      <c r="E47" s="30"/>
      <c r="F47" s="31"/>
      <c r="G47" s="27"/>
      <c r="H47" s="54"/>
      <c r="I47" s="33"/>
      <c r="J47" s="33"/>
      <c r="K47" s="33"/>
      <c r="L47" s="33"/>
      <c r="M47" s="29"/>
      <c r="N47" s="34"/>
      <c r="O47" s="35"/>
      <c r="P47" s="36"/>
      <c r="Q47" s="43"/>
      <c r="R47" s="67"/>
      <c r="S47" s="67"/>
    </row>
    <row r="48" spans="1:19" ht="21" x14ac:dyDescent="0.35">
      <c r="A48" s="108"/>
      <c r="B48" s="28"/>
      <c r="C48" s="66"/>
      <c r="D48" s="30"/>
      <c r="E48" s="30"/>
      <c r="F48" s="31"/>
      <c r="G48" s="27"/>
      <c r="H48" s="54"/>
      <c r="I48" s="33"/>
      <c r="J48" s="33"/>
      <c r="K48" s="33"/>
      <c r="L48" s="33"/>
      <c r="M48" s="29"/>
      <c r="N48" s="34"/>
      <c r="O48" s="35"/>
      <c r="P48" s="36"/>
      <c r="Q48" s="43"/>
      <c r="R48" s="67"/>
      <c r="S48" s="67"/>
    </row>
    <row r="49" spans="1:19" ht="21" x14ac:dyDescent="0.35">
      <c r="A49" s="108"/>
      <c r="B49" s="28"/>
      <c r="C49" s="66"/>
      <c r="D49" s="30"/>
      <c r="E49" s="30"/>
      <c r="F49" s="31"/>
      <c r="G49" s="27"/>
      <c r="H49" s="54"/>
      <c r="I49" s="33"/>
      <c r="J49" s="33"/>
      <c r="K49" s="33"/>
      <c r="L49" s="33"/>
      <c r="M49" s="29"/>
      <c r="N49" s="34"/>
      <c r="O49" s="35"/>
      <c r="P49" s="36"/>
      <c r="Q49" s="43"/>
      <c r="R49" s="67"/>
      <c r="S49" s="67"/>
    </row>
    <row r="50" spans="1:19" ht="21" x14ac:dyDescent="0.35">
      <c r="A50" s="108"/>
      <c r="B50" s="28"/>
      <c r="C50" s="66"/>
      <c r="D50" s="30"/>
      <c r="E50" s="30"/>
      <c r="F50" s="31"/>
      <c r="G50" s="27"/>
      <c r="H50" s="54"/>
      <c r="I50" s="33"/>
      <c r="J50" s="33"/>
      <c r="K50" s="33"/>
      <c r="L50" s="33"/>
      <c r="M50" s="29"/>
      <c r="N50" s="34"/>
      <c r="O50" s="35"/>
      <c r="P50" s="36"/>
      <c r="Q50" s="43"/>
      <c r="R50" s="67"/>
      <c r="S50" s="67"/>
    </row>
    <row r="51" spans="1:19" ht="24.75" customHeight="1" x14ac:dyDescent="0.35">
      <c r="A51" s="108"/>
      <c r="B51" s="28"/>
      <c r="C51" s="66"/>
      <c r="D51" s="30"/>
      <c r="E51" s="30"/>
      <c r="F51" s="31"/>
      <c r="G51" s="27"/>
      <c r="H51" s="54"/>
      <c r="I51" s="33"/>
      <c r="J51" s="33"/>
      <c r="K51" s="33"/>
      <c r="L51" s="33"/>
      <c r="M51" s="29"/>
      <c r="N51" s="34"/>
      <c r="O51" s="35"/>
      <c r="P51" s="36"/>
      <c r="Q51" s="43"/>
      <c r="R51" s="67"/>
      <c r="S51" s="67"/>
    </row>
    <row r="52" spans="1:19" ht="21" customHeight="1" x14ac:dyDescent="0.35">
      <c r="A52" s="108"/>
      <c r="B52" s="28"/>
      <c r="C52" s="66"/>
      <c r="D52" s="30"/>
      <c r="E52" s="30"/>
      <c r="F52" s="31"/>
      <c r="G52" s="27"/>
      <c r="H52" s="54"/>
      <c r="I52" s="33"/>
      <c r="J52" s="33"/>
      <c r="K52" s="33"/>
      <c r="L52" s="33"/>
      <c r="M52" s="29"/>
      <c r="N52" s="34"/>
      <c r="O52" s="35"/>
      <c r="P52" s="36"/>
      <c r="Q52" s="43"/>
      <c r="R52" s="67"/>
      <c r="S52" s="67"/>
    </row>
    <row r="53" spans="1:19" ht="21" x14ac:dyDescent="0.35">
      <c r="A53" s="108"/>
      <c r="B53" s="28"/>
      <c r="C53" s="66"/>
      <c r="D53" s="30"/>
      <c r="E53" s="30"/>
      <c r="F53" s="31"/>
      <c r="G53" s="27"/>
      <c r="H53" s="54"/>
      <c r="I53" s="33"/>
      <c r="J53" s="33"/>
      <c r="K53" s="33"/>
      <c r="L53" s="33"/>
      <c r="M53" s="29"/>
      <c r="N53" s="34"/>
      <c r="O53" s="35"/>
      <c r="P53" s="36"/>
      <c r="Q53" s="43"/>
      <c r="R53" s="67"/>
      <c r="S53" s="67"/>
    </row>
    <row r="54" spans="1:19" ht="21" x14ac:dyDescent="0.35">
      <c r="A54" s="108"/>
      <c r="B54" s="28"/>
      <c r="C54" s="66"/>
      <c r="D54" s="30"/>
      <c r="E54" s="30"/>
      <c r="F54" s="31"/>
      <c r="G54" s="27"/>
      <c r="H54" s="54"/>
      <c r="I54" s="33"/>
      <c r="J54" s="33"/>
      <c r="K54" s="33"/>
      <c r="L54" s="33"/>
      <c r="M54" s="29"/>
      <c r="N54" s="34"/>
      <c r="O54" s="35"/>
      <c r="P54" s="36"/>
      <c r="Q54" s="43"/>
      <c r="R54" s="67"/>
      <c r="S54" s="67"/>
    </row>
    <row r="55" spans="1:19" ht="21" x14ac:dyDescent="0.35">
      <c r="A55" s="108"/>
      <c r="B55" s="28"/>
      <c r="C55" s="66"/>
      <c r="D55" s="30"/>
      <c r="E55" s="30"/>
      <c r="F55" s="31"/>
      <c r="G55" s="27"/>
      <c r="H55" s="54"/>
      <c r="I55" s="33"/>
      <c r="J55" s="33"/>
      <c r="K55" s="33"/>
      <c r="L55" s="33"/>
      <c r="M55" s="29"/>
      <c r="N55" s="34"/>
      <c r="O55" s="35"/>
      <c r="P55" s="36"/>
      <c r="Q55" s="43"/>
      <c r="R55" s="67"/>
      <c r="S55" s="67"/>
    </row>
    <row r="56" spans="1:19" ht="21" x14ac:dyDescent="0.35">
      <c r="A56" s="108"/>
      <c r="B56" s="28"/>
      <c r="C56" s="66"/>
      <c r="D56" s="30"/>
      <c r="E56" s="30"/>
      <c r="F56" s="31"/>
      <c r="G56" s="27"/>
      <c r="H56" s="54"/>
      <c r="I56" s="33"/>
      <c r="J56" s="33"/>
      <c r="K56" s="33"/>
      <c r="L56" s="33"/>
      <c r="M56" s="29"/>
      <c r="N56" s="34"/>
      <c r="O56" s="35"/>
      <c r="P56" s="36"/>
      <c r="Q56" s="43"/>
      <c r="R56" s="67"/>
      <c r="S56" s="67"/>
    </row>
    <row r="57" spans="1:19" ht="21" x14ac:dyDescent="0.35">
      <c r="A57" s="108"/>
      <c r="B57" s="28"/>
      <c r="C57" s="66"/>
      <c r="D57" s="30"/>
      <c r="E57" s="30"/>
      <c r="F57" s="31"/>
      <c r="G57" s="27"/>
      <c r="H57" s="54"/>
      <c r="I57" s="33"/>
      <c r="J57" s="33"/>
      <c r="K57" s="33"/>
      <c r="L57" s="33"/>
      <c r="M57" s="29"/>
      <c r="N57" s="34"/>
      <c r="O57" s="35"/>
      <c r="P57" s="36"/>
      <c r="Q57" s="43"/>
      <c r="R57" s="67"/>
      <c r="S57" s="67"/>
    </row>
    <row r="58" spans="1:19" ht="21" x14ac:dyDescent="0.35">
      <c r="A58" s="108"/>
      <c r="B58" s="28"/>
      <c r="C58" s="66"/>
      <c r="D58" s="30"/>
      <c r="E58" s="30"/>
      <c r="F58" s="31"/>
      <c r="G58" s="27"/>
      <c r="H58" s="54"/>
      <c r="I58" s="33"/>
      <c r="J58" s="33"/>
      <c r="K58" s="33"/>
      <c r="L58" s="33"/>
      <c r="M58" s="29"/>
      <c r="N58" s="34"/>
      <c r="O58" s="35"/>
      <c r="P58" s="36"/>
      <c r="Q58" s="43"/>
      <c r="R58" s="68"/>
      <c r="S58" s="69"/>
    </row>
    <row r="59" spans="1:19" ht="21" x14ac:dyDescent="0.35">
      <c r="A59" s="108"/>
      <c r="B59" s="28"/>
      <c r="C59" s="66"/>
      <c r="D59" s="30"/>
      <c r="E59" s="30"/>
      <c r="F59" s="31"/>
      <c r="G59" s="27"/>
      <c r="H59" s="40"/>
      <c r="I59" s="33"/>
      <c r="J59" s="33"/>
      <c r="K59" s="33"/>
      <c r="L59" s="33"/>
      <c r="M59" s="55"/>
      <c r="N59" s="34"/>
      <c r="O59" s="35"/>
      <c r="P59" s="36"/>
      <c r="Q59" s="71"/>
      <c r="R59" s="64"/>
      <c r="S59" s="18"/>
    </row>
    <row r="60" spans="1:19" ht="21" x14ac:dyDescent="0.35">
      <c r="A60" s="108"/>
      <c r="B60" s="28"/>
      <c r="C60" s="66"/>
      <c r="D60" s="30"/>
      <c r="E60" s="30"/>
      <c r="F60" s="31"/>
      <c r="G60" s="27"/>
      <c r="H60" s="40"/>
      <c r="I60" s="33"/>
      <c r="J60" s="33"/>
      <c r="K60" s="33"/>
      <c r="L60" s="33"/>
      <c r="M60" s="55"/>
      <c r="N60" s="34"/>
      <c r="O60" s="35"/>
      <c r="P60" s="36"/>
      <c r="Q60" s="43"/>
      <c r="R60" s="64"/>
      <c r="S60" s="18"/>
    </row>
    <row r="61" spans="1:19" ht="21" x14ac:dyDescent="0.35">
      <c r="A61" s="108"/>
      <c r="B61" s="28"/>
      <c r="C61" s="66"/>
      <c r="D61" s="30"/>
      <c r="E61" s="30"/>
      <c r="F61" s="31"/>
      <c r="G61" s="27"/>
      <c r="H61" s="40"/>
      <c r="I61" s="33"/>
      <c r="J61" s="33"/>
      <c r="K61" s="33"/>
      <c r="L61" s="33"/>
      <c r="M61" s="55"/>
      <c r="N61" s="34"/>
      <c r="O61" s="35"/>
      <c r="P61" s="36"/>
      <c r="Q61" s="43"/>
      <c r="R61" s="64"/>
      <c r="S61" s="18"/>
    </row>
    <row r="62" spans="1:19" ht="21" x14ac:dyDescent="0.35">
      <c r="A62" s="108"/>
      <c r="B62" s="28"/>
      <c r="C62" s="66"/>
      <c r="D62" s="30"/>
      <c r="E62" s="30"/>
      <c r="F62" s="31"/>
      <c r="G62" s="27"/>
      <c r="H62" s="40"/>
      <c r="I62" s="33"/>
      <c r="J62" s="33"/>
      <c r="K62" s="33"/>
      <c r="L62" s="33"/>
      <c r="M62" s="55"/>
      <c r="N62" s="34"/>
      <c r="O62" s="35"/>
      <c r="P62" s="36"/>
      <c r="Q62" s="43"/>
      <c r="R62" s="64"/>
      <c r="S62" s="18"/>
    </row>
    <row r="63" spans="1:19" ht="21" x14ac:dyDescent="0.35">
      <c r="A63" s="108"/>
      <c r="B63" s="28"/>
      <c r="C63" s="66"/>
      <c r="D63" s="30"/>
      <c r="E63" s="30"/>
      <c r="F63" s="31"/>
      <c r="G63" s="27"/>
      <c r="H63" s="40"/>
      <c r="I63" s="33"/>
      <c r="J63" s="33"/>
      <c r="K63" s="33"/>
      <c r="L63" s="33"/>
      <c r="M63" s="55"/>
      <c r="N63" s="34"/>
      <c r="O63" s="35"/>
      <c r="P63" s="36"/>
      <c r="Q63" s="43"/>
      <c r="R63" s="64"/>
      <c r="S63" s="18"/>
    </row>
    <row r="64" spans="1:19" ht="19.5" customHeight="1" x14ac:dyDescent="0.35">
      <c r="A64" s="108"/>
      <c r="B64" s="28"/>
      <c r="C64" s="66"/>
      <c r="D64" s="30"/>
      <c r="E64" s="30"/>
      <c r="F64" s="31"/>
      <c r="G64" s="27"/>
      <c r="H64" s="40"/>
      <c r="I64" s="33"/>
      <c r="J64" s="33"/>
      <c r="K64" s="33"/>
      <c r="L64" s="33"/>
      <c r="M64" s="55"/>
      <c r="N64" s="34"/>
      <c r="O64" s="35"/>
      <c r="P64" s="36"/>
      <c r="Q64" s="43"/>
      <c r="R64" s="64"/>
      <c r="S64" s="18"/>
    </row>
    <row r="65" spans="1:19" ht="21" x14ac:dyDescent="0.35">
      <c r="A65" s="108"/>
      <c r="B65" s="28"/>
      <c r="C65" s="66"/>
      <c r="D65" s="30"/>
      <c r="E65" s="30"/>
      <c r="F65" s="31"/>
      <c r="G65" s="27"/>
      <c r="H65" s="40"/>
      <c r="I65" s="33"/>
      <c r="J65" s="33"/>
      <c r="K65" s="33"/>
      <c r="L65" s="33"/>
      <c r="M65" s="55"/>
      <c r="N65" s="34"/>
      <c r="O65" s="35"/>
      <c r="P65" s="36"/>
      <c r="Q65" s="43"/>
      <c r="R65" s="64"/>
      <c r="S65" s="18"/>
    </row>
    <row r="66" spans="1:19" ht="21" x14ac:dyDescent="0.35">
      <c r="A66" s="108"/>
      <c r="B66" s="28"/>
      <c r="C66" s="66"/>
      <c r="D66" s="30"/>
      <c r="E66" s="30"/>
      <c r="F66" s="31"/>
      <c r="G66" s="27"/>
      <c r="H66" s="40"/>
      <c r="I66" s="33"/>
      <c r="J66" s="33"/>
      <c r="K66" s="33"/>
      <c r="L66" s="33"/>
      <c r="M66" s="55"/>
      <c r="N66" s="34"/>
      <c r="O66" s="35"/>
      <c r="P66" s="36"/>
      <c r="Q66" s="43"/>
      <c r="R66" s="64"/>
      <c r="S66" s="18"/>
    </row>
    <row r="67" spans="1:19" ht="21" x14ac:dyDescent="0.35">
      <c r="A67" s="108"/>
      <c r="B67" s="28"/>
      <c r="C67" s="66"/>
      <c r="D67" s="30"/>
      <c r="E67" s="30"/>
      <c r="F67" s="31"/>
      <c r="G67" s="27"/>
      <c r="H67" s="40"/>
      <c r="I67" s="33"/>
      <c r="J67" s="33"/>
      <c r="K67" s="33"/>
      <c r="L67" s="33"/>
      <c r="M67" s="55"/>
      <c r="N67" s="34"/>
      <c r="O67" s="35"/>
      <c r="P67" s="36"/>
      <c r="Q67" s="43"/>
      <c r="R67" s="64"/>
      <c r="S67" s="18"/>
    </row>
    <row r="68" spans="1:19" ht="21" x14ac:dyDescent="0.35">
      <c r="A68" s="108"/>
      <c r="B68" s="28"/>
      <c r="C68" s="66"/>
      <c r="D68" s="30"/>
      <c r="E68" s="30"/>
      <c r="F68" s="31"/>
      <c r="G68" s="27"/>
      <c r="H68" s="102"/>
      <c r="I68" s="33"/>
      <c r="J68" s="33"/>
      <c r="K68" s="33"/>
      <c r="L68" s="33"/>
      <c r="M68" s="55"/>
      <c r="N68" s="34"/>
      <c r="O68" s="35"/>
      <c r="P68" s="36"/>
      <c r="Q68" s="71"/>
      <c r="R68" s="64"/>
      <c r="S68" s="18"/>
    </row>
    <row r="69" spans="1:19" ht="21" x14ac:dyDescent="0.35">
      <c r="A69" s="108"/>
      <c r="B69" s="28"/>
      <c r="C69" s="66"/>
      <c r="D69" s="30"/>
      <c r="E69" s="30"/>
      <c r="F69" s="31"/>
      <c r="G69" s="27"/>
      <c r="H69" s="40"/>
      <c r="I69" s="33"/>
      <c r="J69" s="33"/>
      <c r="K69" s="33"/>
      <c r="L69" s="33"/>
      <c r="M69" s="55"/>
      <c r="N69" s="34"/>
      <c r="O69" s="35"/>
      <c r="P69" s="36"/>
      <c r="Q69" s="43"/>
      <c r="R69" s="69"/>
      <c r="S69" s="69"/>
    </row>
    <row r="70" spans="1:19" ht="22.5" customHeight="1" x14ac:dyDescent="0.35">
      <c r="A70" s="108"/>
      <c r="B70" s="28"/>
      <c r="C70" s="66"/>
      <c r="D70" s="30"/>
      <c r="E70" s="30"/>
      <c r="F70" s="31"/>
      <c r="G70" s="27"/>
      <c r="H70" s="72"/>
      <c r="I70" s="33"/>
      <c r="J70" s="33"/>
      <c r="K70" s="33"/>
      <c r="L70" s="33"/>
      <c r="M70" s="2"/>
      <c r="N70" s="74"/>
      <c r="O70" s="35"/>
      <c r="P70" s="36"/>
      <c r="Q70" s="19"/>
      <c r="R70" s="69"/>
      <c r="S70" s="69"/>
    </row>
    <row r="71" spans="1:19" ht="27" customHeight="1" x14ac:dyDescent="0.35">
      <c r="A71" s="108"/>
      <c r="B71" s="28"/>
      <c r="C71" s="66"/>
      <c r="D71" s="30"/>
      <c r="E71" s="30"/>
      <c r="F71" s="31"/>
      <c r="G71" s="27"/>
      <c r="H71" s="72"/>
      <c r="I71" s="33"/>
      <c r="J71" s="33"/>
      <c r="K71" s="33"/>
      <c r="L71" s="33"/>
      <c r="M71" s="2"/>
      <c r="N71" s="3"/>
      <c r="O71" s="5"/>
      <c r="P71" s="5"/>
      <c r="Q71" s="73"/>
      <c r="R71" s="69"/>
      <c r="S71" s="69"/>
    </row>
    <row r="72" spans="1:19" ht="21" x14ac:dyDescent="0.35">
      <c r="A72" s="108"/>
      <c r="B72" s="28"/>
      <c r="C72" s="94"/>
      <c r="D72" s="30"/>
      <c r="E72" s="30"/>
      <c r="F72" s="31"/>
      <c r="G72" s="27"/>
      <c r="H72" s="72"/>
      <c r="I72" s="33"/>
      <c r="J72" s="33"/>
      <c r="K72" s="33"/>
      <c r="L72" s="33"/>
      <c r="M72" s="3"/>
      <c r="N72" s="3"/>
      <c r="O72" s="3"/>
      <c r="P72" s="3"/>
      <c r="Q72" s="73"/>
      <c r="R72" s="68"/>
      <c r="S72" s="69"/>
    </row>
    <row r="73" spans="1:19" ht="21" x14ac:dyDescent="0.35">
      <c r="A73" s="108"/>
      <c r="B73" s="28"/>
      <c r="C73" s="94"/>
      <c r="D73" s="30"/>
      <c r="E73" s="30"/>
      <c r="F73" s="31"/>
      <c r="G73" s="27"/>
      <c r="H73" s="72"/>
      <c r="I73" s="33"/>
      <c r="J73" s="33"/>
      <c r="K73" s="33"/>
      <c r="L73" s="33"/>
      <c r="M73" s="3"/>
      <c r="N73" s="3"/>
      <c r="O73" s="5"/>
      <c r="P73" s="5"/>
      <c r="Q73" s="71"/>
      <c r="R73" s="68"/>
      <c r="S73" s="69"/>
    </row>
    <row r="74" spans="1:19" ht="21" x14ac:dyDescent="0.35">
      <c r="A74" s="108"/>
      <c r="B74" s="28"/>
      <c r="C74" s="66"/>
      <c r="D74" s="30"/>
      <c r="E74" s="30"/>
      <c r="F74" s="31"/>
      <c r="G74" s="27"/>
      <c r="H74" s="72"/>
      <c r="I74" s="33"/>
      <c r="J74" s="33"/>
      <c r="K74" s="33"/>
      <c r="L74" s="33"/>
      <c r="M74" s="3"/>
      <c r="N74" s="3"/>
      <c r="O74" s="5"/>
      <c r="P74" s="5"/>
      <c r="Q74" s="73"/>
      <c r="R74" s="76"/>
      <c r="S74" s="77"/>
    </row>
    <row r="75" spans="1:19" ht="21" x14ac:dyDescent="0.35">
      <c r="A75" s="108"/>
      <c r="B75" s="28"/>
      <c r="C75" s="66"/>
      <c r="D75" s="30"/>
      <c r="E75" s="30"/>
      <c r="F75" s="31"/>
      <c r="G75" s="27"/>
      <c r="H75" s="72"/>
      <c r="I75" s="33"/>
      <c r="J75" s="33"/>
      <c r="K75" s="33"/>
      <c r="L75" s="33"/>
      <c r="M75" s="3"/>
      <c r="N75" s="3"/>
      <c r="O75" s="5"/>
      <c r="P75" s="5"/>
      <c r="Q75" s="73"/>
      <c r="R75" s="76"/>
      <c r="S75" s="77"/>
    </row>
    <row r="76" spans="1:19" ht="21" x14ac:dyDescent="0.35">
      <c r="A76" s="108"/>
      <c r="B76" s="28"/>
      <c r="C76" s="66"/>
      <c r="D76" s="30"/>
      <c r="E76" s="30"/>
      <c r="F76" s="31"/>
      <c r="G76" s="27"/>
      <c r="H76" s="72"/>
      <c r="I76" s="33"/>
      <c r="J76" s="33"/>
      <c r="K76" s="33"/>
      <c r="L76" s="33"/>
      <c r="M76" s="3"/>
      <c r="N76" s="3"/>
      <c r="O76" s="5"/>
      <c r="P76" s="5"/>
      <c r="Q76" s="73"/>
      <c r="R76" s="76"/>
      <c r="S76" s="77"/>
    </row>
    <row r="77" spans="1:19" ht="21" x14ac:dyDescent="0.35">
      <c r="A77" s="108"/>
      <c r="B77" s="28"/>
      <c r="C77" s="66"/>
      <c r="D77" s="30"/>
      <c r="E77" s="30"/>
      <c r="F77" s="31"/>
      <c r="G77" s="27"/>
      <c r="H77" s="75"/>
      <c r="I77" s="33"/>
      <c r="J77" s="33"/>
      <c r="K77" s="33"/>
      <c r="L77" s="33"/>
      <c r="M77" s="3"/>
      <c r="N77" s="3"/>
      <c r="O77" s="5"/>
      <c r="P77" s="5"/>
      <c r="Q77" s="73"/>
      <c r="R77" s="76"/>
      <c r="S77" s="77"/>
    </row>
    <row r="78" spans="1:19" ht="21" x14ac:dyDescent="0.35">
      <c r="A78" s="108"/>
      <c r="B78" s="28"/>
      <c r="C78" s="78"/>
      <c r="D78" s="30"/>
      <c r="E78" s="30"/>
      <c r="F78" s="31"/>
      <c r="G78" s="27"/>
      <c r="H78" s="75"/>
      <c r="I78" s="33"/>
      <c r="J78" s="33"/>
      <c r="K78" s="33"/>
      <c r="L78" s="33"/>
      <c r="M78" s="1"/>
      <c r="N78" s="1"/>
      <c r="O78" s="5"/>
      <c r="P78" s="5"/>
      <c r="Q78" s="73"/>
      <c r="R78" s="79"/>
      <c r="S78" s="80"/>
    </row>
    <row r="79" spans="1:19" ht="21" x14ac:dyDescent="0.35">
      <c r="A79" s="108"/>
      <c r="B79" s="28"/>
      <c r="C79" s="66"/>
      <c r="D79" s="30"/>
      <c r="E79" s="30"/>
      <c r="F79" s="31"/>
      <c r="G79" s="27"/>
      <c r="H79" s="40"/>
      <c r="I79" s="33"/>
      <c r="J79" s="33"/>
      <c r="K79" s="33"/>
      <c r="L79" s="33"/>
      <c r="M79" s="1"/>
      <c r="N79" s="1"/>
      <c r="O79" s="5"/>
      <c r="P79" s="5"/>
      <c r="Q79" s="73"/>
      <c r="R79" s="79"/>
      <c r="S79" s="80"/>
    </row>
    <row r="80" spans="1:19" ht="21" x14ac:dyDescent="0.35">
      <c r="A80" s="108"/>
      <c r="B80" s="28"/>
      <c r="C80" s="66"/>
      <c r="D80" s="30"/>
      <c r="E80" s="30"/>
      <c r="F80" s="31"/>
      <c r="G80" s="27"/>
      <c r="H80" s="75"/>
      <c r="I80" s="33"/>
      <c r="J80" s="33"/>
      <c r="K80" s="33"/>
      <c r="L80" s="33"/>
      <c r="M80" s="1"/>
      <c r="N80" s="1"/>
      <c r="O80" s="5"/>
      <c r="P80" s="5"/>
      <c r="Q80" s="73"/>
      <c r="R80" s="79"/>
      <c r="S80" s="80"/>
    </row>
    <row r="81" spans="1:19" ht="21" x14ac:dyDescent="0.35">
      <c r="A81" s="108"/>
      <c r="B81" s="28"/>
      <c r="C81" s="66"/>
      <c r="D81" s="30"/>
      <c r="E81" s="30"/>
      <c r="F81" s="31"/>
      <c r="G81" s="27"/>
      <c r="H81" s="75"/>
      <c r="I81" s="33"/>
      <c r="J81" s="33"/>
      <c r="K81" s="33"/>
      <c r="L81" s="33"/>
      <c r="M81" s="1"/>
      <c r="N81" s="1"/>
      <c r="O81" s="5"/>
      <c r="P81" s="5"/>
      <c r="Q81" s="73"/>
      <c r="R81" s="81"/>
      <c r="S81" s="82"/>
    </row>
    <row r="82" spans="1:19" ht="21" x14ac:dyDescent="0.35">
      <c r="A82" s="108"/>
      <c r="B82" s="28"/>
      <c r="C82" s="66"/>
      <c r="D82" s="30"/>
      <c r="E82" s="30"/>
      <c r="F82" s="31"/>
      <c r="G82" s="27"/>
      <c r="H82" s="75"/>
      <c r="I82" s="33"/>
      <c r="J82" s="33"/>
      <c r="K82" s="33"/>
      <c r="L82" s="33"/>
      <c r="M82" s="1"/>
      <c r="N82" s="1"/>
      <c r="O82" s="5"/>
      <c r="P82" s="5"/>
      <c r="Q82" s="73"/>
      <c r="R82" s="81"/>
      <c r="S82" s="82"/>
    </row>
    <row r="83" spans="1:19" ht="21" x14ac:dyDescent="0.35">
      <c r="A83" s="108"/>
      <c r="B83" s="28"/>
      <c r="C83" s="66"/>
      <c r="D83" s="30"/>
      <c r="E83" s="30"/>
      <c r="F83" s="31"/>
      <c r="G83" s="27"/>
      <c r="H83" s="75"/>
      <c r="I83" s="33"/>
      <c r="J83" s="33"/>
      <c r="K83" s="33"/>
      <c r="L83" s="33"/>
      <c r="M83" s="1"/>
      <c r="N83" s="1"/>
      <c r="O83" s="5"/>
      <c r="P83" s="5"/>
      <c r="Q83" s="73"/>
      <c r="R83" s="81"/>
      <c r="S83" s="83"/>
    </row>
    <row r="84" spans="1:19" ht="21" x14ac:dyDescent="0.35">
      <c r="A84" s="108"/>
      <c r="B84" s="28"/>
      <c r="C84" s="66"/>
      <c r="D84" s="30"/>
      <c r="E84" s="30"/>
      <c r="F84" s="31"/>
      <c r="G84" s="27"/>
      <c r="H84" s="75"/>
      <c r="I84" s="33"/>
      <c r="J84" s="33"/>
      <c r="K84" s="33"/>
      <c r="L84" s="33"/>
      <c r="M84" s="1"/>
      <c r="N84" s="1"/>
      <c r="O84" s="5"/>
      <c r="P84" s="5"/>
      <c r="Q84" s="73"/>
      <c r="R84" s="81"/>
      <c r="S84" s="83"/>
    </row>
    <row r="85" spans="1:19" ht="21" x14ac:dyDescent="0.35">
      <c r="A85" s="108"/>
      <c r="B85" s="28"/>
      <c r="C85" s="66"/>
      <c r="D85" s="30"/>
      <c r="E85" s="30"/>
      <c r="F85" s="31"/>
      <c r="G85" s="27"/>
      <c r="H85" s="75"/>
      <c r="I85" s="33"/>
      <c r="J85" s="33"/>
      <c r="K85" s="33"/>
      <c r="L85" s="33"/>
      <c r="M85" s="1"/>
      <c r="N85" s="1"/>
      <c r="O85" s="5"/>
      <c r="P85" s="5"/>
      <c r="Q85" s="73"/>
      <c r="R85" s="81"/>
      <c r="S85" s="83"/>
    </row>
    <row r="86" spans="1:19" ht="21" x14ac:dyDescent="0.35">
      <c r="A86" s="108"/>
      <c r="B86" s="28"/>
      <c r="C86" s="66"/>
      <c r="D86" s="30"/>
      <c r="E86" s="30"/>
      <c r="F86" s="31"/>
      <c r="G86" s="27"/>
      <c r="H86" s="75"/>
      <c r="I86" s="33"/>
      <c r="J86" s="33"/>
      <c r="K86" s="33"/>
      <c r="L86" s="33"/>
      <c r="M86" s="1"/>
      <c r="N86" s="1"/>
      <c r="O86" s="5"/>
      <c r="P86" s="5"/>
      <c r="Q86" s="73"/>
      <c r="R86" s="76"/>
      <c r="S86" s="77"/>
    </row>
    <row r="87" spans="1:19" ht="21" x14ac:dyDescent="0.35">
      <c r="A87" s="108"/>
      <c r="B87" s="28"/>
      <c r="C87" s="66"/>
      <c r="D87" s="30"/>
      <c r="E87" s="30"/>
      <c r="F87" s="31"/>
      <c r="G87" s="27"/>
      <c r="H87" s="4"/>
      <c r="I87" s="33"/>
      <c r="J87" s="33"/>
      <c r="K87" s="33"/>
      <c r="L87" s="33"/>
      <c r="M87" s="1"/>
      <c r="N87" s="1"/>
      <c r="O87" s="5"/>
      <c r="P87" s="5"/>
      <c r="Q87" s="73"/>
      <c r="R87" s="81"/>
      <c r="S87" s="81"/>
    </row>
    <row r="88" spans="1:19" ht="21" x14ac:dyDescent="0.35">
      <c r="A88" s="108"/>
      <c r="B88" s="28"/>
      <c r="C88" s="66"/>
      <c r="D88" s="30"/>
      <c r="E88" s="30"/>
      <c r="F88" s="31"/>
      <c r="G88" s="27"/>
      <c r="H88" s="4"/>
      <c r="I88" s="33"/>
      <c r="J88" s="33"/>
      <c r="K88" s="33"/>
      <c r="L88" s="33"/>
      <c r="M88" s="1"/>
      <c r="N88" s="1"/>
      <c r="O88" s="5"/>
      <c r="P88" s="5"/>
      <c r="Q88" s="73"/>
      <c r="R88" s="81"/>
      <c r="S88" s="81"/>
    </row>
    <row r="89" spans="1:19" ht="21" x14ac:dyDescent="0.35">
      <c r="A89" s="108"/>
      <c r="B89" s="28"/>
      <c r="C89" s="66"/>
      <c r="D89" s="30"/>
      <c r="E89" s="30"/>
      <c r="F89" s="31"/>
      <c r="G89" s="27"/>
      <c r="H89" s="72"/>
      <c r="I89" s="33"/>
      <c r="J89" s="33"/>
      <c r="K89" s="33"/>
      <c r="L89" s="33"/>
      <c r="M89" s="1"/>
      <c r="N89" s="1"/>
      <c r="O89" s="5"/>
      <c r="P89" s="5"/>
      <c r="Q89" s="73"/>
      <c r="R89" s="81"/>
      <c r="S89" s="81"/>
    </row>
    <row r="90" spans="1:19" ht="21" x14ac:dyDescent="0.35">
      <c r="A90" s="108"/>
      <c r="B90" s="28"/>
      <c r="C90" s="66"/>
      <c r="D90" s="30"/>
      <c r="E90" s="30"/>
      <c r="F90" s="31"/>
      <c r="G90" s="27"/>
      <c r="H90" s="84"/>
      <c r="I90" s="33"/>
      <c r="J90" s="33"/>
      <c r="K90" s="33"/>
      <c r="L90" s="33"/>
      <c r="M90" s="107"/>
      <c r="N90" s="107"/>
      <c r="O90" s="5"/>
      <c r="P90" s="5"/>
      <c r="Q90" s="73"/>
      <c r="R90" s="79"/>
      <c r="S90" s="79"/>
    </row>
    <row r="91" spans="1:19" ht="21" x14ac:dyDescent="0.35">
      <c r="A91" s="108"/>
      <c r="B91" s="28"/>
      <c r="C91" s="66"/>
      <c r="D91" s="30"/>
      <c r="E91" s="30"/>
      <c r="F91" s="31"/>
      <c r="G91" s="70"/>
      <c r="H91" s="4"/>
      <c r="I91" s="33"/>
      <c r="J91" s="33"/>
      <c r="K91" s="33"/>
      <c r="L91" s="33"/>
      <c r="M91" s="107"/>
      <c r="N91" s="107"/>
      <c r="O91" s="5"/>
      <c r="P91" s="5"/>
      <c r="Q91" s="73"/>
      <c r="R91" s="79"/>
      <c r="S91" s="79"/>
    </row>
    <row r="92" spans="1:19" ht="21" x14ac:dyDescent="0.35">
      <c r="A92" s="108"/>
      <c r="B92" s="28"/>
      <c r="C92" s="66"/>
      <c r="D92" s="30"/>
      <c r="E92" s="96"/>
      <c r="F92" s="97"/>
      <c r="G92" s="87"/>
      <c r="H92" s="85"/>
      <c r="I92" s="33"/>
      <c r="J92" s="33"/>
      <c r="K92" s="33"/>
      <c r="L92" s="33"/>
      <c r="M92" s="107"/>
      <c r="N92" s="107"/>
      <c r="O92" s="5"/>
      <c r="P92" s="5"/>
      <c r="Q92" s="73"/>
      <c r="R92" s="79"/>
      <c r="S92" s="83"/>
    </row>
    <row r="93" spans="1:19" ht="21" x14ac:dyDescent="0.35">
      <c r="A93" s="108"/>
      <c r="B93" s="28"/>
      <c r="C93" s="66"/>
      <c r="D93" s="30"/>
      <c r="E93" s="30"/>
      <c r="F93" s="31"/>
      <c r="G93" s="87"/>
      <c r="H93" s="85"/>
      <c r="I93" s="33"/>
      <c r="J93" s="33"/>
      <c r="K93" s="33"/>
      <c r="L93" s="33"/>
      <c r="M93" s="107"/>
      <c r="N93" s="107"/>
      <c r="O93" s="5"/>
      <c r="P93" s="5"/>
      <c r="Q93" s="73"/>
      <c r="R93" s="79"/>
      <c r="S93" s="79"/>
    </row>
    <row r="94" spans="1:19" ht="21" x14ac:dyDescent="0.35">
      <c r="A94" s="108"/>
      <c r="B94" s="28"/>
      <c r="C94" s="66"/>
      <c r="D94" s="30"/>
      <c r="E94" s="30"/>
      <c r="F94" s="31"/>
      <c r="G94" s="87"/>
      <c r="H94" s="31"/>
      <c r="I94" s="33"/>
      <c r="J94" s="33"/>
      <c r="K94" s="33"/>
      <c r="L94" s="33"/>
      <c r="M94" s="107"/>
      <c r="N94" s="107"/>
      <c r="O94" s="5"/>
      <c r="P94" s="5"/>
      <c r="Q94" s="73"/>
      <c r="R94" s="64"/>
      <c r="S94" s="18"/>
    </row>
    <row r="95" spans="1:19" ht="21" x14ac:dyDescent="0.35">
      <c r="A95" s="108"/>
      <c r="B95" s="28"/>
      <c r="C95" s="66"/>
      <c r="D95" s="30"/>
      <c r="E95" s="30"/>
      <c r="F95" s="31"/>
      <c r="G95" s="27"/>
      <c r="H95" s="75"/>
      <c r="I95" s="33"/>
      <c r="J95" s="33"/>
      <c r="K95" s="33"/>
      <c r="L95" s="33"/>
      <c r="M95" s="29"/>
      <c r="N95" s="34"/>
      <c r="O95" s="35"/>
      <c r="P95" s="36"/>
      <c r="Q95" s="73"/>
      <c r="R95" s="100"/>
      <c r="S95" s="100"/>
    </row>
    <row r="96" spans="1:19" ht="21" x14ac:dyDescent="0.35">
      <c r="A96" s="108"/>
      <c r="B96" s="28"/>
      <c r="C96" s="66"/>
      <c r="D96" s="30"/>
      <c r="E96" s="30"/>
      <c r="F96" s="31"/>
      <c r="G96" s="27"/>
      <c r="H96" s="54"/>
      <c r="I96" s="33"/>
      <c r="J96" s="33"/>
      <c r="K96" s="33"/>
      <c r="L96" s="33"/>
      <c r="M96" s="29"/>
      <c r="N96" s="34"/>
      <c r="O96" s="35"/>
      <c r="P96" s="36"/>
      <c r="Q96" s="73"/>
      <c r="R96" s="93"/>
      <c r="S96" s="93"/>
    </row>
    <row r="97" spans="1:19" ht="21" x14ac:dyDescent="0.35">
      <c r="A97" s="108"/>
      <c r="B97" s="28"/>
      <c r="C97" s="66"/>
      <c r="D97" s="30"/>
      <c r="E97" s="30"/>
      <c r="F97" s="31"/>
      <c r="G97" s="27"/>
      <c r="H97" s="54"/>
      <c r="I97" s="33"/>
      <c r="J97" s="33"/>
      <c r="K97" s="33"/>
      <c r="L97" s="33"/>
      <c r="M97" s="29"/>
      <c r="N97" s="34"/>
      <c r="O97" s="35"/>
      <c r="P97" s="36"/>
      <c r="Q97" s="73"/>
      <c r="R97" s="64"/>
      <c r="S97" s="104"/>
    </row>
    <row r="98" spans="1:19" ht="21" x14ac:dyDescent="0.35">
      <c r="A98" s="108"/>
      <c r="B98" s="28"/>
      <c r="C98" s="66"/>
      <c r="D98" s="30"/>
      <c r="E98" s="30"/>
      <c r="F98" s="31"/>
      <c r="G98" s="27"/>
      <c r="H98" s="54"/>
      <c r="I98" s="33"/>
      <c r="J98" s="33"/>
      <c r="K98" s="33"/>
      <c r="L98" s="33"/>
      <c r="M98" s="29"/>
      <c r="N98" s="34"/>
      <c r="O98" s="35"/>
      <c r="P98" s="36"/>
      <c r="Q98" s="73"/>
      <c r="R98" s="93"/>
      <c r="S98" s="103"/>
    </row>
    <row r="99" spans="1:19" ht="21" x14ac:dyDescent="0.35">
      <c r="A99" s="108"/>
      <c r="B99" s="28"/>
      <c r="C99" s="66"/>
      <c r="D99" s="30"/>
      <c r="E99" s="30"/>
      <c r="F99" s="31"/>
      <c r="G99" s="27"/>
      <c r="H99" s="75"/>
      <c r="I99" s="33"/>
      <c r="J99" s="33"/>
      <c r="K99" s="33"/>
      <c r="L99" s="33"/>
      <c r="M99" s="29"/>
      <c r="N99" s="34"/>
      <c r="O99" s="35"/>
      <c r="P99" s="36"/>
      <c r="Q99" s="73"/>
      <c r="R99" s="93"/>
      <c r="S99" s="104"/>
    </row>
    <row r="100" spans="1:19" ht="18.75" customHeight="1" x14ac:dyDescent="0.35">
      <c r="A100" s="108"/>
      <c r="B100" s="28"/>
      <c r="C100" s="66"/>
      <c r="D100" s="30"/>
      <c r="E100" s="30"/>
      <c r="F100" s="31"/>
      <c r="G100" s="27"/>
      <c r="H100" s="75"/>
      <c r="I100" s="33"/>
      <c r="J100" s="33"/>
      <c r="K100" s="33"/>
      <c r="L100" s="33"/>
      <c r="M100" s="29"/>
      <c r="N100" s="34"/>
      <c r="O100" s="35"/>
      <c r="P100" s="36"/>
      <c r="Q100" s="73"/>
      <c r="R100" s="93"/>
      <c r="S100" s="105"/>
    </row>
    <row r="101" spans="1:19" ht="21" x14ac:dyDescent="0.35">
      <c r="A101" s="108"/>
      <c r="B101" s="28"/>
      <c r="C101" s="66"/>
      <c r="D101" s="30"/>
      <c r="E101" s="30"/>
      <c r="F101" s="31"/>
      <c r="G101" s="27"/>
      <c r="H101" s="75"/>
      <c r="I101" s="33"/>
      <c r="J101" s="33"/>
      <c r="K101" s="33"/>
      <c r="L101" s="33"/>
      <c r="M101" s="29"/>
      <c r="N101" s="34"/>
      <c r="O101" s="35"/>
      <c r="P101" s="36"/>
      <c r="Q101" s="73"/>
      <c r="R101" s="109"/>
      <c r="S101" s="110"/>
    </row>
    <row r="102" spans="1:19" ht="21" x14ac:dyDescent="0.35">
      <c r="A102" s="108"/>
      <c r="B102" s="28"/>
      <c r="C102" s="66"/>
      <c r="D102" s="30"/>
      <c r="E102" s="30"/>
      <c r="F102" s="31"/>
      <c r="G102" s="27"/>
      <c r="H102" s="75"/>
      <c r="I102" s="33"/>
      <c r="J102" s="33"/>
      <c r="K102" s="33"/>
      <c r="L102" s="33"/>
      <c r="M102" s="29"/>
      <c r="N102" s="34"/>
      <c r="O102" s="35"/>
      <c r="P102" s="36"/>
      <c r="Q102" s="113"/>
      <c r="R102" s="109"/>
      <c r="S102" s="111"/>
    </row>
    <row r="103" spans="1:19" ht="21" x14ac:dyDescent="0.35">
      <c r="A103" s="108"/>
      <c r="B103" s="28"/>
      <c r="C103" s="66"/>
      <c r="D103" s="30"/>
      <c r="E103" s="30"/>
      <c r="F103" s="31"/>
      <c r="G103" s="27"/>
      <c r="H103" s="72"/>
      <c r="I103" s="33"/>
      <c r="J103" s="33"/>
      <c r="K103" s="33"/>
      <c r="L103" s="33"/>
      <c r="M103" s="29"/>
      <c r="N103" s="34"/>
      <c r="O103" s="35"/>
      <c r="P103" s="36"/>
      <c r="Q103" s="73"/>
      <c r="R103" s="109"/>
      <c r="S103" s="110"/>
    </row>
    <row r="104" spans="1:19" ht="21" x14ac:dyDescent="0.35">
      <c r="A104" s="108"/>
      <c r="B104" s="28"/>
      <c r="C104" s="66"/>
      <c r="D104" s="30"/>
      <c r="E104" s="30"/>
      <c r="F104" s="31"/>
      <c r="G104" s="115"/>
      <c r="H104" s="75"/>
      <c r="I104" s="33"/>
      <c r="J104" s="33"/>
      <c r="K104" s="33"/>
      <c r="L104" s="33"/>
      <c r="M104" s="29"/>
      <c r="N104" s="34"/>
      <c r="O104" s="35"/>
      <c r="P104" s="36"/>
      <c r="Q104" s="73"/>
      <c r="R104" s="109"/>
      <c r="S104" s="110"/>
    </row>
    <row r="105" spans="1:19" ht="21" x14ac:dyDescent="0.35">
      <c r="A105" s="108"/>
      <c r="B105" s="28"/>
      <c r="C105" s="66"/>
      <c r="D105" s="30"/>
      <c r="E105" s="30"/>
      <c r="F105" s="31"/>
      <c r="G105" s="27"/>
      <c r="H105" s="72"/>
      <c r="I105" s="33"/>
      <c r="J105" s="33"/>
      <c r="K105" s="33"/>
      <c r="L105" s="33"/>
      <c r="M105" s="29"/>
      <c r="N105" s="34"/>
      <c r="O105" s="35"/>
      <c r="P105" s="36"/>
      <c r="Q105" s="73"/>
      <c r="R105" s="109"/>
      <c r="S105" s="110"/>
    </row>
    <row r="106" spans="1:19" ht="21" x14ac:dyDescent="0.35">
      <c r="A106" s="108"/>
      <c r="B106" s="28"/>
      <c r="C106" s="66"/>
      <c r="D106" s="30"/>
      <c r="E106" s="30"/>
      <c r="F106" s="31"/>
      <c r="G106" s="27"/>
      <c r="H106" s="75"/>
      <c r="I106" s="33"/>
      <c r="J106" s="33"/>
      <c r="K106" s="33"/>
      <c r="L106" s="33"/>
      <c r="M106" s="29"/>
      <c r="N106" s="34"/>
      <c r="O106" s="35"/>
      <c r="P106" s="36"/>
      <c r="Q106" s="73"/>
      <c r="R106" s="109"/>
      <c r="S106" s="110"/>
    </row>
    <row r="107" spans="1:19" ht="21" x14ac:dyDescent="0.35">
      <c r="A107" s="108"/>
      <c r="B107" s="28"/>
      <c r="C107" s="66"/>
      <c r="D107" s="30"/>
      <c r="E107" s="30"/>
      <c r="F107" s="31"/>
      <c r="G107" s="27"/>
      <c r="H107" s="75"/>
      <c r="I107" s="33"/>
      <c r="J107" s="33"/>
      <c r="K107" s="33"/>
      <c r="L107" s="33"/>
      <c r="M107" s="29"/>
      <c r="N107" s="34"/>
      <c r="O107" s="35"/>
      <c r="P107" s="36"/>
      <c r="Q107" s="73"/>
      <c r="R107" s="109"/>
      <c r="S107" s="110"/>
    </row>
    <row r="108" spans="1:19" ht="21" x14ac:dyDescent="0.35">
      <c r="A108" s="108"/>
      <c r="B108" s="28"/>
      <c r="C108" s="66"/>
      <c r="D108" s="30"/>
      <c r="E108" s="30"/>
      <c r="F108" s="31"/>
      <c r="G108" s="27"/>
      <c r="H108" s="75"/>
      <c r="I108" s="33"/>
      <c r="J108" s="33"/>
      <c r="K108" s="33"/>
      <c r="L108" s="33"/>
      <c r="M108" s="29"/>
      <c r="N108" s="34"/>
      <c r="O108" s="35"/>
      <c r="P108" s="36"/>
      <c r="Q108" s="73"/>
      <c r="R108" s="109"/>
      <c r="S108" s="110"/>
    </row>
    <row r="109" spans="1:19" ht="21" x14ac:dyDescent="0.35">
      <c r="A109" s="108"/>
      <c r="B109" s="28"/>
      <c r="C109" s="66"/>
      <c r="D109" s="30"/>
      <c r="E109" s="30"/>
      <c r="F109" s="31"/>
      <c r="G109" s="115"/>
      <c r="H109" s="75"/>
      <c r="I109" s="33"/>
      <c r="J109" s="33"/>
      <c r="K109" s="33"/>
      <c r="L109" s="33"/>
      <c r="M109" s="29"/>
      <c r="N109" s="34"/>
      <c r="O109" s="35"/>
      <c r="P109" s="36"/>
      <c r="Q109" s="73"/>
      <c r="R109" s="109"/>
      <c r="S109" s="110"/>
    </row>
    <row r="110" spans="1:19" ht="21" x14ac:dyDescent="0.35">
      <c r="A110" s="108"/>
      <c r="B110" s="28"/>
      <c r="C110" s="66"/>
      <c r="D110" s="30"/>
      <c r="E110" s="30"/>
      <c r="F110" s="31"/>
      <c r="G110" s="27"/>
      <c r="H110" s="75"/>
      <c r="I110" s="33"/>
      <c r="J110" s="33"/>
      <c r="K110" s="33"/>
      <c r="L110" s="33"/>
      <c r="M110" s="29"/>
      <c r="N110" s="34"/>
      <c r="O110" s="35"/>
      <c r="P110" s="36"/>
      <c r="Q110" s="73"/>
      <c r="R110" s="109"/>
      <c r="S110" s="110"/>
    </row>
    <row r="111" spans="1:19" ht="21" x14ac:dyDescent="0.35">
      <c r="A111" s="108"/>
      <c r="B111" s="28"/>
      <c r="C111" s="66"/>
      <c r="D111" s="30"/>
      <c r="E111" s="30"/>
      <c r="F111" s="31"/>
      <c r="G111" s="27"/>
      <c r="H111" s="75"/>
      <c r="I111" s="33"/>
      <c r="J111" s="33"/>
      <c r="K111" s="33"/>
      <c r="L111" s="33"/>
      <c r="M111" s="29"/>
      <c r="N111" s="34"/>
      <c r="O111" s="35"/>
      <c r="P111" s="36"/>
      <c r="Q111" s="73"/>
      <c r="R111" s="109"/>
      <c r="S111" s="110"/>
    </row>
    <row r="112" spans="1:19" ht="21" x14ac:dyDescent="0.35">
      <c r="A112" s="108"/>
      <c r="B112" s="28"/>
      <c r="C112" s="106"/>
      <c r="D112" s="30"/>
      <c r="E112" s="30"/>
      <c r="F112" s="31"/>
      <c r="G112" s="27"/>
      <c r="H112" s="54"/>
      <c r="I112" s="33"/>
      <c r="J112" s="33"/>
      <c r="K112" s="33"/>
      <c r="L112" s="33"/>
      <c r="M112" s="29"/>
      <c r="N112" s="34"/>
      <c r="O112" s="35"/>
      <c r="P112" s="36"/>
      <c r="Q112" s="73"/>
      <c r="R112" s="109"/>
      <c r="S112" s="110"/>
    </row>
    <row r="113" spans="1:19" ht="21" x14ac:dyDescent="0.35">
      <c r="A113" s="108"/>
      <c r="B113" s="28"/>
      <c r="C113" s="106"/>
      <c r="D113" s="30"/>
      <c r="E113" s="30"/>
      <c r="F113" s="31"/>
      <c r="G113" s="115"/>
      <c r="H113" s="85"/>
      <c r="I113" s="33"/>
      <c r="J113" s="33"/>
      <c r="K113" s="33"/>
      <c r="L113" s="33"/>
      <c r="M113" s="29"/>
      <c r="N113" s="34"/>
      <c r="O113" s="35"/>
      <c r="P113" s="36"/>
      <c r="Q113" s="73"/>
      <c r="R113" s="105"/>
      <c r="S113" s="105"/>
    </row>
    <row r="114" spans="1:19" ht="21" x14ac:dyDescent="0.35">
      <c r="A114" s="108"/>
      <c r="B114" s="28"/>
      <c r="C114" s="106"/>
      <c r="D114" s="30"/>
      <c r="E114" s="30"/>
      <c r="F114" s="31"/>
      <c r="G114" s="27"/>
      <c r="H114" s="84"/>
      <c r="I114" s="33"/>
      <c r="J114" s="33"/>
      <c r="K114" s="33"/>
      <c r="L114" s="33"/>
      <c r="M114" s="29"/>
      <c r="N114" s="34"/>
      <c r="O114" s="35"/>
      <c r="P114" s="36"/>
      <c r="Q114" s="73"/>
      <c r="R114" s="105"/>
      <c r="S114" s="105"/>
    </row>
    <row r="115" spans="1:19" ht="21" x14ac:dyDescent="0.35">
      <c r="A115" s="108"/>
      <c r="B115" s="28"/>
      <c r="C115" s="66"/>
      <c r="D115" s="30"/>
      <c r="E115" s="30"/>
      <c r="F115" s="31"/>
      <c r="G115" s="27"/>
      <c r="H115" s="72"/>
      <c r="I115" s="33"/>
      <c r="J115" s="33"/>
      <c r="K115" s="33"/>
      <c r="L115" s="33"/>
      <c r="M115" s="29"/>
      <c r="N115" s="34"/>
      <c r="O115" s="35"/>
      <c r="P115" s="36"/>
      <c r="Q115" s="73"/>
      <c r="R115" s="105"/>
      <c r="S115" s="105"/>
    </row>
    <row r="116" spans="1:19" ht="19.5" x14ac:dyDescent="0.3">
      <c r="B116" s="28"/>
      <c r="C116" s="46"/>
      <c r="D116" s="47"/>
      <c r="E116" s="47"/>
      <c r="F116" s="47"/>
      <c r="G116" s="98"/>
      <c r="H116" s="47"/>
      <c r="I116" s="47"/>
      <c r="J116" s="47"/>
      <c r="K116" s="47"/>
      <c r="L116" s="47"/>
      <c r="M116" s="48"/>
      <c r="N116" s="41"/>
      <c r="O116" s="47"/>
      <c r="P116" s="47"/>
      <c r="Q116" s="43"/>
      <c r="R116" s="39"/>
      <c r="S116" s="22"/>
    </row>
    <row r="117" spans="1:19" ht="19.5" x14ac:dyDescent="0.3">
      <c r="B117" s="28"/>
      <c r="C117" s="46"/>
      <c r="D117" s="47"/>
      <c r="E117" s="47"/>
      <c r="F117" s="49"/>
      <c r="G117" s="45"/>
      <c r="H117" s="47"/>
      <c r="I117" s="46"/>
      <c r="J117" s="46"/>
      <c r="K117" s="46"/>
      <c r="L117" s="46"/>
      <c r="M117" s="48"/>
      <c r="N117" s="41"/>
      <c r="O117" s="41"/>
      <c r="P117" s="36"/>
      <c r="Q117" s="53"/>
      <c r="R117" s="37"/>
      <c r="S117" s="22"/>
    </row>
    <row r="118" spans="1:19" ht="19.5" x14ac:dyDescent="0.3">
      <c r="B118" s="28"/>
      <c r="C118" s="24"/>
      <c r="D118" s="22"/>
      <c r="E118" s="22"/>
      <c r="F118" s="31"/>
      <c r="G118" s="22"/>
      <c r="H118" s="22"/>
      <c r="I118" s="46"/>
      <c r="J118" s="46"/>
      <c r="K118" s="46"/>
      <c r="L118" s="46"/>
      <c r="M118" s="22"/>
      <c r="N118" s="41"/>
      <c r="O118" s="41"/>
      <c r="P118" s="36"/>
      <c r="Q118" s="53"/>
      <c r="R118" s="37"/>
      <c r="S118" s="22"/>
    </row>
    <row r="119" spans="1:19" ht="21" x14ac:dyDescent="0.35">
      <c r="A119" s="108"/>
      <c r="B119" s="28"/>
      <c r="C119" s="38"/>
      <c r="D119" s="30"/>
      <c r="E119" s="30"/>
      <c r="F119" s="31"/>
      <c r="G119" s="27"/>
      <c r="H119" s="40"/>
      <c r="I119" s="33"/>
      <c r="J119" s="33"/>
      <c r="K119" s="33"/>
      <c r="L119" s="33"/>
      <c r="M119" s="55"/>
      <c r="N119" s="34"/>
      <c r="O119" s="35"/>
      <c r="P119" s="36"/>
      <c r="Q119" s="53"/>
      <c r="R119" s="37"/>
      <c r="S119" s="22"/>
    </row>
    <row r="120" spans="1:19" ht="21" x14ac:dyDescent="0.35">
      <c r="A120" s="108"/>
      <c r="B120" s="28"/>
      <c r="C120" s="38"/>
      <c r="D120" s="30"/>
      <c r="E120" s="30"/>
      <c r="F120" s="31"/>
      <c r="G120" s="27"/>
      <c r="H120" s="40"/>
      <c r="I120" s="33"/>
      <c r="J120" s="33"/>
      <c r="K120" s="33"/>
      <c r="L120" s="33"/>
      <c r="M120" s="55"/>
      <c r="N120" s="34"/>
      <c r="O120" s="35"/>
      <c r="P120" s="36"/>
      <c r="Q120" s="53"/>
      <c r="R120" s="37"/>
      <c r="S120" s="22"/>
    </row>
    <row r="121" spans="1:19" ht="21" x14ac:dyDescent="0.35">
      <c r="A121" s="108"/>
      <c r="B121" s="28"/>
      <c r="C121" s="38"/>
      <c r="D121" s="30"/>
      <c r="E121" s="30"/>
      <c r="F121" s="31"/>
      <c r="G121" s="27"/>
      <c r="H121" s="40"/>
      <c r="I121" s="33"/>
      <c r="J121" s="33"/>
      <c r="K121" s="33"/>
      <c r="L121" s="33"/>
      <c r="M121" s="55"/>
      <c r="N121" s="34"/>
      <c r="O121" s="35"/>
      <c r="P121" s="36"/>
      <c r="Q121" s="53"/>
      <c r="R121" s="62"/>
      <c r="S121" s="42"/>
    </row>
    <row r="122" spans="1:19" ht="21" x14ac:dyDescent="0.35">
      <c r="A122" s="108"/>
      <c r="B122" s="28"/>
      <c r="C122" s="38"/>
      <c r="D122" s="30"/>
      <c r="E122" s="30"/>
      <c r="F122" s="31"/>
      <c r="G122" s="27"/>
      <c r="H122" s="40"/>
      <c r="I122" s="33"/>
      <c r="J122" s="33"/>
      <c r="K122" s="33"/>
      <c r="L122" s="33"/>
      <c r="M122" s="55"/>
      <c r="N122" s="34"/>
      <c r="O122" s="35"/>
      <c r="P122" s="36"/>
      <c r="Q122" s="53"/>
      <c r="R122" s="62"/>
      <c r="S122" s="42"/>
    </row>
    <row r="123" spans="1:19" ht="21" x14ac:dyDescent="0.35">
      <c r="A123" s="108"/>
      <c r="B123" s="28"/>
      <c r="C123" s="38"/>
      <c r="D123" s="30"/>
      <c r="E123" s="30"/>
      <c r="F123" s="31"/>
      <c r="G123" s="27"/>
      <c r="H123" s="40"/>
      <c r="I123" s="33"/>
      <c r="J123" s="33"/>
      <c r="K123" s="33"/>
      <c r="L123" s="33"/>
      <c r="M123" s="55"/>
      <c r="N123" s="34"/>
      <c r="O123" s="35"/>
      <c r="P123" s="36"/>
      <c r="Q123" s="53"/>
      <c r="R123" s="62"/>
      <c r="S123" s="42"/>
    </row>
    <row r="124" spans="1:19" ht="21" x14ac:dyDescent="0.35">
      <c r="A124" s="108"/>
      <c r="B124" s="28"/>
      <c r="C124" s="38"/>
      <c r="D124" s="30"/>
      <c r="E124" s="30"/>
      <c r="F124" s="31"/>
      <c r="G124" s="27"/>
      <c r="H124" s="40"/>
      <c r="I124" s="33"/>
      <c r="J124" s="33"/>
      <c r="K124" s="33"/>
      <c r="L124" s="33"/>
      <c r="M124" s="55"/>
      <c r="N124" s="34"/>
      <c r="O124" s="35"/>
      <c r="P124" s="36"/>
      <c r="Q124" s="43"/>
      <c r="R124" s="63"/>
      <c r="S124" s="42"/>
    </row>
    <row r="125" spans="1:19" ht="21" x14ac:dyDescent="0.35">
      <c r="A125" s="108"/>
      <c r="B125" s="28"/>
      <c r="C125" s="38"/>
      <c r="D125" s="30"/>
      <c r="E125" s="30"/>
      <c r="F125" s="31"/>
      <c r="G125" s="27"/>
      <c r="H125" s="40"/>
      <c r="I125" s="33"/>
      <c r="J125" s="33"/>
      <c r="K125" s="33"/>
      <c r="L125" s="33"/>
      <c r="M125" s="55"/>
      <c r="N125" s="34"/>
      <c r="O125" s="35"/>
      <c r="P125" s="36"/>
      <c r="Q125" s="43"/>
      <c r="R125" s="63"/>
      <c r="S125" s="42"/>
    </row>
    <row r="126" spans="1:19" ht="21" x14ac:dyDescent="0.35">
      <c r="A126" s="108"/>
      <c r="B126" s="28"/>
      <c r="C126" s="66"/>
      <c r="D126" s="30"/>
      <c r="E126" s="30"/>
      <c r="F126" s="31"/>
      <c r="G126" s="27"/>
      <c r="H126" s="40"/>
      <c r="I126" s="33"/>
      <c r="J126" s="33"/>
      <c r="K126" s="33"/>
      <c r="L126" s="33"/>
      <c r="M126" s="55"/>
      <c r="N126" s="34"/>
      <c r="O126" s="35"/>
      <c r="P126" s="36"/>
      <c r="Q126" s="43"/>
      <c r="R126" s="18"/>
      <c r="S126" s="18"/>
    </row>
    <row r="127" spans="1:19" ht="21" x14ac:dyDescent="0.35">
      <c r="A127" s="108"/>
      <c r="B127" s="28"/>
      <c r="C127" s="66"/>
      <c r="D127" s="30"/>
      <c r="E127" s="30"/>
      <c r="F127" s="31"/>
      <c r="G127" s="27"/>
      <c r="H127" s="40"/>
      <c r="I127" s="33"/>
      <c r="J127" s="33"/>
      <c r="K127" s="33"/>
      <c r="L127" s="33"/>
      <c r="M127" s="55"/>
      <c r="N127" s="34"/>
      <c r="O127" s="35"/>
      <c r="P127" s="36"/>
      <c r="Q127" s="43"/>
      <c r="R127" s="18"/>
      <c r="S127" s="18"/>
    </row>
    <row r="128" spans="1:19" ht="21" x14ac:dyDescent="0.35">
      <c r="A128" s="108"/>
      <c r="B128" s="28"/>
      <c r="C128" s="66"/>
      <c r="D128" s="30"/>
      <c r="E128" s="30"/>
      <c r="F128" s="31"/>
      <c r="G128" s="27"/>
      <c r="H128" s="40"/>
      <c r="I128" s="33"/>
      <c r="J128" s="33"/>
      <c r="K128" s="33"/>
      <c r="L128" s="33"/>
      <c r="M128" s="55"/>
      <c r="N128" s="34"/>
      <c r="O128" s="35"/>
      <c r="P128" s="36"/>
      <c r="Q128" s="43"/>
      <c r="R128" s="18"/>
      <c r="S128" s="18"/>
    </row>
    <row r="129" spans="1:19" ht="21" x14ac:dyDescent="0.35">
      <c r="A129" s="108"/>
      <c r="B129" s="28"/>
      <c r="C129" s="66"/>
      <c r="D129" s="30"/>
      <c r="E129" s="30"/>
      <c r="F129" s="31"/>
      <c r="G129" s="27"/>
      <c r="H129" s="40"/>
      <c r="I129" s="33"/>
      <c r="J129" s="33"/>
      <c r="K129" s="33"/>
      <c r="L129" s="33"/>
      <c r="M129" s="55"/>
      <c r="N129" s="34"/>
      <c r="O129" s="35"/>
      <c r="P129" s="36"/>
      <c r="Q129" s="43"/>
      <c r="R129" s="18"/>
      <c r="S129" s="18"/>
    </row>
    <row r="130" spans="1:19" ht="21" x14ac:dyDescent="0.35">
      <c r="A130" s="108"/>
      <c r="B130" s="28"/>
      <c r="C130" s="66"/>
      <c r="D130" s="30"/>
      <c r="E130" s="30"/>
      <c r="F130" s="31"/>
      <c r="G130" s="27"/>
      <c r="H130" s="40"/>
      <c r="I130" s="33"/>
      <c r="J130" s="33"/>
      <c r="K130" s="33"/>
      <c r="L130" s="33"/>
      <c r="M130" s="55"/>
      <c r="N130" s="34"/>
      <c r="O130" s="35"/>
      <c r="P130" s="36"/>
      <c r="Q130" s="43"/>
      <c r="R130" s="18"/>
      <c r="S130" s="18"/>
    </row>
    <row r="131" spans="1:19" ht="21" x14ac:dyDescent="0.35">
      <c r="A131" s="108"/>
      <c r="B131" s="28"/>
      <c r="C131" s="66"/>
      <c r="D131" s="30"/>
      <c r="E131" s="30"/>
      <c r="F131" s="31"/>
      <c r="G131" s="27"/>
      <c r="H131" s="85"/>
      <c r="I131" s="33"/>
      <c r="J131" s="33"/>
      <c r="K131" s="33"/>
      <c r="L131" s="33"/>
      <c r="M131" s="91"/>
      <c r="N131" s="92"/>
      <c r="O131" s="35"/>
      <c r="P131" s="36"/>
      <c r="Q131" s="19"/>
      <c r="R131" s="79"/>
      <c r="S131" s="79"/>
    </row>
    <row r="132" spans="1:19" ht="21" x14ac:dyDescent="0.35">
      <c r="A132" s="108"/>
      <c r="B132" s="28"/>
      <c r="C132" s="66"/>
      <c r="D132" s="30"/>
      <c r="E132" s="30"/>
      <c r="F132" s="31"/>
      <c r="G132" s="27"/>
      <c r="H132" s="85"/>
      <c r="I132" s="33"/>
      <c r="J132" s="33"/>
      <c r="K132" s="33"/>
      <c r="L132" s="33"/>
      <c r="M132" s="91"/>
      <c r="N132" s="92"/>
      <c r="O132" s="35"/>
      <c r="P132" s="36"/>
      <c r="Q132" s="19"/>
      <c r="R132" s="79"/>
      <c r="S132" s="79"/>
    </row>
    <row r="133" spans="1:19" ht="21" x14ac:dyDescent="0.35">
      <c r="A133" s="108"/>
      <c r="B133" s="28"/>
      <c r="C133" s="66"/>
      <c r="D133" s="88"/>
      <c r="E133" s="88"/>
      <c r="F133" s="89"/>
      <c r="G133" s="70"/>
      <c r="H133" s="86"/>
      <c r="I133" s="33"/>
      <c r="J133" s="33"/>
      <c r="K133" s="33"/>
      <c r="L133" s="33"/>
      <c r="M133" s="91"/>
      <c r="N133" s="92"/>
      <c r="O133" s="35"/>
      <c r="P133" s="36"/>
      <c r="Q133" s="19"/>
      <c r="R133" s="79"/>
      <c r="S133" s="79"/>
    </row>
    <row r="134" spans="1:19" ht="19.5" x14ac:dyDescent="0.3">
      <c r="B134" s="28"/>
      <c r="C134" s="46"/>
      <c r="D134" s="47"/>
      <c r="E134" s="47"/>
      <c r="F134" s="47"/>
      <c r="G134" s="45"/>
      <c r="H134" s="47"/>
      <c r="I134" s="47"/>
      <c r="J134" s="47"/>
      <c r="K134" s="47"/>
      <c r="L134" s="47"/>
      <c r="M134" s="48"/>
      <c r="N134" s="41"/>
      <c r="O134" s="47"/>
      <c r="P134" s="47"/>
      <c r="Q134" s="53"/>
      <c r="R134" s="37"/>
      <c r="S134" s="22"/>
    </row>
    <row r="135" spans="1:19" ht="19.5" x14ac:dyDescent="0.3">
      <c r="B135" s="28"/>
      <c r="C135" s="38"/>
      <c r="D135" s="30"/>
      <c r="E135" s="30"/>
      <c r="F135" s="31"/>
      <c r="G135" s="27"/>
      <c r="H135" s="32"/>
      <c r="I135" s="50"/>
      <c r="J135" s="50"/>
      <c r="K135" s="50"/>
      <c r="L135" s="50"/>
      <c r="M135" s="29"/>
      <c r="N135" s="41"/>
      <c r="O135" s="41"/>
      <c r="P135" s="36"/>
      <c r="Q135" s="53"/>
      <c r="R135" s="37"/>
      <c r="S135" s="22"/>
    </row>
    <row r="136" spans="1:19" ht="19.5" x14ac:dyDescent="0.3">
      <c r="B136" s="28"/>
      <c r="C136" s="39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41"/>
      <c r="O136" s="51"/>
      <c r="P136" s="51"/>
      <c r="Q136" s="53"/>
      <c r="R136" s="37"/>
      <c r="S136" s="22"/>
    </row>
    <row r="137" spans="1:19" ht="21" x14ac:dyDescent="0.35">
      <c r="B137" s="16"/>
      <c r="C137" s="15"/>
      <c r="D137" s="8"/>
      <c r="E137" s="8"/>
      <c r="F137" s="9"/>
      <c r="G137" s="7"/>
      <c r="H137" s="17"/>
      <c r="I137" s="10"/>
      <c r="J137" s="10"/>
      <c r="K137" s="10"/>
      <c r="L137" s="10"/>
      <c r="M137" s="14"/>
      <c r="N137" s="11"/>
      <c r="O137" s="12"/>
      <c r="P137" s="13"/>
      <c r="Q137" s="16"/>
      <c r="R137" s="18"/>
      <c r="S137" s="18"/>
    </row>
    <row r="139" spans="1:19" ht="18.75" x14ac:dyDescent="0.3">
      <c r="H139" s="20"/>
      <c r="I139" s="6"/>
    </row>
    <row r="140" spans="1:19" ht="21" x14ac:dyDescent="0.35">
      <c r="B140" s="90"/>
      <c r="J140" s="6"/>
    </row>
    <row r="141" spans="1:19" ht="19.5" x14ac:dyDescent="0.3">
      <c r="B141" s="28"/>
      <c r="C141" s="66"/>
      <c r="D141" s="30"/>
      <c r="E141" s="30"/>
      <c r="F141" s="31"/>
      <c r="G141" s="87"/>
      <c r="H141" s="31"/>
      <c r="I141" s="33"/>
      <c r="J141" s="33"/>
      <c r="K141" s="33"/>
      <c r="L141" s="33"/>
      <c r="M141" s="29"/>
      <c r="N141" s="34"/>
      <c r="O141" s="35"/>
      <c r="P141" s="36"/>
      <c r="Q141" s="118"/>
      <c r="R141" s="81"/>
      <c r="S141" s="81"/>
    </row>
    <row r="142" spans="1:19" ht="19.5" x14ac:dyDescent="0.3">
      <c r="B142" s="28"/>
      <c r="C142" s="38"/>
      <c r="D142" s="30"/>
      <c r="E142" s="30"/>
      <c r="F142" s="31"/>
      <c r="G142" s="27"/>
      <c r="H142" s="40"/>
      <c r="I142" s="33"/>
      <c r="J142" s="33"/>
      <c r="K142" s="33"/>
      <c r="L142" s="33"/>
      <c r="M142" s="29"/>
      <c r="N142" s="34"/>
      <c r="O142" s="35"/>
      <c r="P142" s="36"/>
      <c r="Q142" s="119"/>
      <c r="R142" s="37"/>
      <c r="S142" s="22"/>
    </row>
    <row r="143" spans="1:19" ht="19.5" x14ac:dyDescent="0.3">
      <c r="B143" s="28"/>
      <c r="C143" s="66"/>
      <c r="D143" s="30"/>
      <c r="E143" s="30"/>
      <c r="F143" s="31"/>
      <c r="G143" s="27"/>
      <c r="H143" s="54"/>
      <c r="I143" s="33"/>
      <c r="J143" s="33"/>
      <c r="K143" s="33"/>
      <c r="L143" s="33"/>
      <c r="M143" s="29"/>
      <c r="N143" s="34"/>
      <c r="O143" s="35"/>
      <c r="P143" s="36"/>
      <c r="Q143" s="43"/>
      <c r="R143" s="67"/>
      <c r="S143" s="67"/>
    </row>
    <row r="144" spans="1:19" ht="19.5" x14ac:dyDescent="0.3">
      <c r="B144" s="28"/>
      <c r="C144" s="94"/>
      <c r="D144" s="30"/>
      <c r="E144" s="30"/>
      <c r="F144" s="31"/>
      <c r="G144" s="27"/>
      <c r="H144" s="72"/>
      <c r="I144" s="33"/>
      <c r="J144" s="33"/>
      <c r="K144" s="33"/>
      <c r="L144" s="33"/>
      <c r="M144" s="3"/>
      <c r="N144" s="3"/>
      <c r="O144" s="5"/>
      <c r="P144" s="5"/>
      <c r="Q144" s="43"/>
      <c r="R144" s="68"/>
      <c r="S144" s="69"/>
    </row>
    <row r="145" spans="2:19" ht="19.5" x14ac:dyDescent="0.3">
      <c r="B145" s="28"/>
      <c r="C145" s="38"/>
      <c r="D145" s="30"/>
      <c r="E145" s="30"/>
      <c r="F145" s="31"/>
      <c r="G145" s="27"/>
      <c r="H145" s="32"/>
      <c r="I145" s="33"/>
      <c r="J145" s="33"/>
      <c r="K145" s="33"/>
      <c r="L145" s="33"/>
      <c r="M145" s="29"/>
      <c r="N145" s="34"/>
      <c r="O145" s="35"/>
      <c r="P145" s="36"/>
      <c r="Q145" s="43"/>
      <c r="R145" s="62"/>
      <c r="S145" s="42"/>
    </row>
    <row r="146" spans="2:19" ht="19.5" x14ac:dyDescent="0.3">
      <c r="B146" s="28"/>
      <c r="C146" s="38"/>
      <c r="D146" s="32"/>
      <c r="E146" s="32"/>
      <c r="F146" s="31"/>
      <c r="G146" s="27"/>
      <c r="H146" s="32"/>
      <c r="I146" s="33"/>
      <c r="J146" s="33"/>
      <c r="K146" s="33"/>
      <c r="L146" s="33"/>
      <c r="M146" s="29"/>
      <c r="N146" s="34"/>
      <c r="O146" s="35"/>
      <c r="P146" s="36"/>
      <c r="Q146" s="53"/>
      <c r="R146" s="37"/>
      <c r="S146" s="22"/>
    </row>
    <row r="147" spans="2:19" ht="19.5" x14ac:dyDescent="0.3">
      <c r="B147" s="28"/>
      <c r="C147" s="38"/>
      <c r="D147" s="30"/>
      <c r="E147" s="30"/>
      <c r="F147" s="31"/>
      <c r="G147" s="27"/>
      <c r="H147" s="32"/>
      <c r="I147" s="33"/>
      <c r="J147" s="33"/>
      <c r="K147" s="33"/>
      <c r="L147" s="33"/>
      <c r="M147" s="29"/>
      <c r="N147" s="34"/>
      <c r="O147" s="35"/>
      <c r="P147" s="36"/>
      <c r="Q147" s="53"/>
      <c r="R147" s="37"/>
      <c r="S147" s="22"/>
    </row>
    <row r="148" spans="2:19" ht="19.5" x14ac:dyDescent="0.3">
      <c r="B148" s="28"/>
      <c r="C148" s="38"/>
      <c r="D148" s="30"/>
      <c r="E148" s="30"/>
      <c r="F148" s="31"/>
      <c r="G148" s="27"/>
      <c r="H148" s="32"/>
      <c r="I148" s="33"/>
      <c r="J148" s="33"/>
      <c r="K148" s="33"/>
      <c r="L148" s="33"/>
      <c r="M148" s="29"/>
      <c r="N148" s="34"/>
      <c r="O148" s="35"/>
      <c r="P148" s="36"/>
      <c r="Q148" s="53"/>
      <c r="R148" s="37"/>
      <c r="S148" s="22"/>
    </row>
    <row r="149" spans="2:19" ht="19.5" x14ac:dyDescent="0.3">
      <c r="B149" s="28"/>
      <c r="C149" s="38"/>
      <c r="D149" s="30"/>
      <c r="E149" s="30"/>
      <c r="F149" s="31"/>
      <c r="G149" s="27"/>
      <c r="H149" s="32"/>
      <c r="I149" s="33"/>
      <c r="J149" s="33"/>
      <c r="K149" s="33"/>
      <c r="L149" s="33"/>
      <c r="M149" s="29"/>
      <c r="N149" s="34"/>
      <c r="O149" s="35"/>
      <c r="P149" s="36"/>
      <c r="Q149" s="53"/>
      <c r="R149" s="37"/>
      <c r="S149" s="22"/>
    </row>
    <row r="150" spans="2:19" ht="19.5" x14ac:dyDescent="0.3">
      <c r="B150" s="28"/>
      <c r="C150" s="38"/>
      <c r="D150" s="30"/>
      <c r="E150" s="30"/>
      <c r="F150" s="31"/>
      <c r="G150" s="27"/>
      <c r="H150" s="32"/>
      <c r="I150" s="33"/>
      <c r="J150" s="33"/>
      <c r="K150" s="33"/>
      <c r="L150" s="33"/>
      <c r="M150" s="29"/>
      <c r="N150" s="34"/>
      <c r="O150" s="35"/>
      <c r="P150" s="36"/>
      <c r="Q150" s="53"/>
      <c r="R150" s="37"/>
      <c r="S150" s="22"/>
    </row>
    <row r="151" spans="2:19" ht="19.5" x14ac:dyDescent="0.3">
      <c r="B151" s="28"/>
      <c r="C151" s="38"/>
      <c r="D151" s="32"/>
      <c r="E151" s="32"/>
      <c r="F151" s="31"/>
      <c r="G151" s="27"/>
      <c r="H151" s="32"/>
      <c r="I151" s="33"/>
      <c r="J151" s="33"/>
      <c r="K151" s="33"/>
      <c r="L151" s="33"/>
      <c r="M151" s="29"/>
      <c r="N151" s="34"/>
      <c r="O151" s="35"/>
      <c r="P151" s="36"/>
      <c r="Q151" s="53"/>
      <c r="R151" s="37"/>
      <c r="S151" s="22"/>
    </row>
    <row r="152" spans="2:19" ht="19.5" x14ac:dyDescent="0.3">
      <c r="B152" s="28"/>
      <c r="C152" s="38"/>
      <c r="D152" s="32"/>
      <c r="E152" s="32"/>
      <c r="F152" s="31"/>
      <c r="G152" s="27"/>
      <c r="H152" s="32"/>
      <c r="I152" s="33"/>
      <c r="J152" s="33"/>
      <c r="K152" s="33"/>
      <c r="L152" s="33"/>
      <c r="M152" s="29"/>
      <c r="N152" s="34"/>
      <c r="O152" s="35"/>
      <c r="P152" s="36"/>
      <c r="Q152" s="53"/>
      <c r="R152" s="37"/>
      <c r="S152" s="22"/>
    </row>
    <row r="153" spans="2:19" ht="19.5" x14ac:dyDescent="0.3">
      <c r="B153" s="28"/>
      <c r="C153" s="38"/>
      <c r="D153" s="30"/>
      <c r="E153" s="30"/>
      <c r="F153" s="31"/>
      <c r="G153" s="27"/>
      <c r="H153" s="32"/>
      <c r="I153" s="33"/>
      <c r="J153" s="33"/>
      <c r="K153" s="33"/>
      <c r="L153" s="33"/>
      <c r="M153" s="29"/>
      <c r="N153" s="34"/>
      <c r="O153" s="35"/>
      <c r="P153" s="36"/>
      <c r="Q153" s="53"/>
      <c r="R153" s="37"/>
      <c r="S153" s="22"/>
    </row>
    <row r="154" spans="2:19" ht="19.5" x14ac:dyDescent="0.3">
      <c r="B154" s="28"/>
      <c r="C154" s="38"/>
      <c r="D154" s="32"/>
      <c r="E154" s="32"/>
      <c r="F154" s="31"/>
      <c r="G154" s="27"/>
      <c r="H154" s="32"/>
      <c r="I154" s="33"/>
      <c r="J154" s="33"/>
      <c r="K154" s="33"/>
      <c r="L154" s="33"/>
      <c r="M154" s="29"/>
      <c r="N154" s="34"/>
      <c r="O154" s="35"/>
      <c r="P154" s="36"/>
      <c r="Q154" s="53"/>
      <c r="R154" s="37"/>
      <c r="S154" s="22"/>
    </row>
    <row r="155" spans="2:19" ht="19.5" x14ac:dyDescent="0.3">
      <c r="B155" s="28"/>
      <c r="C155" s="38"/>
      <c r="D155" s="30"/>
      <c r="E155" s="30"/>
      <c r="F155" s="31"/>
      <c r="G155" s="27"/>
      <c r="H155" s="32"/>
      <c r="I155" s="33"/>
      <c r="J155" s="33"/>
      <c r="K155" s="33"/>
      <c r="L155" s="33"/>
      <c r="M155" s="29"/>
      <c r="N155" s="34"/>
      <c r="O155" s="35"/>
      <c r="P155" s="36"/>
      <c r="Q155" s="53"/>
      <c r="R155" s="62"/>
      <c r="S155" s="42"/>
    </row>
    <row r="156" spans="2:19" ht="19.5" x14ac:dyDescent="0.3">
      <c r="B156" s="28"/>
      <c r="C156" s="38"/>
      <c r="D156" s="30"/>
      <c r="E156" s="30"/>
      <c r="F156" s="31"/>
      <c r="G156" s="27"/>
      <c r="H156" s="32"/>
      <c r="I156" s="33"/>
      <c r="J156" s="33"/>
      <c r="K156" s="33"/>
      <c r="L156" s="33"/>
      <c r="M156" s="29"/>
      <c r="N156" s="34"/>
      <c r="O156" s="35"/>
      <c r="P156" s="36"/>
      <c r="Q156" s="53"/>
      <c r="R156" s="37"/>
      <c r="S156" s="22"/>
    </row>
    <row r="157" spans="2:19" ht="19.5" x14ac:dyDescent="0.3">
      <c r="B157" s="28"/>
      <c r="C157" s="38"/>
      <c r="D157" s="32"/>
      <c r="E157" s="32"/>
      <c r="F157" s="31"/>
      <c r="G157" s="27"/>
      <c r="H157" s="32"/>
      <c r="I157" s="33"/>
      <c r="J157" s="33"/>
      <c r="K157" s="33"/>
      <c r="L157" s="33"/>
      <c r="M157" s="29"/>
      <c r="N157" s="34"/>
      <c r="O157" s="35"/>
      <c r="P157" s="36"/>
      <c r="Q157" s="53"/>
      <c r="R157" s="62"/>
      <c r="S157" s="42"/>
    </row>
    <row r="158" spans="2:19" ht="19.5" x14ac:dyDescent="0.3">
      <c r="B158" s="28"/>
      <c r="C158" s="66"/>
      <c r="D158" s="30"/>
      <c r="E158" s="30"/>
      <c r="F158" s="31"/>
      <c r="G158" s="87"/>
      <c r="H158" s="31"/>
      <c r="I158" s="33"/>
      <c r="J158" s="33"/>
      <c r="K158" s="33"/>
      <c r="L158" s="33"/>
      <c r="M158" s="29"/>
      <c r="N158" s="34"/>
      <c r="O158" s="35"/>
      <c r="P158" s="36"/>
      <c r="Q158" s="101"/>
      <c r="R158" s="81"/>
      <c r="S158" s="81"/>
    </row>
    <row r="159" spans="2:19" x14ac:dyDescent="0.25">
      <c r="D159" s="112"/>
      <c r="E159" s="95"/>
    </row>
    <row r="160" spans="2:19" x14ac:dyDescent="0.25">
      <c r="D160" s="112"/>
      <c r="E160" s="95"/>
    </row>
    <row r="161" spans="2:5" x14ac:dyDescent="0.25">
      <c r="B161" s="95"/>
      <c r="D161" s="112"/>
      <c r="E161" s="95"/>
    </row>
    <row r="162" spans="2:5" x14ac:dyDescent="0.25">
      <c r="D162" s="112"/>
      <c r="E162" s="95"/>
    </row>
    <row r="163" spans="2:5" x14ac:dyDescent="0.25">
      <c r="B163" s="95"/>
      <c r="D163" s="112"/>
      <c r="E163" s="95"/>
    </row>
    <row r="164" spans="2:5" x14ac:dyDescent="0.25">
      <c r="D164" s="112"/>
      <c r="E164" s="95"/>
    </row>
    <row r="165" spans="2:5" x14ac:dyDescent="0.25">
      <c r="D165" s="112"/>
      <c r="E165" s="95"/>
    </row>
    <row r="166" spans="2:5" x14ac:dyDescent="0.25">
      <c r="D166" s="112"/>
      <c r="E166" s="95"/>
    </row>
    <row r="167" spans="2:5" x14ac:dyDescent="0.25">
      <c r="B167" s="95"/>
      <c r="D167" s="112"/>
      <c r="E167" s="95"/>
    </row>
    <row r="168" spans="2:5" x14ac:dyDescent="0.25">
      <c r="D168" s="112"/>
      <c r="E168" s="95"/>
    </row>
    <row r="169" spans="2:5" x14ac:dyDescent="0.25">
      <c r="D169" s="112"/>
      <c r="E169" s="95"/>
    </row>
    <row r="170" spans="2:5" x14ac:dyDescent="0.25">
      <c r="D170" s="112"/>
      <c r="E170" s="95"/>
    </row>
    <row r="171" spans="2:5" x14ac:dyDescent="0.25">
      <c r="B171" s="95"/>
      <c r="D171" s="112"/>
      <c r="E171" s="95"/>
    </row>
    <row r="172" spans="2:5" x14ac:dyDescent="0.25">
      <c r="D172" s="112"/>
      <c r="E172" s="95"/>
    </row>
    <row r="173" spans="2:5" x14ac:dyDescent="0.25">
      <c r="D173" s="112"/>
      <c r="E173" s="95"/>
    </row>
    <row r="174" spans="2:5" x14ac:dyDescent="0.25">
      <c r="D174" s="112"/>
      <c r="E174" s="95"/>
    </row>
    <row r="175" spans="2:5" x14ac:dyDescent="0.25">
      <c r="D175" s="112"/>
      <c r="E175" s="95"/>
    </row>
    <row r="176" spans="2:5" x14ac:dyDescent="0.25">
      <c r="D176" s="112"/>
      <c r="E176" s="95"/>
    </row>
    <row r="177" spans="2:5" x14ac:dyDescent="0.25">
      <c r="D177" s="112"/>
      <c r="E177" s="95"/>
    </row>
    <row r="178" spans="2:5" x14ac:dyDescent="0.25">
      <c r="B178" s="95"/>
      <c r="D178" s="112"/>
      <c r="E178" s="95"/>
    </row>
    <row r="179" spans="2:5" x14ac:dyDescent="0.25">
      <c r="D179" s="112"/>
      <c r="E179" s="95"/>
    </row>
    <row r="180" spans="2:5" x14ac:dyDescent="0.25">
      <c r="D180" s="112"/>
      <c r="E180" s="95"/>
    </row>
    <row r="181" spans="2:5" x14ac:dyDescent="0.25">
      <c r="B181" s="95"/>
      <c r="D181" s="112"/>
      <c r="E181" s="95"/>
    </row>
    <row r="182" spans="2:5" x14ac:dyDescent="0.25">
      <c r="D182" s="112"/>
      <c r="E182" s="95"/>
    </row>
    <row r="183" spans="2:5" x14ac:dyDescent="0.25">
      <c r="D183" s="112"/>
      <c r="E183" s="95"/>
    </row>
    <row r="184" spans="2:5" x14ac:dyDescent="0.25">
      <c r="D184" s="112"/>
      <c r="E184" s="95"/>
    </row>
    <row r="185" spans="2:5" x14ac:dyDescent="0.25">
      <c r="B185" s="95"/>
      <c r="D185" s="112"/>
      <c r="E185" s="95"/>
    </row>
    <row r="186" spans="2:5" x14ac:dyDescent="0.25">
      <c r="D186" s="112"/>
      <c r="E186" s="95"/>
    </row>
    <row r="187" spans="2:5" x14ac:dyDescent="0.25">
      <c r="D187" s="112"/>
      <c r="E187" s="95"/>
    </row>
    <row r="188" spans="2:5" x14ac:dyDescent="0.25">
      <c r="D188" s="112"/>
      <c r="E188" s="95"/>
    </row>
    <row r="189" spans="2:5" x14ac:dyDescent="0.25">
      <c r="B189" s="95"/>
      <c r="D189" s="112"/>
      <c r="E189" s="95"/>
    </row>
    <row r="190" spans="2:5" x14ac:dyDescent="0.25">
      <c r="D190" s="112"/>
      <c r="E190" s="95"/>
    </row>
    <row r="191" spans="2:5" x14ac:dyDescent="0.25">
      <c r="D191" s="112"/>
      <c r="E191" s="95"/>
    </row>
    <row r="192" spans="2:5" x14ac:dyDescent="0.25">
      <c r="D192" s="112"/>
      <c r="E192" s="95"/>
    </row>
    <row r="193" spans="2:5" x14ac:dyDescent="0.25">
      <c r="B193" s="95"/>
      <c r="D193" s="112"/>
      <c r="E193" s="95"/>
    </row>
    <row r="194" spans="2:5" x14ac:dyDescent="0.25">
      <c r="D194" s="112"/>
      <c r="E194" s="95"/>
    </row>
    <row r="195" spans="2:5" x14ac:dyDescent="0.25">
      <c r="D195" s="112"/>
      <c r="E195" s="95"/>
    </row>
    <row r="196" spans="2:5" x14ac:dyDescent="0.25">
      <c r="B196" s="95"/>
      <c r="D196" s="112"/>
      <c r="E196" s="95"/>
    </row>
    <row r="197" spans="2:5" x14ac:dyDescent="0.25">
      <c r="D197" s="112"/>
      <c r="E197" s="95"/>
    </row>
    <row r="198" spans="2:5" x14ac:dyDescent="0.25">
      <c r="D198" s="112"/>
      <c r="E198" s="95"/>
    </row>
    <row r="199" spans="2:5" x14ac:dyDescent="0.25">
      <c r="D199" s="112"/>
      <c r="E199" s="95"/>
    </row>
    <row r="200" spans="2:5" x14ac:dyDescent="0.25">
      <c r="B200" s="95"/>
      <c r="D200" s="112"/>
      <c r="E200" s="95"/>
    </row>
    <row r="201" spans="2:5" x14ac:dyDescent="0.25">
      <c r="D201" s="112"/>
      <c r="E201" s="95"/>
    </row>
    <row r="202" spans="2:5" x14ac:dyDescent="0.25">
      <c r="D202" s="112"/>
      <c r="E202" s="95"/>
    </row>
    <row r="203" spans="2:5" x14ac:dyDescent="0.25">
      <c r="D203" s="112"/>
      <c r="E203" s="95"/>
    </row>
    <row r="204" spans="2:5" x14ac:dyDescent="0.25">
      <c r="D204" s="112"/>
      <c r="E204" s="95"/>
    </row>
    <row r="205" spans="2:5" x14ac:dyDescent="0.25">
      <c r="B205" s="95"/>
      <c r="D205" s="112"/>
      <c r="E205" s="95"/>
    </row>
    <row r="206" spans="2:5" x14ac:dyDescent="0.25">
      <c r="D206" s="112"/>
      <c r="E206" s="95"/>
    </row>
    <row r="207" spans="2:5" x14ac:dyDescent="0.25">
      <c r="D207" s="112"/>
      <c r="E207" s="95"/>
    </row>
    <row r="208" spans="2:5" x14ac:dyDescent="0.25">
      <c r="D208" s="112"/>
      <c r="E208" s="95"/>
    </row>
    <row r="209" spans="2:5" x14ac:dyDescent="0.25">
      <c r="D209" s="112"/>
      <c r="E209" s="95"/>
    </row>
    <row r="210" spans="2:5" x14ac:dyDescent="0.25">
      <c r="D210" s="112"/>
      <c r="E210" s="95"/>
    </row>
    <row r="211" spans="2:5" x14ac:dyDescent="0.25">
      <c r="B211" s="95"/>
      <c r="D211" s="112"/>
      <c r="E211" s="95"/>
    </row>
    <row r="212" spans="2:5" x14ac:dyDescent="0.25">
      <c r="D212" s="112"/>
      <c r="E212" s="95"/>
    </row>
    <row r="213" spans="2:5" x14ac:dyDescent="0.25">
      <c r="D213" s="112"/>
      <c r="E213" s="95"/>
    </row>
    <row r="214" spans="2:5" x14ac:dyDescent="0.25">
      <c r="D214" s="112"/>
      <c r="E214" s="95"/>
    </row>
    <row r="215" spans="2:5" x14ac:dyDescent="0.25">
      <c r="B215" s="95"/>
      <c r="D215" s="112"/>
      <c r="E215" s="95"/>
    </row>
    <row r="216" spans="2:5" x14ac:dyDescent="0.25">
      <c r="D216" s="112"/>
      <c r="E216" s="95"/>
    </row>
    <row r="217" spans="2:5" x14ac:dyDescent="0.25">
      <c r="D217" s="112"/>
      <c r="E217" s="95"/>
    </row>
    <row r="218" spans="2:5" x14ac:dyDescent="0.25">
      <c r="D218" s="112"/>
      <c r="E218" s="95"/>
    </row>
    <row r="219" spans="2:5" x14ac:dyDescent="0.25">
      <c r="B219" s="95"/>
      <c r="D219" s="112"/>
      <c r="E219" s="95"/>
    </row>
    <row r="220" spans="2:5" x14ac:dyDescent="0.25">
      <c r="D220" s="112"/>
      <c r="E220" s="95"/>
    </row>
    <row r="221" spans="2:5" x14ac:dyDescent="0.25">
      <c r="D221" s="112"/>
      <c r="E221" s="95"/>
    </row>
    <row r="222" spans="2:5" x14ac:dyDescent="0.25">
      <c r="D222" s="112"/>
      <c r="E222" s="95"/>
    </row>
    <row r="223" spans="2:5" x14ac:dyDescent="0.25">
      <c r="D223" s="112"/>
      <c r="E223" s="95"/>
    </row>
    <row r="224" spans="2:5" x14ac:dyDescent="0.25">
      <c r="D224" s="112"/>
      <c r="E224" s="95"/>
    </row>
    <row r="225" spans="2:5" x14ac:dyDescent="0.25">
      <c r="D225" s="112"/>
      <c r="E225" s="95"/>
    </row>
    <row r="226" spans="2:5" x14ac:dyDescent="0.25">
      <c r="B226" s="95"/>
      <c r="D226" s="112"/>
      <c r="E226" s="95"/>
    </row>
    <row r="227" spans="2:5" x14ac:dyDescent="0.25">
      <c r="D227" s="112"/>
      <c r="E227" s="95"/>
    </row>
    <row r="228" spans="2:5" x14ac:dyDescent="0.25">
      <c r="D228" s="112"/>
      <c r="E228" s="95"/>
    </row>
    <row r="229" spans="2:5" x14ac:dyDescent="0.25">
      <c r="D229" s="112"/>
      <c r="E229" s="95"/>
    </row>
    <row r="230" spans="2:5" x14ac:dyDescent="0.25">
      <c r="B230" s="95"/>
      <c r="D230" s="112"/>
      <c r="E230" s="95"/>
    </row>
    <row r="231" spans="2:5" x14ac:dyDescent="0.25">
      <c r="D231" s="112"/>
      <c r="E231" s="95"/>
    </row>
    <row r="232" spans="2:5" x14ac:dyDescent="0.25">
      <c r="D232" s="112"/>
      <c r="E232" s="95"/>
    </row>
    <row r="233" spans="2:5" x14ac:dyDescent="0.25">
      <c r="D233" s="112"/>
      <c r="E233" s="95"/>
    </row>
    <row r="234" spans="2:5" x14ac:dyDescent="0.25">
      <c r="B234" s="95"/>
      <c r="D234" s="112"/>
      <c r="E234" s="95"/>
    </row>
    <row r="235" spans="2:5" x14ac:dyDescent="0.25">
      <c r="D235" s="112"/>
      <c r="E235" s="95"/>
    </row>
    <row r="236" spans="2:5" x14ac:dyDescent="0.25">
      <c r="D236" s="112"/>
      <c r="E236" s="95"/>
    </row>
    <row r="237" spans="2:5" x14ac:dyDescent="0.25">
      <c r="D237" s="112"/>
      <c r="E237" s="95"/>
    </row>
    <row r="238" spans="2:5" x14ac:dyDescent="0.25">
      <c r="D238" s="112"/>
      <c r="E238" s="95"/>
    </row>
    <row r="239" spans="2:5" x14ac:dyDescent="0.25">
      <c r="B239" s="95"/>
      <c r="D239" s="112"/>
      <c r="E239" s="95"/>
    </row>
    <row r="240" spans="2:5" x14ac:dyDescent="0.25">
      <c r="D240" s="112"/>
      <c r="E240" s="95"/>
    </row>
    <row r="241" spans="2:5" x14ac:dyDescent="0.25">
      <c r="D241" s="112"/>
      <c r="E241" s="95"/>
    </row>
    <row r="242" spans="2:5" x14ac:dyDescent="0.25">
      <c r="D242" s="112"/>
      <c r="E242" s="95"/>
    </row>
    <row r="243" spans="2:5" x14ac:dyDescent="0.25">
      <c r="D243" s="112"/>
      <c r="E243" s="95"/>
    </row>
    <row r="244" spans="2:5" x14ac:dyDescent="0.25">
      <c r="D244" s="112"/>
      <c r="E244" s="95"/>
    </row>
    <row r="245" spans="2:5" x14ac:dyDescent="0.25">
      <c r="B245" s="95"/>
      <c r="D245" s="112"/>
      <c r="E245" s="95"/>
    </row>
    <row r="246" spans="2:5" x14ac:dyDescent="0.25">
      <c r="D246" s="112"/>
      <c r="E246" s="95"/>
    </row>
    <row r="247" spans="2:5" x14ac:dyDescent="0.25">
      <c r="D247" s="112"/>
      <c r="E247" s="95"/>
    </row>
    <row r="248" spans="2:5" x14ac:dyDescent="0.25">
      <c r="B248" s="95"/>
      <c r="D248" s="112"/>
      <c r="E248" s="95"/>
    </row>
    <row r="249" spans="2:5" x14ac:dyDescent="0.25">
      <c r="D249" s="112"/>
      <c r="E249" s="95"/>
    </row>
    <row r="250" spans="2:5" x14ac:dyDescent="0.25">
      <c r="D250" s="112"/>
      <c r="E250" s="95"/>
    </row>
    <row r="251" spans="2:5" x14ac:dyDescent="0.25">
      <c r="B251" s="95"/>
      <c r="D251" s="112"/>
      <c r="E251" s="95"/>
    </row>
    <row r="252" spans="2:5" x14ac:dyDescent="0.25">
      <c r="B252" s="95"/>
      <c r="D252" s="112"/>
      <c r="E252" s="95"/>
    </row>
    <row r="253" spans="2:5" x14ac:dyDescent="0.25">
      <c r="D253" s="112"/>
      <c r="E253" s="95"/>
    </row>
    <row r="254" spans="2:5" x14ac:dyDescent="0.25">
      <c r="D254" s="112"/>
      <c r="E254" s="95"/>
    </row>
    <row r="255" spans="2:5" x14ac:dyDescent="0.25">
      <c r="D255" s="112"/>
      <c r="E255" s="95"/>
    </row>
    <row r="256" spans="2:5" x14ac:dyDescent="0.25">
      <c r="B256" s="95"/>
      <c r="D256" s="112"/>
      <c r="E256" s="95"/>
    </row>
    <row r="257" spans="2:5" x14ac:dyDescent="0.25">
      <c r="D257" s="112"/>
      <c r="E257" s="95"/>
    </row>
    <row r="258" spans="2:5" x14ac:dyDescent="0.25">
      <c r="D258" s="112"/>
      <c r="E258" s="95"/>
    </row>
    <row r="259" spans="2:5" x14ac:dyDescent="0.25">
      <c r="D259" s="112"/>
      <c r="E259" s="95"/>
    </row>
    <row r="260" spans="2:5" x14ac:dyDescent="0.25">
      <c r="B260" s="95"/>
      <c r="D260" s="112"/>
      <c r="E260" s="95"/>
    </row>
    <row r="261" spans="2:5" x14ac:dyDescent="0.25">
      <c r="D261" s="112"/>
      <c r="E261" s="95"/>
    </row>
    <row r="262" spans="2:5" x14ac:dyDescent="0.25">
      <c r="D262" s="112"/>
      <c r="E262" s="95"/>
    </row>
    <row r="263" spans="2:5" x14ac:dyDescent="0.25">
      <c r="D263" s="112"/>
      <c r="E263" s="95"/>
    </row>
    <row r="264" spans="2:5" x14ac:dyDescent="0.25">
      <c r="D264" s="112"/>
      <c r="E264" s="95"/>
    </row>
    <row r="265" spans="2:5" x14ac:dyDescent="0.25">
      <c r="B265" s="95"/>
      <c r="D265" s="112"/>
      <c r="E265" s="95"/>
    </row>
    <row r="266" spans="2:5" x14ac:dyDescent="0.25">
      <c r="D266" s="112"/>
      <c r="E266" s="95"/>
    </row>
    <row r="267" spans="2:5" x14ac:dyDescent="0.25">
      <c r="D267" s="112"/>
      <c r="E267" s="95"/>
    </row>
    <row r="268" spans="2:5" x14ac:dyDescent="0.25">
      <c r="B268" s="95"/>
      <c r="D268" s="112"/>
      <c r="E268" s="95"/>
    </row>
    <row r="269" spans="2:5" x14ac:dyDescent="0.25">
      <c r="D269" s="112"/>
      <c r="E269" s="95"/>
    </row>
    <row r="270" spans="2:5" x14ac:dyDescent="0.25">
      <c r="B270" s="95"/>
      <c r="D270" s="112"/>
      <c r="E270" s="95"/>
    </row>
    <row r="271" spans="2:5" x14ac:dyDescent="0.25">
      <c r="D271" s="112"/>
      <c r="E271" s="95"/>
    </row>
    <row r="272" spans="2:5" x14ac:dyDescent="0.25">
      <c r="B272" s="95"/>
      <c r="D272" s="112"/>
      <c r="E272" s="95"/>
    </row>
    <row r="273" spans="2:5" x14ac:dyDescent="0.25">
      <c r="D273" s="112"/>
      <c r="E273" s="95"/>
    </row>
    <row r="274" spans="2:5" x14ac:dyDescent="0.25">
      <c r="B274" s="95"/>
      <c r="D274" s="112"/>
      <c r="E274" s="95"/>
    </row>
    <row r="275" spans="2:5" x14ac:dyDescent="0.25">
      <c r="D275" s="112"/>
      <c r="E275" s="95"/>
    </row>
    <row r="276" spans="2:5" x14ac:dyDescent="0.25">
      <c r="D276" s="112"/>
      <c r="E276" s="95"/>
    </row>
    <row r="277" spans="2:5" x14ac:dyDescent="0.25">
      <c r="D277" s="112"/>
      <c r="E277" s="95"/>
    </row>
    <row r="278" spans="2:5" x14ac:dyDescent="0.25">
      <c r="B278" s="95"/>
      <c r="D278" s="112"/>
      <c r="E278" s="95"/>
    </row>
    <row r="279" spans="2:5" x14ac:dyDescent="0.25">
      <c r="D279" s="112"/>
      <c r="E279" s="95"/>
    </row>
    <row r="280" spans="2:5" x14ac:dyDescent="0.25">
      <c r="D280" s="112"/>
      <c r="E280" s="95"/>
    </row>
    <row r="281" spans="2:5" x14ac:dyDescent="0.25">
      <c r="D281" s="112"/>
      <c r="E281" s="95"/>
    </row>
    <row r="282" spans="2:5" x14ac:dyDescent="0.25">
      <c r="B282" s="95"/>
      <c r="D282" s="112"/>
      <c r="E282" s="95"/>
    </row>
    <row r="283" spans="2:5" x14ac:dyDescent="0.25">
      <c r="D283" s="112"/>
      <c r="E283" s="95"/>
    </row>
    <row r="284" spans="2:5" x14ac:dyDescent="0.25">
      <c r="D284" s="112"/>
      <c r="E284" s="95"/>
    </row>
    <row r="285" spans="2:5" x14ac:dyDescent="0.25">
      <c r="D285" s="112"/>
      <c r="E285" s="95"/>
    </row>
    <row r="286" spans="2:5" x14ac:dyDescent="0.25">
      <c r="D286" s="112"/>
      <c r="E286" s="95"/>
    </row>
    <row r="287" spans="2:5" x14ac:dyDescent="0.25">
      <c r="D287" s="112"/>
      <c r="E287" s="95"/>
    </row>
    <row r="288" spans="2:5" x14ac:dyDescent="0.25">
      <c r="B288" s="95"/>
      <c r="D288" s="112"/>
      <c r="E288" s="95"/>
    </row>
    <row r="289" spans="2:5" x14ac:dyDescent="0.25">
      <c r="D289" s="112"/>
      <c r="E289" s="95"/>
    </row>
    <row r="290" spans="2:5" x14ac:dyDescent="0.25">
      <c r="D290" s="112"/>
      <c r="E290" s="95"/>
    </row>
    <row r="291" spans="2:5" x14ac:dyDescent="0.25">
      <c r="D291" s="112"/>
      <c r="E291" s="95"/>
    </row>
    <row r="292" spans="2:5" x14ac:dyDescent="0.25">
      <c r="B292" s="95"/>
      <c r="D292" s="112"/>
      <c r="E292" s="95"/>
    </row>
    <row r="293" spans="2:5" x14ac:dyDescent="0.25">
      <c r="D293" s="112"/>
      <c r="E293" s="95"/>
    </row>
    <row r="294" spans="2:5" x14ac:dyDescent="0.25">
      <c r="D294" s="112"/>
      <c r="E294" s="95"/>
    </row>
    <row r="295" spans="2:5" x14ac:dyDescent="0.25">
      <c r="D295" s="112"/>
      <c r="E295" s="95"/>
    </row>
    <row r="296" spans="2:5" x14ac:dyDescent="0.25">
      <c r="D296" s="112"/>
      <c r="E296" s="95"/>
    </row>
    <row r="297" spans="2:5" x14ac:dyDescent="0.25">
      <c r="D297" s="112"/>
      <c r="E297" s="95"/>
    </row>
    <row r="298" spans="2:5" x14ac:dyDescent="0.25">
      <c r="D298" s="112"/>
      <c r="E298" s="95"/>
    </row>
    <row r="299" spans="2:5" x14ac:dyDescent="0.25">
      <c r="B299" s="95"/>
      <c r="D299" s="112"/>
      <c r="E299" s="95"/>
    </row>
    <row r="300" spans="2:5" x14ac:dyDescent="0.25">
      <c r="D300" s="112"/>
      <c r="E300" s="95"/>
    </row>
    <row r="301" spans="2:5" x14ac:dyDescent="0.25">
      <c r="D301" s="112"/>
      <c r="E301" s="95"/>
    </row>
    <row r="302" spans="2:5" x14ac:dyDescent="0.25">
      <c r="D302" s="112"/>
      <c r="E302" s="95"/>
    </row>
    <row r="303" spans="2:5" x14ac:dyDescent="0.25">
      <c r="D303" s="112"/>
      <c r="E303" s="95"/>
    </row>
    <row r="304" spans="2:5" x14ac:dyDescent="0.25">
      <c r="D304" s="112"/>
      <c r="E304" s="95"/>
    </row>
    <row r="305" spans="2:5" x14ac:dyDescent="0.25">
      <c r="B305" s="95"/>
      <c r="D305" s="112"/>
      <c r="E305" s="95"/>
    </row>
    <row r="306" spans="2:5" x14ac:dyDescent="0.25">
      <c r="D306" s="112"/>
      <c r="E306" s="95"/>
    </row>
    <row r="307" spans="2:5" x14ac:dyDescent="0.25">
      <c r="D307" s="112"/>
      <c r="E307" s="95"/>
    </row>
    <row r="308" spans="2:5" x14ac:dyDescent="0.25">
      <c r="D308" s="112"/>
      <c r="E308" s="95"/>
    </row>
    <row r="309" spans="2:5" x14ac:dyDescent="0.25">
      <c r="D309" s="112"/>
      <c r="E309" s="95"/>
    </row>
    <row r="310" spans="2:5" x14ac:dyDescent="0.25">
      <c r="D310" s="112"/>
      <c r="E310" s="95"/>
    </row>
    <row r="311" spans="2:5" x14ac:dyDescent="0.25">
      <c r="D311" s="112"/>
      <c r="E311" s="95"/>
    </row>
    <row r="312" spans="2:5" x14ac:dyDescent="0.25">
      <c r="D312" s="112"/>
      <c r="E312" s="95"/>
    </row>
    <row r="313" spans="2:5" x14ac:dyDescent="0.25">
      <c r="D313" s="112"/>
      <c r="E313" s="95"/>
    </row>
    <row r="314" spans="2:5" x14ac:dyDescent="0.25">
      <c r="D314" s="112"/>
      <c r="E314" s="95"/>
    </row>
    <row r="315" spans="2:5" x14ac:dyDescent="0.25">
      <c r="D315" s="112"/>
      <c r="E315" s="95"/>
    </row>
    <row r="316" spans="2:5" x14ac:dyDescent="0.25">
      <c r="D316" s="112"/>
      <c r="E316" s="95"/>
    </row>
    <row r="317" spans="2:5" x14ac:dyDescent="0.25">
      <c r="D317" s="112"/>
      <c r="E317" s="95"/>
    </row>
    <row r="318" spans="2:5" x14ac:dyDescent="0.25">
      <c r="D318" s="112"/>
      <c r="E318" s="95"/>
    </row>
    <row r="319" spans="2:5" x14ac:dyDescent="0.25">
      <c r="D319" s="112"/>
      <c r="E319" s="95"/>
    </row>
    <row r="320" spans="2:5" x14ac:dyDescent="0.25">
      <c r="B320" s="95"/>
      <c r="D320" s="112"/>
      <c r="E320" s="95"/>
    </row>
    <row r="321" spans="2:5" x14ac:dyDescent="0.25">
      <c r="D321" s="112"/>
      <c r="E321" s="95"/>
    </row>
    <row r="322" spans="2:5" x14ac:dyDescent="0.25">
      <c r="D322" s="112"/>
      <c r="E322" s="95"/>
    </row>
    <row r="323" spans="2:5" x14ac:dyDescent="0.25">
      <c r="D323" s="112"/>
      <c r="E323" s="95"/>
    </row>
    <row r="324" spans="2:5" x14ac:dyDescent="0.25">
      <c r="D324" s="112"/>
      <c r="E324" s="95"/>
    </row>
    <row r="325" spans="2:5" x14ac:dyDescent="0.25">
      <c r="B325" s="95"/>
      <c r="D325" s="112"/>
      <c r="E325" s="95"/>
    </row>
    <row r="326" spans="2:5" x14ac:dyDescent="0.25">
      <c r="D326" s="112"/>
      <c r="E326" s="95"/>
    </row>
    <row r="327" spans="2:5" x14ac:dyDescent="0.25">
      <c r="D327" s="112"/>
      <c r="E327" s="95"/>
    </row>
    <row r="328" spans="2:5" x14ac:dyDescent="0.25">
      <c r="D328" s="112"/>
      <c r="E328" s="95"/>
    </row>
    <row r="329" spans="2:5" x14ac:dyDescent="0.25">
      <c r="D329" s="112"/>
      <c r="E329" s="95"/>
    </row>
    <row r="330" spans="2:5" x14ac:dyDescent="0.25">
      <c r="D330" s="112"/>
      <c r="E330" s="95"/>
    </row>
    <row r="331" spans="2:5" x14ac:dyDescent="0.25">
      <c r="D331" s="112"/>
      <c r="E331" s="95"/>
    </row>
    <row r="332" spans="2:5" x14ac:dyDescent="0.25">
      <c r="D332" s="112"/>
      <c r="E332" s="95"/>
    </row>
    <row r="333" spans="2:5" x14ac:dyDescent="0.25">
      <c r="D333" s="112"/>
      <c r="E333" s="95"/>
    </row>
    <row r="334" spans="2:5" x14ac:dyDescent="0.25">
      <c r="D334" s="112"/>
      <c r="E334" s="95"/>
    </row>
    <row r="335" spans="2:5" x14ac:dyDescent="0.25">
      <c r="D335" s="112"/>
      <c r="E335" s="95"/>
    </row>
    <row r="336" spans="2:5" x14ac:dyDescent="0.25">
      <c r="D336" s="112"/>
      <c r="E336" s="95"/>
    </row>
    <row r="337" spans="2:5" x14ac:dyDescent="0.25">
      <c r="D337" s="112"/>
      <c r="E337" s="95"/>
    </row>
    <row r="338" spans="2:5" x14ac:dyDescent="0.25">
      <c r="D338" s="112"/>
      <c r="E338" s="95"/>
    </row>
    <row r="339" spans="2:5" x14ac:dyDescent="0.25">
      <c r="B339" s="95"/>
      <c r="D339" s="112"/>
      <c r="E339" s="95"/>
    </row>
    <row r="340" spans="2:5" x14ac:dyDescent="0.25">
      <c r="D340" s="112"/>
      <c r="E340" s="95"/>
    </row>
    <row r="341" spans="2:5" x14ac:dyDescent="0.25">
      <c r="D341" s="112"/>
      <c r="E341" s="95"/>
    </row>
    <row r="342" spans="2:5" x14ac:dyDescent="0.25">
      <c r="B342" s="95"/>
      <c r="D342" s="112"/>
      <c r="E342" s="95"/>
    </row>
    <row r="343" spans="2:5" x14ac:dyDescent="0.25">
      <c r="D343" s="112"/>
      <c r="E343" s="95"/>
    </row>
    <row r="344" spans="2:5" x14ac:dyDescent="0.25">
      <c r="D344" s="112"/>
      <c r="E344" s="95"/>
    </row>
    <row r="345" spans="2:5" x14ac:dyDescent="0.25">
      <c r="B345" s="95"/>
      <c r="D345" s="112"/>
      <c r="E345" s="95"/>
    </row>
    <row r="346" spans="2:5" x14ac:dyDescent="0.25">
      <c r="D346" s="112"/>
      <c r="E346" s="95"/>
    </row>
    <row r="347" spans="2:5" x14ac:dyDescent="0.25">
      <c r="D347" s="112"/>
      <c r="E347" s="95"/>
    </row>
    <row r="348" spans="2:5" x14ac:dyDescent="0.25">
      <c r="D348" s="112"/>
      <c r="E348" s="95"/>
    </row>
    <row r="349" spans="2:5" x14ac:dyDescent="0.25">
      <c r="D349" s="112"/>
      <c r="E349" s="95"/>
    </row>
    <row r="350" spans="2:5" x14ac:dyDescent="0.25">
      <c r="B350" s="95"/>
      <c r="D350" s="112"/>
      <c r="E350" s="95"/>
    </row>
    <row r="351" spans="2:5" x14ac:dyDescent="0.25">
      <c r="D351" s="112"/>
      <c r="E351" s="95"/>
    </row>
    <row r="352" spans="2:5" x14ac:dyDescent="0.25">
      <c r="D352" s="112"/>
      <c r="E352" s="95"/>
    </row>
    <row r="353" spans="2:5" x14ac:dyDescent="0.25">
      <c r="D353" s="112"/>
      <c r="E353" s="95"/>
    </row>
    <row r="354" spans="2:5" x14ac:dyDescent="0.25">
      <c r="D354" s="112"/>
      <c r="E354" s="95"/>
    </row>
    <row r="355" spans="2:5" x14ac:dyDescent="0.25">
      <c r="D355" s="112"/>
      <c r="E355" s="95"/>
    </row>
    <row r="356" spans="2:5" x14ac:dyDescent="0.25">
      <c r="D356" s="112"/>
      <c r="E356" s="95"/>
    </row>
    <row r="357" spans="2:5" x14ac:dyDescent="0.25">
      <c r="D357" s="112"/>
      <c r="E357" s="95"/>
    </row>
    <row r="358" spans="2:5" x14ac:dyDescent="0.25">
      <c r="B358" s="95"/>
      <c r="D358" s="112"/>
      <c r="E358" s="95"/>
    </row>
    <row r="359" spans="2:5" x14ac:dyDescent="0.25">
      <c r="D359" s="112"/>
      <c r="E359" s="95"/>
    </row>
    <row r="360" spans="2:5" x14ac:dyDescent="0.25">
      <c r="D360" s="112"/>
      <c r="E360" s="95"/>
    </row>
    <row r="361" spans="2:5" x14ac:dyDescent="0.25">
      <c r="D361" s="112"/>
      <c r="E361" s="95"/>
    </row>
    <row r="362" spans="2:5" x14ac:dyDescent="0.25">
      <c r="D362" s="112"/>
      <c r="E362" s="95"/>
    </row>
    <row r="363" spans="2:5" x14ac:dyDescent="0.25">
      <c r="B363" s="95"/>
      <c r="D363" s="112"/>
      <c r="E363" s="95"/>
    </row>
    <row r="364" spans="2:5" x14ac:dyDescent="0.25">
      <c r="D364" s="112"/>
      <c r="E364" s="95"/>
    </row>
    <row r="365" spans="2:5" x14ac:dyDescent="0.25">
      <c r="D365" s="112"/>
      <c r="E365" s="95"/>
    </row>
    <row r="366" spans="2:5" x14ac:dyDescent="0.25">
      <c r="D366" s="112"/>
      <c r="E366" s="95"/>
    </row>
    <row r="367" spans="2:5" x14ac:dyDescent="0.25">
      <c r="D367" s="112"/>
      <c r="E367" s="95"/>
    </row>
    <row r="368" spans="2:5" x14ac:dyDescent="0.25">
      <c r="D368" s="112"/>
      <c r="E368" s="95"/>
    </row>
    <row r="369" spans="2:5" x14ac:dyDescent="0.25">
      <c r="D369" s="112"/>
      <c r="E369" s="95"/>
    </row>
    <row r="370" spans="2:5" x14ac:dyDescent="0.25">
      <c r="B370" s="95"/>
      <c r="D370" s="112"/>
      <c r="E370" s="95"/>
    </row>
    <row r="371" spans="2:5" x14ac:dyDescent="0.25">
      <c r="D371" s="112"/>
      <c r="E371" s="95"/>
    </row>
    <row r="372" spans="2:5" x14ac:dyDescent="0.25">
      <c r="D372" s="112"/>
      <c r="E372" s="95"/>
    </row>
    <row r="373" spans="2:5" x14ac:dyDescent="0.25">
      <c r="B373" s="95"/>
      <c r="D373" s="112"/>
      <c r="E373" s="95"/>
    </row>
    <row r="374" spans="2:5" x14ac:dyDescent="0.25">
      <c r="D374" s="112"/>
      <c r="E374" s="95"/>
    </row>
    <row r="375" spans="2:5" x14ac:dyDescent="0.25">
      <c r="D375" s="112"/>
      <c r="E375" s="95"/>
    </row>
    <row r="376" spans="2:5" x14ac:dyDescent="0.25">
      <c r="D376" s="112"/>
      <c r="E376" s="95"/>
    </row>
    <row r="377" spans="2:5" x14ac:dyDescent="0.25">
      <c r="D377" s="112"/>
      <c r="E377" s="95"/>
    </row>
    <row r="378" spans="2:5" x14ac:dyDescent="0.25">
      <c r="D378" s="112"/>
      <c r="E378" s="95"/>
    </row>
    <row r="379" spans="2:5" x14ac:dyDescent="0.25">
      <c r="B379" s="95"/>
      <c r="D379" s="112"/>
      <c r="E379" s="95"/>
    </row>
    <row r="380" spans="2:5" x14ac:dyDescent="0.25">
      <c r="D380" s="112"/>
      <c r="E380" s="95"/>
    </row>
    <row r="381" spans="2:5" x14ac:dyDescent="0.25">
      <c r="D381" s="112"/>
      <c r="E381" s="95"/>
    </row>
    <row r="382" spans="2:5" x14ac:dyDescent="0.25">
      <c r="D382" s="112"/>
      <c r="E382" s="95"/>
    </row>
    <row r="383" spans="2:5" x14ac:dyDescent="0.25">
      <c r="D383" s="112"/>
      <c r="E383" s="95"/>
    </row>
    <row r="384" spans="2:5" x14ac:dyDescent="0.25">
      <c r="D384" s="112"/>
      <c r="E384" s="95"/>
    </row>
    <row r="385" spans="2:5" x14ac:dyDescent="0.25">
      <c r="D385" s="112"/>
      <c r="E385" s="95"/>
    </row>
    <row r="386" spans="2:5" x14ac:dyDescent="0.25">
      <c r="D386" s="112"/>
      <c r="E386" s="95"/>
    </row>
    <row r="387" spans="2:5" x14ac:dyDescent="0.25">
      <c r="B387" s="95"/>
      <c r="D387" s="112"/>
      <c r="E387" s="95"/>
    </row>
    <row r="388" spans="2:5" x14ac:dyDescent="0.25">
      <c r="D388" s="112"/>
      <c r="E388" s="95"/>
    </row>
    <row r="389" spans="2:5" x14ac:dyDescent="0.25">
      <c r="D389" s="112"/>
      <c r="E389" s="95"/>
    </row>
    <row r="390" spans="2:5" x14ac:dyDescent="0.25">
      <c r="D390" s="112"/>
      <c r="E390" s="95"/>
    </row>
    <row r="391" spans="2:5" x14ac:dyDescent="0.25">
      <c r="D391" s="112"/>
      <c r="E391" s="95"/>
    </row>
    <row r="392" spans="2:5" x14ac:dyDescent="0.25">
      <c r="D392" s="112"/>
      <c r="E392" s="95"/>
    </row>
    <row r="393" spans="2:5" x14ac:dyDescent="0.25">
      <c r="B393" s="95"/>
      <c r="D393" s="112"/>
      <c r="E393" s="95"/>
    </row>
    <row r="394" spans="2:5" x14ac:dyDescent="0.25">
      <c r="D394" s="112"/>
      <c r="E394" s="95"/>
    </row>
    <row r="395" spans="2:5" x14ac:dyDescent="0.25">
      <c r="D395" s="112"/>
      <c r="E395" s="95"/>
    </row>
    <row r="396" spans="2:5" x14ac:dyDescent="0.25">
      <c r="D396" s="112"/>
      <c r="E396" s="95"/>
    </row>
    <row r="397" spans="2:5" x14ac:dyDescent="0.25">
      <c r="D397" s="112"/>
      <c r="E397" s="95"/>
    </row>
    <row r="398" spans="2:5" x14ac:dyDescent="0.25">
      <c r="D398" s="112"/>
      <c r="E398" s="95"/>
    </row>
    <row r="399" spans="2:5" x14ac:dyDescent="0.25">
      <c r="D399" s="112"/>
      <c r="E399" s="95"/>
    </row>
    <row r="400" spans="2:5" x14ac:dyDescent="0.25">
      <c r="D400" s="112"/>
      <c r="E400" s="95"/>
    </row>
    <row r="401" spans="2:5" x14ac:dyDescent="0.25">
      <c r="B401" s="95"/>
      <c r="D401" s="112"/>
      <c r="E401" s="95"/>
    </row>
    <row r="402" spans="2:5" x14ac:dyDescent="0.25">
      <c r="D402" s="112"/>
      <c r="E402" s="95"/>
    </row>
    <row r="403" spans="2:5" x14ac:dyDescent="0.25">
      <c r="D403" s="112"/>
      <c r="E403" s="95"/>
    </row>
    <row r="404" spans="2:5" x14ac:dyDescent="0.25">
      <c r="D404" s="112"/>
      <c r="E404" s="95"/>
    </row>
    <row r="405" spans="2:5" x14ac:dyDescent="0.25">
      <c r="D405" s="112"/>
      <c r="E405" s="95"/>
    </row>
    <row r="406" spans="2:5" x14ac:dyDescent="0.25">
      <c r="B406" s="95"/>
      <c r="D406" s="112"/>
      <c r="E406" s="95"/>
    </row>
    <row r="407" spans="2:5" x14ac:dyDescent="0.25">
      <c r="D407" s="112"/>
      <c r="E407" s="95"/>
    </row>
    <row r="408" spans="2:5" x14ac:dyDescent="0.25">
      <c r="D408" s="112"/>
      <c r="E408" s="95"/>
    </row>
    <row r="409" spans="2:5" x14ac:dyDescent="0.25">
      <c r="D409" s="112"/>
      <c r="E409" s="95"/>
    </row>
    <row r="410" spans="2:5" x14ac:dyDescent="0.25">
      <c r="D410" s="112"/>
      <c r="E410" s="95"/>
    </row>
    <row r="411" spans="2:5" x14ac:dyDescent="0.25">
      <c r="D411" s="112"/>
      <c r="E411" s="95"/>
    </row>
    <row r="412" spans="2:5" x14ac:dyDescent="0.25">
      <c r="D412" s="112"/>
      <c r="E412" s="95"/>
    </row>
    <row r="413" spans="2:5" x14ac:dyDescent="0.25">
      <c r="D413" s="112"/>
      <c r="E413" s="95"/>
    </row>
    <row r="414" spans="2:5" x14ac:dyDescent="0.25">
      <c r="B414" s="95"/>
      <c r="D414" s="112"/>
      <c r="E414" s="95"/>
    </row>
    <row r="415" spans="2:5" x14ac:dyDescent="0.25">
      <c r="D415" s="112"/>
      <c r="E415" s="95"/>
    </row>
    <row r="416" spans="2:5" x14ac:dyDescent="0.25">
      <c r="D416" s="112"/>
      <c r="E416" s="95"/>
    </row>
    <row r="417" spans="2:5" x14ac:dyDescent="0.25">
      <c r="D417" s="112"/>
      <c r="E417" s="95"/>
    </row>
    <row r="418" spans="2:5" x14ac:dyDescent="0.25">
      <c r="D418" s="112"/>
      <c r="E418" s="95"/>
    </row>
    <row r="419" spans="2:5" x14ac:dyDescent="0.25">
      <c r="D419" s="112"/>
      <c r="E419" s="95"/>
    </row>
    <row r="420" spans="2:5" x14ac:dyDescent="0.25">
      <c r="D420" s="112"/>
      <c r="E420" s="95"/>
    </row>
    <row r="421" spans="2:5" x14ac:dyDescent="0.25">
      <c r="D421" s="112"/>
      <c r="E421" s="95"/>
    </row>
    <row r="422" spans="2:5" x14ac:dyDescent="0.25">
      <c r="D422" s="112"/>
      <c r="E422" s="95"/>
    </row>
    <row r="423" spans="2:5" x14ac:dyDescent="0.25">
      <c r="D423" s="112"/>
      <c r="E423" s="95"/>
    </row>
    <row r="424" spans="2:5" x14ac:dyDescent="0.25">
      <c r="D424" s="112"/>
      <c r="E424" s="95"/>
    </row>
    <row r="425" spans="2:5" x14ac:dyDescent="0.25">
      <c r="D425" s="112"/>
      <c r="E425" s="95"/>
    </row>
    <row r="426" spans="2:5" x14ac:dyDescent="0.25">
      <c r="B426" s="95"/>
      <c r="D426" s="112"/>
      <c r="E426" s="95"/>
    </row>
    <row r="427" spans="2:5" x14ac:dyDescent="0.25">
      <c r="D427" s="112"/>
      <c r="E427" s="95"/>
    </row>
    <row r="428" spans="2:5" x14ac:dyDescent="0.25">
      <c r="D428" s="112"/>
      <c r="E428" s="95"/>
    </row>
    <row r="429" spans="2:5" x14ac:dyDescent="0.25">
      <c r="D429" s="112"/>
      <c r="E429" s="95"/>
    </row>
    <row r="430" spans="2:5" x14ac:dyDescent="0.25">
      <c r="B430" s="95"/>
      <c r="D430" s="112"/>
      <c r="E430" s="95"/>
    </row>
    <row r="431" spans="2:5" x14ac:dyDescent="0.25">
      <c r="D431" s="112"/>
      <c r="E431" s="95"/>
    </row>
    <row r="432" spans="2:5" x14ac:dyDescent="0.25">
      <c r="D432" s="112"/>
      <c r="E432" s="95"/>
    </row>
    <row r="433" spans="2:5" x14ac:dyDescent="0.25">
      <c r="D433" s="112"/>
      <c r="E433" s="95"/>
    </row>
    <row r="434" spans="2:5" x14ac:dyDescent="0.25">
      <c r="B434" s="95"/>
      <c r="D434" s="112"/>
      <c r="E434" s="95"/>
    </row>
    <row r="435" spans="2:5" x14ac:dyDescent="0.25">
      <c r="D435" s="112"/>
      <c r="E435" s="95"/>
    </row>
    <row r="436" spans="2:5" x14ac:dyDescent="0.25">
      <c r="D436" s="112"/>
      <c r="E436" s="95"/>
    </row>
    <row r="437" spans="2:5" x14ac:dyDescent="0.25">
      <c r="D437" s="112"/>
      <c r="E437" s="95"/>
    </row>
    <row r="438" spans="2:5" x14ac:dyDescent="0.25">
      <c r="B438" s="95"/>
      <c r="D438" s="112"/>
      <c r="E438" s="95"/>
    </row>
    <row r="439" spans="2:5" x14ac:dyDescent="0.25">
      <c r="D439" s="112"/>
      <c r="E439" s="95"/>
    </row>
    <row r="440" spans="2:5" x14ac:dyDescent="0.25">
      <c r="D440" s="112"/>
      <c r="E440" s="95"/>
    </row>
    <row r="441" spans="2:5" x14ac:dyDescent="0.25">
      <c r="D441" s="112"/>
      <c r="E441" s="95"/>
    </row>
    <row r="442" spans="2:5" x14ac:dyDescent="0.25">
      <c r="D442" s="112"/>
      <c r="E442" s="95"/>
    </row>
    <row r="443" spans="2:5" x14ac:dyDescent="0.25">
      <c r="D443" s="112"/>
      <c r="E443" s="95"/>
    </row>
    <row r="444" spans="2:5" x14ac:dyDescent="0.25">
      <c r="B444" s="95"/>
      <c r="D444" s="112"/>
      <c r="E444" s="95"/>
    </row>
    <row r="445" spans="2:5" x14ac:dyDescent="0.25">
      <c r="D445" s="112"/>
      <c r="E445" s="95"/>
    </row>
    <row r="446" spans="2:5" x14ac:dyDescent="0.25">
      <c r="D446" s="112"/>
      <c r="E446" s="95"/>
    </row>
    <row r="447" spans="2:5" x14ac:dyDescent="0.25">
      <c r="D447" s="112"/>
      <c r="E447" s="95"/>
    </row>
    <row r="448" spans="2:5" x14ac:dyDescent="0.25">
      <c r="D448" s="112"/>
      <c r="E448" s="95"/>
    </row>
    <row r="449" spans="4:5" x14ac:dyDescent="0.25">
      <c r="D449" s="112"/>
      <c r="E449" s="95"/>
    </row>
    <row r="450" spans="4:5" ht="19.5" x14ac:dyDescent="0.25">
      <c r="D450" s="114"/>
    </row>
  </sheetData>
  <sortState ref="A2:B437">
    <sortCondition ref="A2:A437"/>
  </sortState>
  <conditionalFormatting sqref="C116 C6:C94">
    <cfRule type="duplicateValues" dxfId="65" priority="37"/>
  </conditionalFormatting>
  <conditionalFormatting sqref="C116:C140 C2:C94">
    <cfRule type="duplicateValues" dxfId="64" priority="38"/>
  </conditionalFormatting>
  <conditionalFormatting sqref="C119:C133">
    <cfRule type="duplicateValues" dxfId="63" priority="39"/>
  </conditionalFormatting>
  <conditionalFormatting sqref="C143">
    <cfRule type="duplicateValues" dxfId="62" priority="32"/>
  </conditionalFormatting>
  <conditionalFormatting sqref="C143">
    <cfRule type="duplicateValues" dxfId="61" priority="31"/>
  </conditionalFormatting>
  <conditionalFormatting sqref="C144">
    <cfRule type="duplicateValues" dxfId="60" priority="29"/>
  </conditionalFormatting>
  <conditionalFormatting sqref="C144">
    <cfRule type="duplicateValues" dxfId="59" priority="30"/>
  </conditionalFormatting>
  <conditionalFormatting sqref="C145">
    <cfRule type="duplicateValues" dxfId="58" priority="27"/>
  </conditionalFormatting>
  <conditionalFormatting sqref="C145">
    <cfRule type="duplicateValues" dxfId="57" priority="28"/>
  </conditionalFormatting>
  <conditionalFormatting sqref="C146">
    <cfRule type="duplicateValues" dxfId="56" priority="25"/>
  </conditionalFormatting>
  <conditionalFormatting sqref="C146">
    <cfRule type="duplicateValues" dxfId="55" priority="26"/>
  </conditionalFormatting>
  <conditionalFormatting sqref="C147">
    <cfRule type="duplicateValues" dxfId="54" priority="23"/>
  </conditionalFormatting>
  <conditionalFormatting sqref="C147">
    <cfRule type="duplicateValues" dxfId="53" priority="24"/>
  </conditionalFormatting>
  <conditionalFormatting sqref="C148">
    <cfRule type="duplicateValues" dxfId="52" priority="21"/>
  </conditionalFormatting>
  <conditionalFormatting sqref="C148">
    <cfRule type="duplicateValues" dxfId="51" priority="22"/>
  </conditionalFormatting>
  <conditionalFormatting sqref="C149">
    <cfRule type="duplicateValues" dxfId="50" priority="19"/>
  </conditionalFormatting>
  <conditionalFormatting sqref="C149">
    <cfRule type="duplicateValues" dxfId="49" priority="20"/>
  </conditionalFormatting>
  <conditionalFormatting sqref="C150">
    <cfRule type="duplicateValues" dxfId="48" priority="17"/>
  </conditionalFormatting>
  <conditionalFormatting sqref="C150">
    <cfRule type="duplicateValues" dxfId="47" priority="18"/>
  </conditionalFormatting>
  <conditionalFormatting sqref="C151">
    <cfRule type="duplicateValues" dxfId="46" priority="15"/>
  </conditionalFormatting>
  <conditionalFormatting sqref="C151">
    <cfRule type="duplicateValues" dxfId="45" priority="16"/>
  </conditionalFormatting>
  <conditionalFormatting sqref="C152">
    <cfRule type="duplicateValues" dxfId="44" priority="13"/>
  </conditionalFormatting>
  <conditionalFormatting sqref="C152">
    <cfRule type="duplicateValues" dxfId="43" priority="14"/>
  </conditionalFormatting>
  <conditionalFormatting sqref="C153">
    <cfRule type="duplicateValues" dxfId="42" priority="11"/>
  </conditionalFormatting>
  <conditionalFormatting sqref="C153">
    <cfRule type="duplicateValues" dxfId="41" priority="12"/>
  </conditionalFormatting>
  <conditionalFormatting sqref="C154">
    <cfRule type="duplicateValues" dxfId="40" priority="9"/>
  </conditionalFormatting>
  <conditionalFormatting sqref="C154">
    <cfRule type="duplicateValues" dxfId="39" priority="10"/>
  </conditionalFormatting>
  <conditionalFormatting sqref="C155">
    <cfRule type="duplicateValues" dxfId="38" priority="7"/>
  </conditionalFormatting>
  <conditionalFormatting sqref="C155">
    <cfRule type="duplicateValues" dxfId="37" priority="8"/>
  </conditionalFormatting>
  <conditionalFormatting sqref="C156">
    <cfRule type="duplicateValues" dxfId="36" priority="5"/>
  </conditionalFormatting>
  <conditionalFormatting sqref="C156">
    <cfRule type="duplicateValues" dxfId="35" priority="6"/>
  </conditionalFormatting>
  <conditionalFormatting sqref="C157">
    <cfRule type="duplicateValues" dxfId="34" priority="3"/>
  </conditionalFormatting>
  <conditionalFormatting sqref="C157">
    <cfRule type="duplicateValues" dxfId="33" priority="4"/>
  </conditionalFormatting>
  <conditionalFormatting sqref="C142">
    <cfRule type="duplicateValues" dxfId="32" priority="1"/>
  </conditionalFormatting>
  <conditionalFormatting sqref="C142">
    <cfRule type="duplicateValues" dxfId="31" priority="2"/>
  </conditionalFormatting>
  <pageMargins left="0.17" right="0.7" top="0.75" bottom="0.75" header="0.3" footer="0.3"/>
  <pageSetup paperSize="5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68"/>
  <sheetViews>
    <sheetView topLeftCell="A2" workbookViewId="0">
      <selection activeCell="I11" sqref="I11"/>
    </sheetView>
  </sheetViews>
  <sheetFormatPr defaultRowHeight="15" x14ac:dyDescent="0.25"/>
  <cols>
    <col min="1" max="1" width="5.85546875" customWidth="1"/>
    <col min="2" max="2" width="25.140625" customWidth="1"/>
    <col min="3" max="3" width="27.28515625" customWidth="1"/>
    <col min="4" max="4" width="19.7109375" customWidth="1"/>
    <col min="5" max="5" width="20.7109375" customWidth="1"/>
    <col min="6" max="6" width="19.5703125" customWidth="1"/>
    <col min="7" max="7" width="5.140625" customWidth="1"/>
    <col min="8" max="8" width="18.140625" customWidth="1"/>
    <col min="9" max="9" width="15.7109375" customWidth="1"/>
    <col min="10" max="10" width="17.85546875" customWidth="1"/>
    <col min="11" max="11" width="17.7109375" customWidth="1"/>
    <col min="12" max="12" width="19.7109375" customWidth="1"/>
    <col min="13" max="13" width="6.140625" customWidth="1"/>
    <col min="14" max="14" width="5.140625" customWidth="1"/>
    <col min="15" max="15" width="19.140625" customWidth="1"/>
    <col min="16" max="16" width="20.28515625" customWidth="1"/>
    <col min="17" max="17" width="8.28515625" customWidth="1"/>
    <col min="18" max="18" width="15" customWidth="1"/>
    <col min="19" max="19" width="14.85546875" customWidth="1"/>
  </cols>
  <sheetData>
    <row r="2" spans="1:19" ht="19.5" x14ac:dyDescent="0.3">
      <c r="B2" s="23"/>
      <c r="C2" s="24"/>
      <c r="D2" s="24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7"/>
      <c r="R2" s="60"/>
      <c r="S2" s="22"/>
    </row>
    <row r="3" spans="1:19" ht="19.5" x14ac:dyDescent="0.3">
      <c r="B3" s="25"/>
      <c r="C3" s="24"/>
      <c r="D3" s="24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7"/>
      <c r="R3" s="60"/>
      <c r="S3" s="22"/>
    </row>
    <row r="4" spans="1:19" ht="19.5" x14ac:dyDescent="0.3">
      <c r="B4" s="25"/>
      <c r="C4" s="24"/>
      <c r="D4" s="24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7"/>
      <c r="R4" s="60"/>
      <c r="S4" s="22"/>
    </row>
    <row r="5" spans="1:19" ht="61.5" customHeight="1" x14ac:dyDescent="0.3">
      <c r="B5" s="26"/>
      <c r="C5" s="26"/>
      <c r="D5" s="26"/>
      <c r="E5" s="26"/>
      <c r="F5" s="26"/>
      <c r="G5" s="26"/>
      <c r="H5" s="26"/>
      <c r="I5" s="56"/>
      <c r="J5" s="56"/>
      <c r="K5" s="56"/>
      <c r="L5" s="56"/>
      <c r="M5" s="57"/>
      <c r="N5" s="57"/>
      <c r="O5" s="26"/>
      <c r="P5" s="58"/>
      <c r="Q5" s="26"/>
      <c r="R5" s="61"/>
      <c r="S5" s="52"/>
    </row>
    <row r="6" spans="1:19" ht="21" x14ac:dyDescent="0.35">
      <c r="A6" s="108"/>
      <c r="B6" s="28"/>
      <c r="C6" s="38"/>
      <c r="D6" s="30"/>
      <c r="E6" s="30"/>
      <c r="F6" s="31"/>
      <c r="G6" s="27"/>
      <c r="H6" s="32"/>
      <c r="I6" s="33"/>
      <c r="J6" s="33"/>
      <c r="K6" s="33"/>
      <c r="L6" s="33"/>
      <c r="M6" s="29"/>
      <c r="N6" s="34"/>
      <c r="O6" s="35"/>
      <c r="P6" s="36"/>
      <c r="Q6" s="53"/>
      <c r="R6" s="37"/>
      <c r="S6" s="22"/>
    </row>
    <row r="7" spans="1:19" ht="21" x14ac:dyDescent="0.35">
      <c r="A7" s="108"/>
      <c r="B7" s="28"/>
      <c r="C7" s="38"/>
      <c r="D7" s="30"/>
      <c r="E7" s="30"/>
      <c r="F7" s="31"/>
      <c r="G7" s="27"/>
      <c r="H7" s="32"/>
      <c r="I7" s="33"/>
      <c r="J7" s="33"/>
      <c r="K7" s="33"/>
      <c r="L7" s="33"/>
      <c r="M7" s="29"/>
      <c r="N7" s="34"/>
      <c r="O7" s="35"/>
      <c r="P7" s="36"/>
      <c r="Q7" s="53"/>
      <c r="R7" s="37"/>
      <c r="S7" s="22"/>
    </row>
    <row r="8" spans="1:19" ht="21" x14ac:dyDescent="0.35">
      <c r="A8" s="108"/>
      <c r="B8" s="28"/>
      <c r="C8" s="38"/>
      <c r="D8" s="30"/>
      <c r="E8" s="30"/>
      <c r="F8" s="31"/>
      <c r="G8" s="27"/>
      <c r="H8" s="40"/>
      <c r="I8" s="33"/>
      <c r="J8" s="33"/>
      <c r="K8" s="33"/>
      <c r="L8" s="33"/>
      <c r="M8" s="29"/>
      <c r="N8" s="34"/>
      <c r="O8" s="35"/>
      <c r="P8" s="36"/>
      <c r="Q8" s="53"/>
      <c r="R8" s="37"/>
      <c r="S8" s="22"/>
    </row>
    <row r="9" spans="1:19" ht="21" x14ac:dyDescent="0.35">
      <c r="A9" s="108"/>
      <c r="B9" s="28"/>
      <c r="C9" s="38"/>
      <c r="D9" s="30"/>
      <c r="E9" s="30"/>
      <c r="F9" s="31"/>
      <c r="G9" s="27"/>
      <c r="H9" s="40"/>
      <c r="I9" s="33"/>
      <c r="J9" s="33"/>
      <c r="K9" s="33"/>
      <c r="L9" s="33"/>
      <c r="M9" s="29"/>
      <c r="N9" s="34"/>
      <c r="O9" s="35"/>
      <c r="P9" s="36"/>
      <c r="Q9" s="53"/>
      <c r="R9" s="37"/>
      <c r="S9" s="22"/>
    </row>
    <row r="10" spans="1:19" ht="21" x14ac:dyDescent="0.35">
      <c r="A10" s="108"/>
      <c r="B10" s="28"/>
      <c r="C10" s="38"/>
      <c r="D10" s="30"/>
      <c r="E10" s="30"/>
      <c r="F10" s="31"/>
      <c r="G10" s="27"/>
      <c r="H10" s="40"/>
      <c r="I10" s="33"/>
      <c r="J10" s="33"/>
      <c r="K10" s="33"/>
      <c r="L10" s="33"/>
      <c r="M10" s="29"/>
      <c r="N10" s="34"/>
      <c r="O10" s="35"/>
      <c r="P10" s="36"/>
      <c r="Q10" s="53"/>
      <c r="R10" s="37"/>
      <c r="S10" s="22"/>
    </row>
    <row r="11" spans="1:19" ht="21" x14ac:dyDescent="0.35">
      <c r="A11" s="108"/>
      <c r="B11" s="28"/>
      <c r="C11" s="38"/>
      <c r="D11" s="30"/>
      <c r="E11" s="30"/>
      <c r="F11" s="31"/>
      <c r="G11" s="27"/>
      <c r="H11" s="40"/>
      <c r="I11" s="33"/>
      <c r="J11" s="33"/>
      <c r="K11" s="33"/>
      <c r="L11" s="33"/>
      <c r="M11" s="29"/>
      <c r="N11" s="34"/>
      <c r="O11" s="35"/>
      <c r="P11" s="36"/>
      <c r="Q11" s="53"/>
      <c r="R11" s="37"/>
      <c r="S11" s="59"/>
    </row>
    <row r="12" spans="1:19" ht="21" x14ac:dyDescent="0.35">
      <c r="A12" s="108"/>
      <c r="B12" s="28"/>
      <c r="C12" s="38"/>
      <c r="D12" s="30"/>
      <c r="E12" s="30"/>
      <c r="F12" s="31"/>
      <c r="G12" s="27"/>
      <c r="H12" s="40"/>
      <c r="I12" s="33"/>
      <c r="J12" s="33"/>
      <c r="K12" s="33"/>
      <c r="L12" s="33"/>
      <c r="M12" s="29"/>
      <c r="N12" s="34"/>
      <c r="O12" s="35"/>
      <c r="P12" s="36"/>
      <c r="Q12" s="53"/>
      <c r="R12" s="37"/>
      <c r="S12" s="22"/>
    </row>
    <row r="13" spans="1:19" ht="21" x14ac:dyDescent="0.35">
      <c r="A13" s="108"/>
      <c r="B13" s="28"/>
      <c r="C13" s="38"/>
      <c r="D13" s="30"/>
      <c r="E13" s="30"/>
      <c r="F13" s="31"/>
      <c r="G13" s="27"/>
      <c r="H13" s="40"/>
      <c r="I13" s="33"/>
      <c r="J13" s="33"/>
      <c r="K13" s="33"/>
      <c r="L13" s="33"/>
      <c r="M13" s="29"/>
      <c r="N13" s="34"/>
      <c r="O13" s="35"/>
      <c r="P13" s="36"/>
      <c r="Q13" s="53"/>
      <c r="R13" s="37"/>
      <c r="S13" s="22"/>
    </row>
    <row r="14" spans="1:19" ht="21" x14ac:dyDescent="0.35">
      <c r="A14" s="108"/>
      <c r="B14" s="28"/>
      <c r="C14" s="38"/>
      <c r="D14" s="30"/>
      <c r="E14" s="30"/>
      <c r="F14" s="31"/>
      <c r="G14" s="27"/>
      <c r="H14" s="40"/>
      <c r="I14" s="33"/>
      <c r="J14" s="33"/>
      <c r="K14" s="33"/>
      <c r="L14" s="33"/>
      <c r="M14" s="29"/>
      <c r="N14" s="34"/>
      <c r="O14" s="35"/>
      <c r="P14" s="36"/>
      <c r="Q14" s="53"/>
      <c r="R14" s="37"/>
      <c r="S14" s="22"/>
    </row>
    <row r="15" spans="1:19" ht="21" x14ac:dyDescent="0.35">
      <c r="A15" s="108"/>
      <c r="B15" s="28"/>
      <c r="C15" s="38"/>
      <c r="D15" s="30"/>
      <c r="E15" s="30"/>
      <c r="F15" s="31"/>
      <c r="G15" s="27"/>
      <c r="H15" s="40"/>
      <c r="I15" s="33"/>
      <c r="J15" s="33"/>
      <c r="K15" s="33"/>
      <c r="L15" s="33"/>
      <c r="M15" s="29"/>
      <c r="N15" s="34"/>
      <c r="O15" s="35"/>
      <c r="P15" s="36"/>
      <c r="Q15" s="53"/>
      <c r="R15" s="37"/>
      <c r="S15" s="22"/>
    </row>
    <row r="16" spans="1:19" ht="21" x14ac:dyDescent="0.35">
      <c r="A16" s="108"/>
      <c r="B16" s="28"/>
      <c r="C16" s="38"/>
      <c r="D16" s="30"/>
      <c r="E16" s="30"/>
      <c r="F16" s="31"/>
      <c r="G16" s="27"/>
      <c r="H16" s="32"/>
      <c r="I16" s="33"/>
      <c r="J16" s="33"/>
      <c r="K16" s="33"/>
      <c r="L16" s="33"/>
      <c r="M16" s="29"/>
      <c r="N16" s="34"/>
      <c r="O16" s="35"/>
      <c r="P16" s="36"/>
      <c r="Q16" s="53"/>
      <c r="R16" s="62"/>
      <c r="S16" s="42"/>
    </row>
    <row r="17" spans="1:19" ht="21" x14ac:dyDescent="0.35">
      <c r="A17" s="108"/>
      <c r="B17" s="28"/>
      <c r="C17" s="38"/>
      <c r="D17" s="30"/>
      <c r="E17" s="30"/>
      <c r="F17" s="31"/>
      <c r="G17" s="27"/>
      <c r="H17" s="32"/>
      <c r="I17" s="33"/>
      <c r="J17" s="33"/>
      <c r="K17" s="33"/>
      <c r="L17" s="33"/>
      <c r="M17" s="29"/>
      <c r="N17" s="34"/>
      <c r="O17" s="35"/>
      <c r="P17" s="36"/>
      <c r="Q17" s="53"/>
      <c r="R17" s="62"/>
      <c r="S17" s="42"/>
    </row>
    <row r="18" spans="1:19" ht="21" x14ac:dyDescent="0.35">
      <c r="A18" s="108"/>
      <c r="B18" s="28"/>
      <c r="C18" s="38"/>
      <c r="D18" s="30"/>
      <c r="E18" s="30"/>
      <c r="F18" s="31"/>
      <c r="G18" s="27"/>
      <c r="H18" s="32"/>
      <c r="I18" s="33"/>
      <c r="J18" s="33"/>
      <c r="K18" s="33"/>
      <c r="L18" s="33"/>
      <c r="M18" s="29"/>
      <c r="N18" s="34"/>
      <c r="O18" s="35"/>
      <c r="P18" s="36"/>
      <c r="Q18" s="53"/>
      <c r="R18" s="62"/>
      <c r="S18" s="42"/>
    </row>
    <row r="19" spans="1:19" ht="21" x14ac:dyDescent="0.35">
      <c r="A19" s="108"/>
      <c r="B19" s="28"/>
      <c r="C19" s="38"/>
      <c r="D19" s="30"/>
      <c r="E19" s="30"/>
      <c r="F19" s="31"/>
      <c r="G19" s="27"/>
      <c r="H19" s="32"/>
      <c r="I19" s="33"/>
      <c r="J19" s="33"/>
      <c r="K19" s="33"/>
      <c r="L19" s="33"/>
      <c r="M19" s="29"/>
      <c r="N19" s="34"/>
      <c r="O19" s="35"/>
      <c r="P19" s="36"/>
      <c r="Q19" s="53"/>
      <c r="R19" s="62"/>
      <c r="S19" s="42"/>
    </row>
    <row r="20" spans="1:19" ht="21" x14ac:dyDescent="0.35">
      <c r="A20" s="108"/>
      <c r="B20" s="28"/>
      <c r="C20" s="38"/>
      <c r="D20" s="30"/>
      <c r="E20" s="30"/>
      <c r="F20" s="31"/>
      <c r="G20" s="27"/>
      <c r="H20" s="32"/>
      <c r="I20" s="33"/>
      <c r="J20" s="33"/>
      <c r="K20" s="33"/>
      <c r="L20" s="33"/>
      <c r="M20" s="29"/>
      <c r="N20" s="34"/>
      <c r="O20" s="35"/>
      <c r="P20" s="36"/>
      <c r="Q20" s="53"/>
      <c r="R20" s="62"/>
      <c r="S20" s="42"/>
    </row>
    <row r="21" spans="1:19" ht="21" x14ac:dyDescent="0.35">
      <c r="A21" s="108"/>
      <c r="B21" s="28"/>
      <c r="C21" s="38"/>
      <c r="D21" s="30"/>
      <c r="E21" s="30"/>
      <c r="F21" s="31"/>
      <c r="G21" s="27"/>
      <c r="H21" s="32"/>
      <c r="I21" s="33"/>
      <c r="J21" s="33"/>
      <c r="K21" s="33"/>
      <c r="L21" s="33"/>
      <c r="M21" s="29"/>
      <c r="N21" s="34"/>
      <c r="O21" s="35"/>
      <c r="P21" s="36"/>
      <c r="Q21" s="53"/>
      <c r="R21" s="62"/>
      <c r="S21" s="42"/>
    </row>
    <row r="22" spans="1:19" ht="21" x14ac:dyDescent="0.35">
      <c r="A22" s="108"/>
      <c r="B22" s="28"/>
      <c r="C22" s="38"/>
      <c r="D22" s="30"/>
      <c r="E22" s="30"/>
      <c r="F22" s="31"/>
      <c r="G22" s="27"/>
      <c r="H22" s="32"/>
      <c r="I22" s="33"/>
      <c r="J22" s="33"/>
      <c r="K22" s="33"/>
      <c r="L22" s="33"/>
      <c r="M22" s="29"/>
      <c r="N22" s="34"/>
      <c r="O22" s="35"/>
      <c r="P22" s="36"/>
      <c r="Q22" s="53"/>
      <c r="R22" s="62"/>
      <c r="S22" s="42"/>
    </row>
    <row r="23" spans="1:19" ht="21" x14ac:dyDescent="0.35">
      <c r="A23" s="108"/>
      <c r="B23" s="28"/>
      <c r="C23" s="38"/>
      <c r="D23" s="30"/>
      <c r="E23" s="30"/>
      <c r="F23" s="31"/>
      <c r="G23" s="27"/>
      <c r="H23" s="32"/>
      <c r="I23" s="33"/>
      <c r="J23" s="33"/>
      <c r="K23" s="33"/>
      <c r="L23" s="33"/>
      <c r="M23" s="29"/>
      <c r="N23" s="34"/>
      <c r="O23" s="35"/>
      <c r="P23" s="36"/>
      <c r="Q23" s="53"/>
      <c r="R23" s="62"/>
      <c r="S23" s="42"/>
    </row>
    <row r="24" spans="1:19" ht="21" x14ac:dyDescent="0.35">
      <c r="A24" s="108"/>
      <c r="B24" s="28"/>
      <c r="C24" s="38"/>
      <c r="D24" s="30"/>
      <c r="E24" s="30"/>
      <c r="F24" s="31"/>
      <c r="G24" s="27"/>
      <c r="H24" s="32"/>
      <c r="I24" s="33"/>
      <c r="J24" s="33"/>
      <c r="K24" s="33"/>
      <c r="L24" s="33"/>
      <c r="M24" s="29"/>
      <c r="N24" s="34"/>
      <c r="O24" s="35"/>
      <c r="P24" s="36"/>
      <c r="Q24" s="44"/>
      <c r="R24" s="62"/>
      <c r="S24" s="42"/>
    </row>
    <row r="25" spans="1:19" ht="21" x14ac:dyDescent="0.35">
      <c r="A25" s="108"/>
      <c r="B25" s="28"/>
      <c r="C25" s="38"/>
      <c r="D25" s="30"/>
      <c r="E25" s="30"/>
      <c r="F25" s="31"/>
      <c r="G25" s="27"/>
      <c r="H25" s="32"/>
      <c r="I25" s="33"/>
      <c r="J25" s="33"/>
      <c r="K25" s="33"/>
      <c r="L25" s="33"/>
      <c r="M25" s="29"/>
      <c r="N25" s="34"/>
      <c r="O25" s="35"/>
      <c r="P25" s="36"/>
      <c r="Q25" s="44"/>
      <c r="R25" s="62"/>
      <c r="S25" s="42"/>
    </row>
    <row r="26" spans="1:19" ht="21" x14ac:dyDescent="0.35">
      <c r="A26" s="108"/>
      <c r="B26" s="28"/>
      <c r="C26" s="38"/>
      <c r="D26" s="30"/>
      <c r="E26" s="30"/>
      <c r="F26" s="31"/>
      <c r="G26" s="27"/>
      <c r="H26" s="32"/>
      <c r="I26" s="33"/>
      <c r="J26" s="33"/>
      <c r="K26" s="33"/>
      <c r="L26" s="33"/>
      <c r="M26" s="29"/>
      <c r="N26" s="34"/>
      <c r="O26" s="35"/>
      <c r="P26" s="36"/>
      <c r="Q26" s="44"/>
      <c r="R26" s="62"/>
      <c r="S26" s="42"/>
    </row>
    <row r="27" spans="1:19" ht="21" x14ac:dyDescent="0.35">
      <c r="A27" s="108"/>
      <c r="B27" s="28"/>
      <c r="C27" s="38"/>
      <c r="D27" s="30"/>
      <c r="E27" s="30"/>
      <c r="F27" s="31"/>
      <c r="G27" s="27"/>
      <c r="H27" s="32"/>
      <c r="I27" s="33"/>
      <c r="J27" s="33"/>
      <c r="K27" s="33"/>
      <c r="L27" s="33"/>
      <c r="M27" s="29"/>
      <c r="N27" s="34"/>
      <c r="O27" s="35"/>
      <c r="P27" s="36"/>
      <c r="Q27" s="44"/>
      <c r="R27" s="62"/>
      <c r="S27" s="42"/>
    </row>
    <row r="28" spans="1:19" ht="21" x14ac:dyDescent="0.35">
      <c r="A28" s="108"/>
      <c r="B28" s="28"/>
      <c r="C28" s="38"/>
      <c r="D28" s="30"/>
      <c r="E28" s="30"/>
      <c r="F28" s="31"/>
      <c r="G28" s="27"/>
      <c r="H28" s="32"/>
      <c r="I28" s="33"/>
      <c r="J28" s="33"/>
      <c r="K28" s="33"/>
      <c r="L28" s="33"/>
      <c r="M28" s="29"/>
      <c r="N28" s="34"/>
      <c r="O28" s="35"/>
      <c r="P28" s="36"/>
      <c r="Q28" s="44"/>
      <c r="R28" s="62"/>
      <c r="S28" s="42"/>
    </row>
    <row r="29" spans="1:19" ht="21" x14ac:dyDescent="0.35">
      <c r="A29" s="108"/>
      <c r="B29" s="28"/>
      <c r="C29" s="38"/>
      <c r="D29" s="30"/>
      <c r="E29" s="30"/>
      <c r="F29" s="31"/>
      <c r="G29" s="27"/>
      <c r="H29" s="54"/>
      <c r="I29" s="33"/>
      <c r="J29" s="33"/>
      <c r="K29" s="33"/>
      <c r="L29" s="33"/>
      <c r="M29" s="29"/>
      <c r="N29" s="34"/>
      <c r="O29" s="35"/>
      <c r="P29" s="36"/>
      <c r="Q29" s="43"/>
      <c r="R29" s="64"/>
      <c r="S29" s="18"/>
    </row>
    <row r="30" spans="1:19" ht="21" x14ac:dyDescent="0.35">
      <c r="A30" s="108"/>
      <c r="B30" s="28"/>
      <c r="C30" s="38"/>
      <c r="D30" s="30"/>
      <c r="E30" s="30"/>
      <c r="F30" s="31"/>
      <c r="G30" s="27"/>
      <c r="H30" s="54"/>
      <c r="I30" s="33"/>
      <c r="J30" s="33"/>
      <c r="K30" s="33"/>
      <c r="L30" s="33"/>
      <c r="M30" s="29"/>
      <c r="N30" s="34"/>
      <c r="O30" s="35"/>
      <c r="P30" s="36"/>
      <c r="Q30" s="43"/>
      <c r="R30" s="65"/>
      <c r="S30" s="18"/>
    </row>
    <row r="31" spans="1:19" ht="21" x14ac:dyDescent="0.35">
      <c r="A31" s="108"/>
      <c r="B31" s="28"/>
      <c r="C31" s="38"/>
      <c r="D31" s="30"/>
      <c r="E31" s="30"/>
      <c r="F31" s="31"/>
      <c r="G31" s="27"/>
      <c r="H31" s="54"/>
      <c r="I31" s="33"/>
      <c r="J31" s="33"/>
      <c r="K31" s="33"/>
      <c r="L31" s="33"/>
      <c r="M31" s="29"/>
      <c r="N31" s="34"/>
      <c r="O31" s="35"/>
      <c r="P31" s="36"/>
      <c r="Q31" s="43"/>
      <c r="R31" s="65"/>
      <c r="S31" s="18"/>
    </row>
    <row r="32" spans="1:19" ht="21" x14ac:dyDescent="0.35">
      <c r="A32" s="108"/>
      <c r="B32" s="28"/>
      <c r="C32" s="38"/>
      <c r="D32" s="30"/>
      <c r="E32" s="30"/>
      <c r="F32" s="31"/>
      <c r="G32" s="27"/>
      <c r="H32" s="54"/>
      <c r="I32" s="33"/>
      <c r="J32" s="33"/>
      <c r="K32" s="33"/>
      <c r="L32" s="33"/>
      <c r="M32" s="29"/>
      <c r="N32" s="34"/>
      <c r="O32" s="35"/>
      <c r="P32" s="36"/>
      <c r="Q32" s="43"/>
      <c r="R32" s="65"/>
      <c r="S32" s="18"/>
    </row>
    <row r="33" spans="1:19" ht="21" x14ac:dyDescent="0.35">
      <c r="A33" s="108"/>
      <c r="B33" s="28"/>
      <c r="C33" s="38"/>
      <c r="D33" s="30"/>
      <c r="E33" s="30"/>
      <c r="F33" s="31"/>
      <c r="G33" s="27"/>
      <c r="H33" s="54"/>
      <c r="I33" s="33"/>
      <c r="J33" s="33"/>
      <c r="K33" s="33"/>
      <c r="L33" s="33"/>
      <c r="M33" s="29"/>
      <c r="N33" s="34"/>
      <c r="O33" s="35"/>
      <c r="P33" s="36"/>
      <c r="Q33" s="43"/>
      <c r="R33" s="65"/>
      <c r="S33" s="18"/>
    </row>
    <row r="34" spans="1:19" ht="21" x14ac:dyDescent="0.35">
      <c r="A34" s="108"/>
      <c r="B34" s="28"/>
      <c r="C34" s="38"/>
      <c r="D34" s="30"/>
      <c r="E34" s="30"/>
      <c r="F34" s="31"/>
      <c r="G34" s="27"/>
      <c r="H34" s="54"/>
      <c r="I34" s="33"/>
      <c r="J34" s="33"/>
      <c r="K34" s="33"/>
      <c r="L34" s="33"/>
      <c r="M34" s="29"/>
      <c r="N34" s="34"/>
      <c r="O34" s="35"/>
      <c r="P34" s="36"/>
      <c r="Q34" s="43"/>
      <c r="R34" s="65"/>
      <c r="S34" s="18"/>
    </row>
    <row r="35" spans="1:19" ht="21" x14ac:dyDescent="0.35">
      <c r="A35" s="108"/>
      <c r="B35" s="28"/>
      <c r="C35" s="38"/>
      <c r="D35" s="30"/>
      <c r="E35" s="30"/>
      <c r="F35" s="31"/>
      <c r="G35" s="27"/>
      <c r="H35" s="54"/>
      <c r="I35" s="33"/>
      <c r="J35" s="33"/>
      <c r="K35" s="33"/>
      <c r="L35" s="33"/>
      <c r="M35" s="29"/>
      <c r="N35" s="34"/>
      <c r="O35" s="35"/>
      <c r="P35" s="36"/>
      <c r="Q35" s="43"/>
      <c r="R35" s="65"/>
      <c r="S35" s="18"/>
    </row>
    <row r="36" spans="1:19" ht="21" x14ac:dyDescent="0.35">
      <c r="A36" s="108"/>
      <c r="B36" s="28"/>
      <c r="C36" s="38"/>
      <c r="D36" s="30"/>
      <c r="E36" s="30"/>
      <c r="F36" s="31"/>
      <c r="G36" s="27"/>
      <c r="H36" s="54"/>
      <c r="I36" s="33"/>
      <c r="J36" s="33"/>
      <c r="K36" s="33"/>
      <c r="L36" s="33"/>
      <c r="M36" s="29"/>
      <c r="N36" s="34"/>
      <c r="O36" s="35"/>
      <c r="P36" s="36"/>
      <c r="Q36" s="43"/>
      <c r="R36" s="65"/>
      <c r="S36" s="18"/>
    </row>
    <row r="37" spans="1:19" ht="21" x14ac:dyDescent="0.35">
      <c r="A37" s="108"/>
      <c r="B37" s="28"/>
      <c r="C37" s="38"/>
      <c r="D37" s="30"/>
      <c r="E37" s="30"/>
      <c r="F37" s="31"/>
      <c r="G37" s="27"/>
      <c r="H37" s="54"/>
      <c r="I37" s="33"/>
      <c r="J37" s="33"/>
      <c r="K37" s="33"/>
      <c r="L37" s="33"/>
      <c r="M37" s="29"/>
      <c r="N37" s="34"/>
      <c r="O37" s="35"/>
      <c r="P37" s="36"/>
      <c r="Q37" s="43"/>
      <c r="R37" s="65"/>
      <c r="S37" s="18"/>
    </row>
    <row r="38" spans="1:19" ht="21" x14ac:dyDescent="0.35">
      <c r="A38" s="108"/>
      <c r="B38" s="28"/>
      <c r="C38" s="38"/>
      <c r="D38" s="30"/>
      <c r="E38" s="30"/>
      <c r="F38" s="31"/>
      <c r="G38" s="27"/>
      <c r="H38" s="54"/>
      <c r="I38" s="33"/>
      <c r="J38" s="33"/>
      <c r="K38" s="33"/>
      <c r="L38" s="33"/>
      <c r="M38" s="29"/>
      <c r="N38" s="34"/>
      <c r="O38" s="35"/>
      <c r="P38" s="36"/>
      <c r="Q38" s="43"/>
      <c r="R38" s="65"/>
      <c r="S38" s="18"/>
    </row>
    <row r="39" spans="1:19" ht="21" x14ac:dyDescent="0.35">
      <c r="A39" s="108"/>
      <c r="B39" s="28"/>
      <c r="C39" s="38"/>
      <c r="D39" s="30"/>
      <c r="E39" s="30"/>
      <c r="F39" s="31"/>
      <c r="G39" s="27"/>
      <c r="H39" s="54"/>
      <c r="I39" s="33"/>
      <c r="J39" s="33"/>
      <c r="K39" s="33"/>
      <c r="L39" s="33"/>
      <c r="M39" s="29"/>
      <c r="N39" s="34"/>
      <c r="O39" s="35"/>
      <c r="P39" s="36"/>
      <c r="Q39" s="43"/>
      <c r="R39" s="65"/>
      <c r="S39" s="18"/>
    </row>
    <row r="40" spans="1:19" ht="21" x14ac:dyDescent="0.35">
      <c r="A40" s="108"/>
      <c r="B40" s="28"/>
      <c r="C40" s="38"/>
      <c r="D40" s="30"/>
      <c r="E40" s="30"/>
      <c r="F40" s="31"/>
      <c r="G40" s="27"/>
      <c r="H40" s="54"/>
      <c r="I40" s="33"/>
      <c r="J40" s="33"/>
      <c r="K40" s="33"/>
      <c r="L40" s="33"/>
      <c r="M40" s="29"/>
      <c r="N40" s="34"/>
      <c r="O40" s="35"/>
      <c r="P40" s="36"/>
      <c r="Q40" s="43"/>
      <c r="R40" s="65"/>
      <c r="S40" s="18"/>
    </row>
    <row r="41" spans="1:19" ht="21" x14ac:dyDescent="0.35">
      <c r="A41" s="108"/>
      <c r="B41" s="28"/>
      <c r="C41" s="38"/>
      <c r="D41" s="30"/>
      <c r="E41" s="30"/>
      <c r="F41" s="31"/>
      <c r="G41" s="27"/>
      <c r="H41" s="54"/>
      <c r="I41" s="33"/>
      <c r="J41" s="33"/>
      <c r="K41" s="33"/>
      <c r="L41" s="33"/>
      <c r="M41" s="29"/>
      <c r="N41" s="34"/>
      <c r="O41" s="35"/>
      <c r="P41" s="36"/>
      <c r="Q41" s="21"/>
      <c r="R41" s="65"/>
      <c r="S41" s="18"/>
    </row>
    <row r="42" spans="1:19" ht="21" x14ac:dyDescent="0.35">
      <c r="A42" s="108"/>
      <c r="B42" s="28"/>
      <c r="C42" s="66"/>
      <c r="D42" s="30"/>
      <c r="E42" s="30"/>
      <c r="F42" s="31"/>
      <c r="G42" s="27"/>
      <c r="H42" s="54"/>
      <c r="I42" s="33"/>
      <c r="J42" s="33"/>
      <c r="K42" s="33"/>
      <c r="L42" s="33"/>
      <c r="M42" s="29"/>
      <c r="N42" s="34"/>
      <c r="O42" s="35"/>
      <c r="P42" s="36"/>
      <c r="Q42" s="43"/>
      <c r="R42" s="67"/>
      <c r="S42" s="67"/>
    </row>
    <row r="43" spans="1:19" ht="21" x14ac:dyDescent="0.35">
      <c r="A43" s="108"/>
      <c r="B43" s="28"/>
      <c r="C43" s="66"/>
      <c r="D43" s="30"/>
      <c r="E43" s="30"/>
      <c r="F43" s="31"/>
      <c r="G43" s="27"/>
      <c r="H43" s="54"/>
      <c r="I43" s="33"/>
      <c r="J43" s="33"/>
      <c r="K43" s="33"/>
      <c r="L43" s="33"/>
      <c r="M43" s="29"/>
      <c r="N43" s="34"/>
      <c r="O43" s="35"/>
      <c r="P43" s="36"/>
      <c r="Q43" s="43"/>
      <c r="R43" s="67"/>
      <c r="S43" s="67"/>
    </row>
    <row r="44" spans="1:19" ht="21" x14ac:dyDescent="0.35">
      <c r="A44" s="108"/>
      <c r="B44" s="28"/>
      <c r="C44" s="66"/>
      <c r="D44" s="30"/>
      <c r="E44" s="30"/>
      <c r="F44" s="31"/>
      <c r="G44" s="27"/>
      <c r="H44" s="54"/>
      <c r="I44" s="33"/>
      <c r="J44" s="33"/>
      <c r="K44" s="33"/>
      <c r="L44" s="33"/>
      <c r="M44" s="29"/>
      <c r="N44" s="34"/>
      <c r="O44" s="35"/>
      <c r="P44" s="36"/>
      <c r="Q44" s="43"/>
      <c r="R44" s="67"/>
      <c r="S44" s="67"/>
    </row>
    <row r="45" spans="1:19" ht="21" x14ac:dyDescent="0.35">
      <c r="A45" s="108"/>
      <c r="B45" s="28"/>
      <c r="C45" s="66"/>
      <c r="D45" s="30"/>
      <c r="E45" s="30"/>
      <c r="F45" s="31"/>
      <c r="G45" s="27"/>
      <c r="H45" s="54"/>
      <c r="I45" s="33"/>
      <c r="J45" s="33"/>
      <c r="K45" s="33"/>
      <c r="L45" s="33"/>
      <c r="M45" s="29"/>
      <c r="N45" s="34"/>
      <c r="O45" s="35"/>
      <c r="P45" s="36"/>
      <c r="Q45" s="43"/>
      <c r="R45" s="67"/>
      <c r="S45" s="67"/>
    </row>
    <row r="46" spans="1:19" ht="21" x14ac:dyDescent="0.35">
      <c r="A46" s="108"/>
      <c r="B46" s="28"/>
      <c r="C46" s="66"/>
      <c r="D46" s="30"/>
      <c r="E46" s="30"/>
      <c r="F46" s="31"/>
      <c r="G46" s="27"/>
      <c r="H46" s="54"/>
      <c r="I46" s="33"/>
      <c r="J46" s="33"/>
      <c r="K46" s="33"/>
      <c r="L46" s="33"/>
      <c r="M46" s="29"/>
      <c r="N46" s="34"/>
      <c r="O46" s="35"/>
      <c r="P46" s="36"/>
      <c r="Q46" s="43"/>
      <c r="R46" s="67"/>
      <c r="S46" s="67"/>
    </row>
    <row r="47" spans="1:19" ht="21" x14ac:dyDescent="0.35">
      <c r="A47" s="108"/>
      <c r="B47" s="28"/>
      <c r="C47" s="66"/>
      <c r="D47" s="30"/>
      <c r="E47" s="30"/>
      <c r="F47" s="31"/>
      <c r="G47" s="27"/>
      <c r="H47" s="54"/>
      <c r="I47" s="33"/>
      <c r="J47" s="33"/>
      <c r="K47" s="33"/>
      <c r="L47" s="33"/>
      <c r="M47" s="29"/>
      <c r="N47" s="34"/>
      <c r="O47" s="35"/>
      <c r="P47" s="36"/>
      <c r="Q47" s="43"/>
      <c r="R47" s="67"/>
      <c r="S47" s="67"/>
    </row>
    <row r="48" spans="1:19" ht="21" x14ac:dyDescent="0.35">
      <c r="A48" s="108"/>
      <c r="B48" s="28"/>
      <c r="C48" s="66"/>
      <c r="D48" s="30"/>
      <c r="E48" s="30"/>
      <c r="F48" s="31"/>
      <c r="G48" s="27"/>
      <c r="H48" s="54"/>
      <c r="I48" s="33"/>
      <c r="J48" s="33"/>
      <c r="K48" s="33"/>
      <c r="L48" s="33"/>
      <c r="M48" s="29"/>
      <c r="N48" s="34"/>
      <c r="O48" s="35"/>
      <c r="P48" s="36"/>
      <c r="Q48" s="43"/>
      <c r="R48" s="67"/>
      <c r="S48" s="67"/>
    </row>
    <row r="49" spans="1:19" ht="21" x14ac:dyDescent="0.35">
      <c r="A49" s="108"/>
      <c r="B49" s="28"/>
      <c r="C49" s="66"/>
      <c r="D49" s="30"/>
      <c r="E49" s="30"/>
      <c r="F49" s="31"/>
      <c r="G49" s="27"/>
      <c r="H49" s="54"/>
      <c r="I49" s="33"/>
      <c r="J49" s="33"/>
      <c r="K49" s="33"/>
      <c r="L49" s="33"/>
      <c r="M49" s="29"/>
      <c r="N49" s="34"/>
      <c r="O49" s="35"/>
      <c r="P49" s="36"/>
      <c r="Q49" s="43"/>
      <c r="R49" s="67"/>
      <c r="S49" s="67"/>
    </row>
    <row r="50" spans="1:19" ht="21" x14ac:dyDescent="0.35">
      <c r="A50" s="108"/>
      <c r="B50" s="28"/>
      <c r="C50" s="66"/>
      <c r="D50" s="30"/>
      <c r="E50" s="30"/>
      <c r="F50" s="31"/>
      <c r="G50" s="27"/>
      <c r="H50" s="54"/>
      <c r="I50" s="33"/>
      <c r="J50" s="33"/>
      <c r="K50" s="33"/>
      <c r="L50" s="33"/>
      <c r="M50" s="29"/>
      <c r="N50" s="34"/>
      <c r="O50" s="35"/>
      <c r="P50" s="36"/>
      <c r="Q50" s="43"/>
      <c r="R50" s="67"/>
      <c r="S50" s="67"/>
    </row>
    <row r="51" spans="1:19" ht="21" x14ac:dyDescent="0.35">
      <c r="A51" s="108"/>
      <c r="B51" s="28"/>
      <c r="C51" s="66"/>
      <c r="D51" s="30"/>
      <c r="E51" s="30"/>
      <c r="F51" s="31"/>
      <c r="G51" s="27"/>
      <c r="H51" s="54"/>
      <c r="I51" s="33"/>
      <c r="J51" s="33"/>
      <c r="K51" s="33"/>
      <c r="L51" s="33"/>
      <c r="M51" s="29"/>
      <c r="N51" s="34"/>
      <c r="O51" s="35"/>
      <c r="P51" s="36"/>
      <c r="Q51" s="43"/>
      <c r="R51" s="67"/>
      <c r="S51" s="67"/>
    </row>
    <row r="52" spans="1:19" ht="21" x14ac:dyDescent="0.35">
      <c r="A52" s="108"/>
      <c r="B52" s="28"/>
      <c r="C52" s="66"/>
      <c r="D52" s="30"/>
      <c r="E52" s="30"/>
      <c r="F52" s="31"/>
      <c r="G52" s="27"/>
      <c r="H52" s="54"/>
      <c r="I52" s="33"/>
      <c r="J52" s="33"/>
      <c r="K52" s="33"/>
      <c r="L52" s="33"/>
      <c r="M52" s="29"/>
      <c r="N52" s="34"/>
      <c r="O52" s="35"/>
      <c r="P52" s="36"/>
      <c r="Q52" s="43"/>
      <c r="R52" s="67"/>
      <c r="S52" s="67"/>
    </row>
    <row r="53" spans="1:19" ht="21" x14ac:dyDescent="0.35">
      <c r="A53" s="108"/>
      <c r="B53" s="28"/>
      <c r="C53" s="66"/>
      <c r="D53" s="30"/>
      <c r="E53" s="30"/>
      <c r="F53" s="31"/>
      <c r="G53" s="27"/>
      <c r="H53" s="54"/>
      <c r="I53" s="33"/>
      <c r="J53" s="33"/>
      <c r="K53" s="33"/>
      <c r="L53" s="33"/>
      <c r="M53" s="29"/>
      <c r="N53" s="34"/>
      <c r="O53" s="35"/>
      <c r="P53" s="36"/>
      <c r="Q53" s="43"/>
      <c r="R53" s="67"/>
      <c r="S53" s="67"/>
    </row>
    <row r="54" spans="1:19" ht="21" x14ac:dyDescent="0.35">
      <c r="A54" s="108"/>
      <c r="B54" s="28"/>
      <c r="C54" s="66"/>
      <c r="D54" s="30"/>
      <c r="E54" s="30"/>
      <c r="F54" s="31"/>
      <c r="G54" s="27"/>
      <c r="H54" s="54"/>
      <c r="I54" s="33"/>
      <c r="J54" s="33"/>
      <c r="K54" s="33"/>
      <c r="L54" s="33"/>
      <c r="M54" s="29"/>
      <c r="N54" s="34"/>
      <c r="O54" s="35"/>
      <c r="P54" s="36"/>
      <c r="Q54" s="43"/>
      <c r="R54" s="67"/>
      <c r="S54" s="67"/>
    </row>
    <row r="55" spans="1:19" ht="21" x14ac:dyDescent="0.35">
      <c r="A55" s="108"/>
      <c r="B55" s="28"/>
      <c r="C55" s="66"/>
      <c r="D55" s="30"/>
      <c r="E55" s="30"/>
      <c r="F55" s="31"/>
      <c r="G55" s="27"/>
      <c r="H55" s="54"/>
      <c r="I55" s="33"/>
      <c r="J55" s="33"/>
      <c r="K55" s="33"/>
      <c r="L55" s="33"/>
      <c r="M55" s="29"/>
      <c r="N55" s="34"/>
      <c r="O55" s="35"/>
      <c r="P55" s="36"/>
      <c r="Q55" s="43"/>
      <c r="R55" s="67"/>
      <c r="S55" s="67"/>
    </row>
    <row r="56" spans="1:19" ht="21" x14ac:dyDescent="0.35">
      <c r="A56" s="108"/>
      <c r="B56" s="28"/>
      <c r="C56" s="66"/>
      <c r="D56" s="30"/>
      <c r="E56" s="30"/>
      <c r="F56" s="31"/>
      <c r="G56" s="27"/>
      <c r="H56" s="54"/>
      <c r="I56" s="33"/>
      <c r="J56" s="33"/>
      <c r="K56" s="33"/>
      <c r="L56" s="33"/>
      <c r="M56" s="29"/>
      <c r="N56" s="34"/>
      <c r="O56" s="35"/>
      <c r="P56" s="36"/>
      <c r="Q56" s="43"/>
      <c r="R56" s="67"/>
      <c r="S56" s="67"/>
    </row>
    <row r="57" spans="1:19" ht="21" x14ac:dyDescent="0.35">
      <c r="A57" s="108"/>
      <c r="B57" s="28"/>
      <c r="C57" s="66"/>
      <c r="D57" s="30"/>
      <c r="E57" s="30"/>
      <c r="F57" s="31"/>
      <c r="G57" s="27"/>
      <c r="H57" s="54"/>
      <c r="I57" s="33"/>
      <c r="J57" s="33"/>
      <c r="K57" s="33"/>
      <c r="L57" s="33"/>
      <c r="M57" s="29"/>
      <c r="N57" s="34"/>
      <c r="O57" s="35"/>
      <c r="P57" s="36"/>
      <c r="Q57" s="43"/>
      <c r="R57" s="68"/>
      <c r="S57" s="69"/>
    </row>
    <row r="58" spans="1:19" ht="21" x14ac:dyDescent="0.35">
      <c r="A58" s="108"/>
      <c r="B58" s="28"/>
      <c r="C58" s="66"/>
      <c r="D58" s="30"/>
      <c r="E58" s="30"/>
      <c r="F58" s="31"/>
      <c r="G58" s="27"/>
      <c r="H58" s="40"/>
      <c r="I58" s="33"/>
      <c r="J58" s="33"/>
      <c r="K58" s="33"/>
      <c r="L58" s="33"/>
      <c r="M58" s="55"/>
      <c r="N58" s="34"/>
      <c r="O58" s="35"/>
      <c r="P58" s="36"/>
      <c r="Q58" s="71"/>
      <c r="R58" s="64"/>
      <c r="S58" s="18"/>
    </row>
    <row r="59" spans="1:19" ht="21" x14ac:dyDescent="0.35">
      <c r="A59" s="108"/>
      <c r="B59" s="28"/>
      <c r="C59" s="66"/>
      <c r="D59" s="30"/>
      <c r="E59" s="30"/>
      <c r="F59" s="31"/>
      <c r="G59" s="27"/>
      <c r="H59" s="40"/>
      <c r="I59" s="33"/>
      <c r="J59" s="33"/>
      <c r="K59" s="33"/>
      <c r="L59" s="33"/>
      <c r="M59" s="55"/>
      <c r="N59" s="34"/>
      <c r="O59" s="35"/>
      <c r="P59" s="36"/>
      <c r="Q59" s="43"/>
      <c r="R59" s="64"/>
      <c r="S59" s="18"/>
    </row>
    <row r="60" spans="1:19" ht="21" x14ac:dyDescent="0.35">
      <c r="A60" s="108"/>
      <c r="B60" s="28"/>
      <c r="C60" s="66"/>
      <c r="D60" s="30"/>
      <c r="E60" s="30"/>
      <c r="F60" s="31"/>
      <c r="G60" s="27"/>
      <c r="H60" s="40"/>
      <c r="I60" s="33"/>
      <c r="J60" s="33"/>
      <c r="K60" s="33"/>
      <c r="L60" s="33"/>
      <c r="M60" s="55"/>
      <c r="N60" s="34"/>
      <c r="O60" s="35"/>
      <c r="P60" s="36"/>
      <c r="Q60" s="43"/>
      <c r="R60" s="64"/>
      <c r="S60" s="18"/>
    </row>
    <row r="61" spans="1:19" ht="21" x14ac:dyDescent="0.35">
      <c r="A61" s="108"/>
      <c r="B61" s="28"/>
      <c r="C61" s="66"/>
      <c r="D61" s="30"/>
      <c r="E61" s="30"/>
      <c r="F61" s="31"/>
      <c r="G61" s="27"/>
      <c r="H61" s="40"/>
      <c r="I61" s="33"/>
      <c r="J61" s="33"/>
      <c r="K61" s="33"/>
      <c r="L61" s="33"/>
      <c r="M61" s="55"/>
      <c r="N61" s="34"/>
      <c r="O61" s="35"/>
      <c r="P61" s="36"/>
      <c r="Q61" s="43"/>
      <c r="R61" s="64"/>
      <c r="S61" s="18"/>
    </row>
    <row r="62" spans="1:19" ht="21" x14ac:dyDescent="0.35">
      <c r="A62" s="108"/>
      <c r="B62" s="28"/>
      <c r="C62" s="66"/>
      <c r="D62" s="30"/>
      <c r="E62" s="30"/>
      <c r="F62" s="31"/>
      <c r="G62" s="27"/>
      <c r="H62" s="40"/>
      <c r="I62" s="33"/>
      <c r="J62" s="33"/>
      <c r="K62" s="33"/>
      <c r="L62" s="33"/>
      <c r="M62" s="55"/>
      <c r="N62" s="34"/>
      <c r="O62" s="35"/>
      <c r="P62" s="36"/>
      <c r="Q62" s="43"/>
      <c r="R62" s="64"/>
      <c r="S62" s="18"/>
    </row>
    <row r="63" spans="1:19" ht="21" x14ac:dyDescent="0.35">
      <c r="A63" s="108"/>
      <c r="B63" s="28"/>
      <c r="C63" s="66"/>
      <c r="D63" s="30"/>
      <c r="E63" s="30"/>
      <c r="F63" s="31"/>
      <c r="G63" s="27"/>
      <c r="H63" s="40"/>
      <c r="I63" s="33"/>
      <c r="J63" s="33"/>
      <c r="K63" s="33"/>
      <c r="L63" s="33"/>
      <c r="M63" s="55"/>
      <c r="N63" s="34"/>
      <c r="O63" s="35"/>
      <c r="P63" s="36"/>
      <c r="Q63" s="43"/>
      <c r="R63" s="64"/>
      <c r="S63" s="18"/>
    </row>
    <row r="64" spans="1:19" ht="21" x14ac:dyDescent="0.35">
      <c r="A64" s="108"/>
      <c r="B64" s="28"/>
      <c r="C64" s="66"/>
      <c r="D64" s="30"/>
      <c r="E64" s="30"/>
      <c r="F64" s="31"/>
      <c r="G64" s="27"/>
      <c r="H64" s="40"/>
      <c r="I64" s="33"/>
      <c r="J64" s="33"/>
      <c r="K64" s="33"/>
      <c r="L64" s="33"/>
      <c r="M64" s="55"/>
      <c r="N64" s="34"/>
      <c r="O64" s="35"/>
      <c r="P64" s="36"/>
      <c r="Q64" s="43"/>
      <c r="R64" s="64"/>
      <c r="S64" s="18"/>
    </row>
    <row r="65" spans="1:19" ht="21" x14ac:dyDescent="0.35">
      <c r="A65" s="108"/>
      <c r="B65" s="28"/>
      <c r="C65" s="66"/>
      <c r="D65" s="30"/>
      <c r="E65" s="30"/>
      <c r="F65" s="31"/>
      <c r="G65" s="27"/>
      <c r="H65" s="40"/>
      <c r="I65" s="33"/>
      <c r="J65" s="33"/>
      <c r="K65" s="33"/>
      <c r="L65" s="33"/>
      <c r="M65" s="55"/>
      <c r="N65" s="34"/>
      <c r="O65" s="35"/>
      <c r="P65" s="36"/>
      <c r="Q65" s="43"/>
      <c r="R65" s="64"/>
      <c r="S65" s="18"/>
    </row>
    <row r="66" spans="1:19" ht="21" x14ac:dyDescent="0.35">
      <c r="A66" s="108"/>
      <c r="B66" s="28"/>
      <c r="C66" s="66"/>
      <c r="D66" s="30"/>
      <c r="E66" s="30"/>
      <c r="F66" s="31"/>
      <c r="G66" s="27"/>
      <c r="H66" s="40"/>
      <c r="I66" s="33"/>
      <c r="J66" s="33"/>
      <c r="K66" s="33"/>
      <c r="L66" s="33"/>
      <c r="M66" s="55"/>
      <c r="N66" s="34"/>
      <c r="O66" s="35"/>
      <c r="P66" s="36"/>
      <c r="Q66" s="43"/>
      <c r="R66" s="64"/>
      <c r="S66" s="18"/>
    </row>
    <row r="67" spans="1:19" ht="21" x14ac:dyDescent="0.35">
      <c r="A67" s="108"/>
      <c r="B67" s="28"/>
      <c r="C67" s="66"/>
      <c r="D67" s="30"/>
      <c r="E67" s="30"/>
      <c r="F67" s="31"/>
      <c r="G67" s="27"/>
      <c r="H67" s="102"/>
      <c r="I67" s="33"/>
      <c r="J67" s="33"/>
      <c r="K67" s="33"/>
      <c r="L67" s="33"/>
      <c r="M67" s="55"/>
      <c r="N67" s="34"/>
      <c r="O67" s="35"/>
      <c r="P67" s="36"/>
      <c r="Q67" s="71"/>
      <c r="R67" s="64"/>
      <c r="S67" s="18"/>
    </row>
    <row r="68" spans="1:19" ht="21" x14ac:dyDescent="0.35">
      <c r="A68" s="108"/>
      <c r="B68" s="28"/>
      <c r="C68" s="66"/>
      <c r="D68" s="30"/>
      <c r="E68" s="30"/>
      <c r="F68" s="31"/>
      <c r="G68" s="27"/>
      <c r="H68" s="40"/>
      <c r="I68" s="33"/>
      <c r="J68" s="33"/>
      <c r="K68" s="33"/>
      <c r="L68" s="33"/>
      <c r="M68" s="55"/>
      <c r="N68" s="34"/>
      <c r="O68" s="35"/>
      <c r="P68" s="36"/>
      <c r="Q68" s="43"/>
      <c r="R68" s="69"/>
      <c r="S68" s="69"/>
    </row>
    <row r="69" spans="1:19" ht="21" x14ac:dyDescent="0.35">
      <c r="A69" s="108"/>
      <c r="B69" s="28"/>
      <c r="C69" s="66"/>
      <c r="D69" s="30"/>
      <c r="E69" s="30"/>
      <c r="F69" s="31"/>
      <c r="G69" s="27"/>
      <c r="H69" s="72"/>
      <c r="I69" s="33"/>
      <c r="J69" s="33"/>
      <c r="K69" s="33"/>
      <c r="L69" s="33"/>
      <c r="M69" s="2"/>
      <c r="N69" s="74"/>
      <c r="O69" s="35"/>
      <c r="P69" s="36"/>
      <c r="Q69" s="19"/>
      <c r="R69" s="69"/>
      <c r="S69" s="69"/>
    </row>
    <row r="70" spans="1:19" ht="21" x14ac:dyDescent="0.35">
      <c r="A70" s="108"/>
      <c r="B70" s="28"/>
      <c r="C70" s="66"/>
      <c r="D70" s="30"/>
      <c r="E70" s="30"/>
      <c r="F70" s="31"/>
      <c r="G70" s="27"/>
      <c r="H70" s="72"/>
      <c r="I70" s="33"/>
      <c r="J70" s="33"/>
      <c r="K70" s="33"/>
      <c r="L70" s="33"/>
      <c r="M70" s="2"/>
      <c r="N70" s="3"/>
      <c r="O70" s="5"/>
      <c r="P70" s="5"/>
      <c r="Q70" s="73"/>
      <c r="R70" s="69"/>
      <c r="S70" s="69"/>
    </row>
    <row r="71" spans="1:19" ht="21" x14ac:dyDescent="0.35">
      <c r="A71" s="108"/>
      <c r="B71" s="28"/>
      <c r="C71" s="94"/>
      <c r="D71" s="30"/>
      <c r="E71" s="30"/>
      <c r="F71" s="31"/>
      <c r="G71" s="27"/>
      <c r="H71" s="72"/>
      <c r="I71" s="33"/>
      <c r="J71" s="33"/>
      <c r="K71" s="33"/>
      <c r="L71" s="33"/>
      <c r="M71" s="3"/>
      <c r="N71" s="3"/>
      <c r="O71" s="3"/>
      <c r="P71" s="3"/>
      <c r="Q71" s="73"/>
      <c r="R71" s="68"/>
      <c r="S71" s="69"/>
    </row>
    <row r="72" spans="1:19" ht="21" x14ac:dyDescent="0.35">
      <c r="A72" s="108"/>
      <c r="B72" s="28"/>
      <c r="C72" s="94"/>
      <c r="D72" s="30"/>
      <c r="E72" s="30"/>
      <c r="F72" s="31"/>
      <c r="G72" s="27"/>
      <c r="H72" s="72"/>
      <c r="I72" s="33"/>
      <c r="J72" s="33"/>
      <c r="K72" s="33"/>
      <c r="L72" s="33"/>
      <c r="M72" s="3"/>
      <c r="N72" s="3"/>
      <c r="O72" s="5"/>
      <c r="P72" s="5"/>
      <c r="Q72" s="71"/>
      <c r="R72" s="68"/>
      <c r="S72" s="69"/>
    </row>
    <row r="73" spans="1:19" ht="21" x14ac:dyDescent="0.35">
      <c r="A73" s="108"/>
      <c r="B73" s="28"/>
      <c r="C73" s="66"/>
      <c r="D73" s="30"/>
      <c r="E73" s="30"/>
      <c r="F73" s="31"/>
      <c r="G73" s="27"/>
      <c r="H73" s="72"/>
      <c r="I73" s="33"/>
      <c r="J73" s="33"/>
      <c r="K73" s="33"/>
      <c r="L73" s="33"/>
      <c r="M73" s="3"/>
      <c r="N73" s="3"/>
      <c r="O73" s="5"/>
      <c r="P73" s="5"/>
      <c r="Q73" s="73"/>
      <c r="R73" s="76"/>
      <c r="S73" s="77"/>
    </row>
    <row r="74" spans="1:19" ht="21" x14ac:dyDescent="0.35">
      <c r="A74" s="108"/>
      <c r="B74" s="28"/>
      <c r="C74" s="66"/>
      <c r="D74" s="30"/>
      <c r="E74" s="30"/>
      <c r="F74" s="31"/>
      <c r="G74" s="27"/>
      <c r="H74" s="72"/>
      <c r="I74" s="33"/>
      <c r="J74" s="33"/>
      <c r="K74" s="33"/>
      <c r="L74" s="33"/>
      <c r="M74" s="3"/>
      <c r="N74" s="3"/>
      <c r="O74" s="5"/>
      <c r="P74" s="5"/>
      <c r="Q74" s="73"/>
      <c r="R74" s="76"/>
      <c r="S74" s="77"/>
    </row>
    <row r="75" spans="1:19" ht="21" x14ac:dyDescent="0.35">
      <c r="A75" s="108"/>
      <c r="B75" s="28"/>
      <c r="C75" s="66"/>
      <c r="D75" s="30"/>
      <c r="E75" s="30"/>
      <c r="F75" s="31"/>
      <c r="G75" s="27"/>
      <c r="H75" s="72"/>
      <c r="I75" s="33"/>
      <c r="J75" s="33"/>
      <c r="K75" s="33"/>
      <c r="L75" s="33"/>
      <c r="M75" s="3"/>
      <c r="N75" s="3"/>
      <c r="O75" s="5"/>
      <c r="P75" s="5"/>
      <c r="Q75" s="73"/>
      <c r="R75" s="76"/>
      <c r="S75" s="77"/>
    </row>
    <row r="76" spans="1:19" ht="21" x14ac:dyDescent="0.35">
      <c r="A76" s="108"/>
      <c r="B76" s="28"/>
      <c r="C76" s="66"/>
      <c r="D76" s="30"/>
      <c r="E76" s="30"/>
      <c r="F76" s="31"/>
      <c r="G76" s="27"/>
      <c r="H76" s="75"/>
      <c r="I76" s="33"/>
      <c r="J76" s="33"/>
      <c r="K76" s="33"/>
      <c r="L76" s="33"/>
      <c r="M76" s="3"/>
      <c r="N76" s="3"/>
      <c r="O76" s="5"/>
      <c r="P76" s="5"/>
      <c r="Q76" s="73"/>
      <c r="R76" s="76"/>
      <c r="S76" s="77"/>
    </row>
    <row r="77" spans="1:19" ht="21" x14ac:dyDescent="0.35">
      <c r="A77" s="108"/>
      <c r="B77" s="28"/>
      <c r="C77" s="78"/>
      <c r="D77" s="30"/>
      <c r="E77" s="30"/>
      <c r="F77" s="31"/>
      <c r="G77" s="27"/>
      <c r="H77" s="75"/>
      <c r="I77" s="33"/>
      <c r="J77" s="33"/>
      <c r="K77" s="33"/>
      <c r="L77" s="33"/>
      <c r="M77" s="1"/>
      <c r="N77" s="1"/>
      <c r="O77" s="5"/>
      <c r="P77" s="5"/>
      <c r="Q77" s="73"/>
      <c r="R77" s="79"/>
      <c r="S77" s="80"/>
    </row>
    <row r="78" spans="1:19" ht="21" x14ac:dyDescent="0.35">
      <c r="A78" s="108"/>
      <c r="B78" s="28"/>
      <c r="C78" s="66"/>
      <c r="D78" s="30"/>
      <c r="E78" s="30"/>
      <c r="F78" s="31"/>
      <c r="G78" s="27"/>
      <c r="H78" s="40"/>
      <c r="I78" s="33"/>
      <c r="J78" s="33"/>
      <c r="K78" s="33"/>
      <c r="L78" s="33"/>
      <c r="M78" s="1"/>
      <c r="N78" s="1"/>
      <c r="O78" s="5"/>
      <c r="P78" s="5"/>
      <c r="Q78" s="73"/>
      <c r="R78" s="79"/>
      <c r="S78" s="80"/>
    </row>
    <row r="79" spans="1:19" ht="21" x14ac:dyDescent="0.35">
      <c r="A79" s="108"/>
      <c r="B79" s="28"/>
      <c r="C79" s="66"/>
      <c r="D79" s="30"/>
      <c r="E79" s="30"/>
      <c r="F79" s="31"/>
      <c r="G79" s="27"/>
      <c r="H79" s="75"/>
      <c r="I79" s="33"/>
      <c r="J79" s="33"/>
      <c r="K79" s="33"/>
      <c r="L79" s="33"/>
      <c r="M79" s="1"/>
      <c r="N79" s="1"/>
      <c r="O79" s="5"/>
      <c r="P79" s="5"/>
      <c r="Q79" s="73"/>
      <c r="R79" s="79"/>
      <c r="S79" s="80"/>
    </row>
    <row r="80" spans="1:19" ht="21" x14ac:dyDescent="0.35">
      <c r="A80" s="108"/>
      <c r="B80" s="28"/>
      <c r="C80" s="66"/>
      <c r="D80" s="30"/>
      <c r="E80" s="30"/>
      <c r="F80" s="31"/>
      <c r="G80" s="27"/>
      <c r="H80" s="75"/>
      <c r="I80" s="33"/>
      <c r="J80" s="33"/>
      <c r="K80" s="33"/>
      <c r="L80" s="33"/>
      <c r="M80" s="1"/>
      <c r="N80" s="1"/>
      <c r="O80" s="5"/>
      <c r="P80" s="5"/>
      <c r="Q80" s="73"/>
      <c r="R80" s="81"/>
      <c r="S80" s="82"/>
    </row>
    <row r="81" spans="1:19" ht="21" x14ac:dyDescent="0.35">
      <c r="A81" s="108"/>
      <c r="B81" s="28"/>
      <c r="C81" s="66"/>
      <c r="D81" s="30"/>
      <c r="E81" s="30"/>
      <c r="F81" s="31"/>
      <c r="G81" s="27"/>
      <c r="H81" s="75"/>
      <c r="I81" s="33"/>
      <c r="J81" s="33"/>
      <c r="K81" s="33"/>
      <c r="L81" s="33"/>
      <c r="M81" s="1"/>
      <c r="N81" s="1"/>
      <c r="O81" s="5"/>
      <c r="P81" s="5"/>
      <c r="Q81" s="73"/>
      <c r="R81" s="81"/>
      <c r="S81" s="82"/>
    </row>
    <row r="82" spans="1:19" ht="21" x14ac:dyDescent="0.35">
      <c r="A82" s="108"/>
      <c r="B82" s="28"/>
      <c r="C82" s="66"/>
      <c r="D82" s="30"/>
      <c r="E82" s="30"/>
      <c r="F82" s="31"/>
      <c r="G82" s="27"/>
      <c r="H82" s="75"/>
      <c r="I82" s="33"/>
      <c r="J82" s="33"/>
      <c r="K82" s="33"/>
      <c r="L82" s="33"/>
      <c r="M82" s="1"/>
      <c r="N82" s="1"/>
      <c r="O82" s="5"/>
      <c r="P82" s="5"/>
      <c r="Q82" s="73"/>
      <c r="R82" s="81"/>
      <c r="S82" s="83"/>
    </row>
    <row r="83" spans="1:19" ht="21" x14ac:dyDescent="0.35">
      <c r="A83" s="108"/>
      <c r="B83" s="28"/>
      <c r="C83" s="66"/>
      <c r="D83" s="30"/>
      <c r="E83" s="30"/>
      <c r="F83" s="31"/>
      <c r="G83" s="27"/>
      <c r="H83" s="75"/>
      <c r="I83" s="33"/>
      <c r="J83" s="33"/>
      <c r="K83" s="33"/>
      <c r="L83" s="33"/>
      <c r="M83" s="1"/>
      <c r="N83" s="1"/>
      <c r="O83" s="5"/>
      <c r="P83" s="5"/>
      <c r="Q83" s="73"/>
      <c r="R83" s="81"/>
      <c r="S83" s="83"/>
    </row>
    <row r="84" spans="1:19" ht="21" x14ac:dyDescent="0.35">
      <c r="A84" s="108"/>
      <c r="B84" s="28"/>
      <c r="C84" s="66"/>
      <c r="D84" s="30"/>
      <c r="E84" s="30"/>
      <c r="F84" s="31"/>
      <c r="G84" s="27"/>
      <c r="H84" s="75"/>
      <c r="I84" s="33"/>
      <c r="J84" s="33"/>
      <c r="K84" s="33"/>
      <c r="L84" s="33"/>
      <c r="M84" s="1"/>
      <c r="N84" s="1"/>
      <c r="O84" s="5"/>
      <c r="P84" s="5"/>
      <c r="Q84" s="73"/>
      <c r="R84" s="81"/>
      <c r="S84" s="83"/>
    </row>
    <row r="85" spans="1:19" ht="21" x14ac:dyDescent="0.35">
      <c r="A85" s="108"/>
      <c r="B85" s="28"/>
      <c r="C85" s="66"/>
      <c r="D85" s="30"/>
      <c r="E85" s="30"/>
      <c r="F85" s="31"/>
      <c r="G85" s="27"/>
      <c r="H85" s="75"/>
      <c r="I85" s="33"/>
      <c r="J85" s="33"/>
      <c r="K85" s="33"/>
      <c r="L85" s="33"/>
      <c r="M85" s="1"/>
      <c r="N85" s="1"/>
      <c r="O85" s="5"/>
      <c r="P85" s="5"/>
      <c r="Q85" s="73"/>
      <c r="R85" s="76"/>
      <c r="S85" s="77"/>
    </row>
    <row r="86" spans="1:19" ht="21" x14ac:dyDescent="0.35">
      <c r="A86" s="108"/>
      <c r="B86" s="28"/>
      <c r="C86" s="66"/>
      <c r="D86" s="30"/>
      <c r="E86" s="30"/>
      <c r="F86" s="31"/>
      <c r="G86" s="27"/>
      <c r="H86" s="4"/>
      <c r="I86" s="33"/>
      <c r="J86" s="33"/>
      <c r="K86" s="33"/>
      <c r="L86" s="33"/>
      <c r="M86" s="1"/>
      <c r="N86" s="1"/>
      <c r="O86" s="5"/>
      <c r="P86" s="5"/>
      <c r="Q86" s="73"/>
      <c r="R86" s="81"/>
      <c r="S86" s="81"/>
    </row>
    <row r="87" spans="1:19" ht="21" x14ac:dyDescent="0.35">
      <c r="A87" s="108"/>
      <c r="B87" s="28"/>
      <c r="C87" s="66"/>
      <c r="D87" s="30"/>
      <c r="E87" s="30"/>
      <c r="F87" s="31"/>
      <c r="G87" s="27"/>
      <c r="H87" s="4"/>
      <c r="I87" s="33"/>
      <c r="J87" s="33"/>
      <c r="K87" s="33"/>
      <c r="L87" s="33"/>
      <c r="M87" s="1"/>
      <c r="N87" s="1"/>
      <c r="O87" s="5"/>
      <c r="P87" s="5"/>
      <c r="Q87" s="73"/>
      <c r="R87" s="81"/>
      <c r="S87" s="81"/>
    </row>
    <row r="88" spans="1:19" ht="21" x14ac:dyDescent="0.35">
      <c r="A88" s="108"/>
      <c r="B88" s="28"/>
      <c r="C88" s="66"/>
      <c r="D88" s="30"/>
      <c r="E88" s="30"/>
      <c r="F88" s="31"/>
      <c r="G88" s="27"/>
      <c r="H88" s="72"/>
      <c r="I88" s="33"/>
      <c r="J88" s="33"/>
      <c r="K88" s="33"/>
      <c r="L88" s="33"/>
      <c r="M88" s="1"/>
      <c r="N88" s="1"/>
      <c r="O88" s="5"/>
      <c r="P88" s="5"/>
      <c r="Q88" s="73"/>
      <c r="R88" s="81"/>
      <c r="S88" s="81"/>
    </row>
    <row r="89" spans="1:19" ht="21" x14ac:dyDescent="0.35">
      <c r="A89" s="108"/>
      <c r="B89" s="28"/>
      <c r="C89" s="66"/>
      <c r="D89" s="30"/>
      <c r="E89" s="30"/>
      <c r="F89" s="31"/>
      <c r="G89" s="27"/>
      <c r="H89" s="84"/>
      <c r="I89" s="33"/>
      <c r="J89" s="33"/>
      <c r="K89" s="33"/>
      <c r="L89" s="33"/>
      <c r="M89" s="107"/>
      <c r="N89" s="107"/>
      <c r="O89" s="5"/>
      <c r="P89" s="5"/>
      <c r="Q89" s="73"/>
      <c r="R89" s="79"/>
      <c r="S89" s="79"/>
    </row>
    <row r="90" spans="1:19" ht="21" x14ac:dyDescent="0.35">
      <c r="A90" s="108"/>
      <c r="B90" s="28"/>
      <c r="C90" s="66"/>
      <c r="D90" s="30"/>
      <c r="E90" s="30"/>
      <c r="F90" s="31"/>
      <c r="G90" s="70"/>
      <c r="H90" s="4"/>
      <c r="I90" s="33"/>
      <c r="J90" s="33"/>
      <c r="K90" s="33"/>
      <c r="L90" s="33"/>
      <c r="M90" s="107"/>
      <c r="N90" s="107"/>
      <c r="O90" s="5"/>
      <c r="P90" s="5"/>
      <c r="Q90" s="73"/>
      <c r="R90" s="79"/>
      <c r="S90" s="79"/>
    </row>
    <row r="91" spans="1:19" ht="21" x14ac:dyDescent="0.35">
      <c r="A91" s="108"/>
      <c r="B91" s="28"/>
      <c r="C91" s="66"/>
      <c r="D91" s="30"/>
      <c r="E91" s="96"/>
      <c r="F91" s="97"/>
      <c r="G91" s="87"/>
      <c r="H91" s="85"/>
      <c r="I91" s="33"/>
      <c r="J91" s="33"/>
      <c r="K91" s="33"/>
      <c r="L91" s="33"/>
      <c r="M91" s="107"/>
      <c r="N91" s="107"/>
      <c r="O91" s="5"/>
      <c r="P91" s="5"/>
      <c r="Q91" s="73"/>
      <c r="R91" s="79"/>
      <c r="S91" s="83"/>
    </row>
    <row r="92" spans="1:19" ht="21" x14ac:dyDescent="0.35">
      <c r="A92" s="108"/>
      <c r="B92" s="28"/>
      <c r="C92" s="66"/>
      <c r="D92" s="30"/>
      <c r="E92" s="30"/>
      <c r="F92" s="31"/>
      <c r="G92" s="87"/>
      <c r="H92" s="85"/>
      <c r="I92" s="33"/>
      <c r="J92" s="33"/>
      <c r="K92" s="33"/>
      <c r="L92" s="33"/>
      <c r="M92" s="107"/>
      <c r="N92" s="107"/>
      <c r="O92" s="5"/>
      <c r="P92" s="5"/>
      <c r="Q92" s="73"/>
      <c r="R92" s="79"/>
      <c r="S92" s="79"/>
    </row>
    <row r="93" spans="1:19" ht="21" x14ac:dyDescent="0.35">
      <c r="A93" s="108"/>
      <c r="B93" s="28"/>
      <c r="C93" s="66"/>
      <c r="D93" s="30"/>
      <c r="E93" s="30"/>
      <c r="F93" s="31"/>
      <c r="G93" s="87"/>
      <c r="H93" s="31"/>
      <c r="I93" s="33"/>
      <c r="J93" s="33"/>
      <c r="K93" s="33"/>
      <c r="L93" s="33"/>
      <c r="M93" s="107"/>
      <c r="N93" s="107"/>
      <c r="O93" s="5"/>
      <c r="P93" s="5"/>
      <c r="Q93" s="73"/>
      <c r="R93" s="64"/>
      <c r="S93" s="18"/>
    </row>
    <row r="94" spans="1:19" ht="21" x14ac:dyDescent="0.35">
      <c r="A94" s="108"/>
      <c r="B94" s="28"/>
      <c r="C94" s="66"/>
      <c r="D94" s="30"/>
      <c r="E94" s="30"/>
      <c r="F94" s="31"/>
      <c r="G94" s="27"/>
      <c r="H94" s="75"/>
      <c r="I94" s="33"/>
      <c r="J94" s="33"/>
      <c r="K94" s="33"/>
      <c r="L94" s="33"/>
      <c r="M94" s="29"/>
      <c r="N94" s="34"/>
      <c r="O94" s="35"/>
      <c r="P94" s="36"/>
      <c r="Q94" s="73"/>
      <c r="R94" s="100"/>
      <c r="S94" s="100"/>
    </row>
    <row r="95" spans="1:19" ht="21" x14ac:dyDescent="0.35">
      <c r="A95" s="108"/>
      <c r="B95" s="28"/>
      <c r="C95" s="66"/>
      <c r="D95" s="30"/>
      <c r="E95" s="30"/>
      <c r="F95" s="31"/>
      <c r="G95" s="27"/>
      <c r="H95" s="54"/>
      <c r="I95" s="33"/>
      <c r="J95" s="33"/>
      <c r="K95" s="33"/>
      <c r="L95" s="33"/>
      <c r="M95" s="29"/>
      <c r="N95" s="34"/>
      <c r="O95" s="35"/>
      <c r="P95" s="36"/>
      <c r="Q95" s="73"/>
      <c r="R95" s="93"/>
      <c r="S95" s="93"/>
    </row>
    <row r="96" spans="1:19" ht="21" x14ac:dyDescent="0.35">
      <c r="A96" s="108"/>
      <c r="B96" s="28"/>
      <c r="C96" s="66"/>
      <c r="D96" s="30"/>
      <c r="E96" s="30"/>
      <c r="F96" s="31"/>
      <c r="G96" s="27"/>
      <c r="H96" s="54"/>
      <c r="I96" s="33"/>
      <c r="J96" s="33"/>
      <c r="K96" s="33"/>
      <c r="L96" s="33"/>
      <c r="M96" s="29"/>
      <c r="N96" s="34"/>
      <c r="O96" s="35"/>
      <c r="P96" s="36"/>
      <c r="Q96" s="73"/>
      <c r="R96" s="64"/>
      <c r="S96" s="104"/>
    </row>
    <row r="97" spans="1:19" ht="21" x14ac:dyDescent="0.35">
      <c r="A97" s="108"/>
      <c r="B97" s="28"/>
      <c r="C97" s="66"/>
      <c r="D97" s="30"/>
      <c r="E97" s="30"/>
      <c r="F97" s="31"/>
      <c r="G97" s="27"/>
      <c r="H97" s="54"/>
      <c r="I97" s="33"/>
      <c r="J97" s="33"/>
      <c r="K97" s="33"/>
      <c r="L97" s="33"/>
      <c r="M97" s="29"/>
      <c r="N97" s="34"/>
      <c r="O97" s="35"/>
      <c r="P97" s="36"/>
      <c r="Q97" s="73"/>
      <c r="R97" s="93"/>
      <c r="S97" s="103"/>
    </row>
    <row r="98" spans="1:19" ht="21" x14ac:dyDescent="0.35">
      <c r="A98" s="108"/>
      <c r="B98" s="28"/>
      <c r="C98" s="66"/>
      <c r="D98" s="30"/>
      <c r="E98" s="30"/>
      <c r="F98" s="31"/>
      <c r="G98" s="27"/>
      <c r="H98" s="75"/>
      <c r="I98" s="33"/>
      <c r="J98" s="33"/>
      <c r="K98" s="33"/>
      <c r="L98" s="33"/>
      <c r="M98" s="29"/>
      <c r="N98" s="34"/>
      <c r="O98" s="35"/>
      <c r="P98" s="36"/>
      <c r="Q98" s="73"/>
      <c r="R98" s="93"/>
      <c r="S98" s="104"/>
    </row>
    <row r="99" spans="1:19" ht="21" x14ac:dyDescent="0.35">
      <c r="A99" s="108"/>
      <c r="B99" s="28"/>
      <c r="C99" s="66"/>
      <c r="D99" s="30"/>
      <c r="E99" s="30"/>
      <c r="F99" s="31"/>
      <c r="G99" s="27"/>
      <c r="H99" s="75"/>
      <c r="I99" s="33"/>
      <c r="J99" s="33"/>
      <c r="K99" s="33"/>
      <c r="L99" s="33"/>
      <c r="M99" s="29"/>
      <c r="N99" s="34"/>
      <c r="O99" s="35"/>
      <c r="P99" s="36"/>
      <c r="Q99" s="73"/>
      <c r="R99" s="93"/>
      <c r="S99" s="105"/>
    </row>
    <row r="100" spans="1:19" ht="21" x14ac:dyDescent="0.35">
      <c r="A100" s="108"/>
      <c r="B100" s="28"/>
      <c r="C100" s="66"/>
      <c r="D100" s="30"/>
      <c r="E100" s="30"/>
      <c r="F100" s="31"/>
      <c r="G100" s="27"/>
      <c r="H100" s="75"/>
      <c r="I100" s="33"/>
      <c r="J100" s="33"/>
      <c r="K100" s="33"/>
      <c r="L100" s="33"/>
      <c r="M100" s="29"/>
      <c r="N100" s="34"/>
      <c r="O100" s="35"/>
      <c r="P100" s="36"/>
      <c r="Q100" s="73"/>
      <c r="R100" s="109"/>
      <c r="S100" s="110"/>
    </row>
    <row r="101" spans="1:19" ht="21" x14ac:dyDescent="0.35">
      <c r="A101" s="108"/>
      <c r="B101" s="28"/>
      <c r="C101" s="66"/>
      <c r="D101" s="30"/>
      <c r="E101" s="30"/>
      <c r="F101" s="31"/>
      <c r="G101" s="27"/>
      <c r="H101" s="75"/>
      <c r="I101" s="33"/>
      <c r="J101" s="33"/>
      <c r="K101" s="33"/>
      <c r="L101" s="33"/>
      <c r="M101" s="29"/>
      <c r="N101" s="34"/>
      <c r="O101" s="35"/>
      <c r="P101" s="36"/>
      <c r="Q101" s="113"/>
      <c r="R101" s="109"/>
      <c r="S101" s="111"/>
    </row>
    <row r="102" spans="1:19" ht="21" x14ac:dyDescent="0.35">
      <c r="A102" s="108"/>
      <c r="B102" s="28"/>
      <c r="C102" s="66"/>
      <c r="D102" s="30"/>
      <c r="E102" s="30"/>
      <c r="F102" s="31"/>
      <c r="G102" s="27"/>
      <c r="H102" s="72"/>
      <c r="I102" s="33"/>
      <c r="J102" s="33"/>
      <c r="K102" s="33"/>
      <c r="L102" s="33"/>
      <c r="M102" s="29"/>
      <c r="N102" s="34"/>
      <c r="O102" s="35"/>
      <c r="P102" s="36"/>
      <c r="Q102" s="73"/>
      <c r="R102" s="109"/>
      <c r="S102" s="110"/>
    </row>
    <row r="103" spans="1:19" ht="21" x14ac:dyDescent="0.35">
      <c r="A103" s="108"/>
      <c r="B103" s="28"/>
      <c r="C103" s="66"/>
      <c r="D103" s="30"/>
      <c r="E103" s="30"/>
      <c r="F103" s="31"/>
      <c r="G103" s="115"/>
      <c r="H103" s="75"/>
      <c r="I103" s="33"/>
      <c r="J103" s="33"/>
      <c r="K103" s="33"/>
      <c r="L103" s="33"/>
      <c r="M103" s="29"/>
      <c r="N103" s="34"/>
      <c r="O103" s="35"/>
      <c r="P103" s="36"/>
      <c r="Q103" s="73"/>
      <c r="R103" s="109"/>
      <c r="S103" s="110"/>
    </row>
    <row r="104" spans="1:19" ht="21" x14ac:dyDescent="0.35">
      <c r="A104" s="108"/>
      <c r="B104" s="28"/>
      <c r="C104" s="66"/>
      <c r="D104" s="30"/>
      <c r="E104" s="30"/>
      <c r="F104" s="31"/>
      <c r="G104" s="27"/>
      <c r="H104" s="72"/>
      <c r="I104" s="33"/>
      <c r="J104" s="33"/>
      <c r="K104" s="33"/>
      <c r="L104" s="33"/>
      <c r="M104" s="29"/>
      <c r="N104" s="34"/>
      <c r="O104" s="35"/>
      <c r="P104" s="36"/>
      <c r="Q104" s="73"/>
      <c r="R104" s="109"/>
      <c r="S104" s="110"/>
    </row>
    <row r="105" spans="1:19" ht="21" x14ac:dyDescent="0.35">
      <c r="A105" s="108"/>
      <c r="B105" s="28"/>
      <c r="C105" s="66"/>
      <c r="D105" s="30"/>
      <c r="E105" s="30"/>
      <c r="F105" s="31"/>
      <c r="G105" s="27"/>
      <c r="H105" s="75"/>
      <c r="I105" s="33"/>
      <c r="J105" s="33"/>
      <c r="K105" s="33"/>
      <c r="L105" s="33"/>
      <c r="M105" s="29"/>
      <c r="N105" s="34"/>
      <c r="O105" s="35"/>
      <c r="P105" s="36"/>
      <c r="Q105" s="73"/>
      <c r="R105" s="109"/>
      <c r="S105" s="110"/>
    </row>
    <row r="106" spans="1:19" ht="21" x14ac:dyDescent="0.35">
      <c r="A106" s="108"/>
      <c r="B106" s="28"/>
      <c r="C106" s="66"/>
      <c r="D106" s="30"/>
      <c r="E106" s="30"/>
      <c r="F106" s="31"/>
      <c r="G106" s="27"/>
      <c r="H106" s="75"/>
      <c r="I106" s="33"/>
      <c r="J106" s="33"/>
      <c r="K106" s="33"/>
      <c r="L106" s="33"/>
      <c r="M106" s="29"/>
      <c r="N106" s="34"/>
      <c r="O106" s="35"/>
      <c r="P106" s="36"/>
      <c r="Q106" s="73"/>
      <c r="R106" s="109"/>
      <c r="S106" s="110"/>
    </row>
    <row r="107" spans="1:19" ht="21" x14ac:dyDescent="0.35">
      <c r="A107" s="108"/>
      <c r="B107" s="28"/>
      <c r="C107" s="66"/>
      <c r="D107" s="30"/>
      <c r="E107" s="30"/>
      <c r="F107" s="31"/>
      <c r="G107" s="27"/>
      <c r="H107" s="75"/>
      <c r="I107" s="33"/>
      <c r="J107" s="33"/>
      <c r="K107" s="33"/>
      <c r="L107" s="33"/>
      <c r="M107" s="29"/>
      <c r="N107" s="34"/>
      <c r="O107" s="35"/>
      <c r="P107" s="36"/>
      <c r="Q107" s="73"/>
      <c r="R107" s="109"/>
      <c r="S107" s="110"/>
    </row>
    <row r="108" spans="1:19" ht="21" x14ac:dyDescent="0.35">
      <c r="A108" s="108"/>
      <c r="B108" s="28"/>
      <c r="C108" s="66"/>
      <c r="D108" s="30"/>
      <c r="E108" s="30"/>
      <c r="F108" s="31"/>
      <c r="G108" s="115"/>
      <c r="H108" s="75"/>
      <c r="I108" s="33"/>
      <c r="J108" s="33"/>
      <c r="K108" s="33"/>
      <c r="L108" s="33"/>
      <c r="M108" s="29"/>
      <c r="N108" s="34"/>
      <c r="O108" s="35"/>
      <c r="P108" s="36"/>
      <c r="Q108" s="73"/>
      <c r="R108" s="109"/>
      <c r="S108" s="110"/>
    </row>
    <row r="109" spans="1:19" ht="21" x14ac:dyDescent="0.35">
      <c r="A109" s="108"/>
      <c r="B109" s="28"/>
      <c r="C109" s="66"/>
      <c r="D109" s="30"/>
      <c r="E109" s="30"/>
      <c r="F109" s="31"/>
      <c r="G109" s="27"/>
      <c r="H109" s="75"/>
      <c r="I109" s="33"/>
      <c r="J109" s="33"/>
      <c r="K109" s="33"/>
      <c r="L109" s="33"/>
      <c r="M109" s="29"/>
      <c r="N109" s="34"/>
      <c r="O109" s="35"/>
      <c r="P109" s="36"/>
      <c r="Q109" s="73"/>
      <c r="R109" s="109"/>
      <c r="S109" s="110"/>
    </row>
    <row r="110" spans="1:19" ht="21" x14ac:dyDescent="0.35">
      <c r="A110" s="108"/>
      <c r="B110" s="28"/>
      <c r="C110" s="66"/>
      <c r="D110" s="30"/>
      <c r="E110" s="30"/>
      <c r="F110" s="31"/>
      <c r="G110" s="27"/>
      <c r="H110" s="75"/>
      <c r="I110" s="33"/>
      <c r="J110" s="33"/>
      <c r="K110" s="33"/>
      <c r="L110" s="33"/>
      <c r="M110" s="29"/>
      <c r="N110" s="34"/>
      <c r="O110" s="35"/>
      <c r="P110" s="36"/>
      <c r="Q110" s="73"/>
      <c r="R110" s="109"/>
      <c r="S110" s="110"/>
    </row>
    <row r="111" spans="1:19" ht="21" x14ac:dyDescent="0.35">
      <c r="A111" s="108"/>
      <c r="B111" s="28"/>
      <c r="C111" s="106"/>
      <c r="D111" s="30"/>
      <c r="E111" s="30"/>
      <c r="F111" s="31"/>
      <c r="G111" s="27"/>
      <c r="H111" s="54"/>
      <c r="I111" s="33"/>
      <c r="J111" s="33"/>
      <c r="K111" s="33"/>
      <c r="L111" s="33"/>
      <c r="M111" s="29"/>
      <c r="N111" s="34"/>
      <c r="O111" s="35"/>
      <c r="P111" s="36"/>
      <c r="Q111" s="73"/>
      <c r="R111" s="109"/>
      <c r="S111" s="110"/>
    </row>
    <row r="112" spans="1:19" ht="21" x14ac:dyDescent="0.35">
      <c r="A112" s="108"/>
      <c r="B112" s="28"/>
      <c r="C112" s="106"/>
      <c r="D112" s="30"/>
      <c r="E112" s="30"/>
      <c r="F112" s="31"/>
      <c r="G112" s="115"/>
      <c r="H112" s="85"/>
      <c r="I112" s="33"/>
      <c r="J112" s="33"/>
      <c r="K112" s="33"/>
      <c r="L112" s="33"/>
      <c r="M112" s="29"/>
      <c r="N112" s="34"/>
      <c r="O112" s="35"/>
      <c r="P112" s="36"/>
      <c r="Q112" s="73"/>
      <c r="R112" s="105"/>
      <c r="S112" s="105"/>
    </row>
    <row r="113" spans="1:19" ht="21" x14ac:dyDescent="0.35">
      <c r="A113" s="108"/>
      <c r="B113" s="28"/>
      <c r="C113" s="106"/>
      <c r="D113" s="30"/>
      <c r="E113" s="30"/>
      <c r="F113" s="31"/>
      <c r="G113" s="27"/>
      <c r="H113" s="84"/>
      <c r="I113" s="33"/>
      <c r="J113" s="33"/>
      <c r="K113" s="33"/>
      <c r="L113" s="33"/>
      <c r="M113" s="29"/>
      <c r="N113" s="34"/>
      <c r="O113" s="35"/>
      <c r="P113" s="36"/>
      <c r="Q113" s="73"/>
      <c r="R113" s="105"/>
      <c r="S113" s="105"/>
    </row>
    <row r="114" spans="1:19" ht="21" x14ac:dyDescent="0.35">
      <c r="A114" s="108"/>
      <c r="B114" s="28"/>
      <c r="C114" s="66"/>
      <c r="D114" s="30"/>
      <c r="E114" s="30"/>
      <c r="F114" s="31"/>
      <c r="G114" s="27"/>
      <c r="H114" s="72"/>
      <c r="I114" s="33"/>
      <c r="J114" s="33"/>
      <c r="K114" s="33"/>
      <c r="L114" s="33"/>
      <c r="M114" s="29"/>
      <c r="N114" s="34"/>
      <c r="O114" s="35"/>
      <c r="P114" s="36"/>
      <c r="Q114" s="73"/>
      <c r="R114" s="105"/>
      <c r="S114" s="105"/>
    </row>
    <row r="115" spans="1:19" ht="21" x14ac:dyDescent="0.35">
      <c r="A115" s="108"/>
      <c r="B115" s="28"/>
      <c r="C115" s="66"/>
      <c r="D115" s="30"/>
      <c r="E115" s="30"/>
      <c r="F115" s="31"/>
      <c r="G115" s="27"/>
      <c r="H115" s="32"/>
      <c r="I115" s="33"/>
      <c r="J115" s="33"/>
      <c r="K115" s="33"/>
      <c r="L115" s="33"/>
      <c r="M115" s="29"/>
      <c r="N115" s="34"/>
      <c r="O115" s="35"/>
      <c r="P115" s="36"/>
      <c r="Q115" s="73"/>
      <c r="R115" s="62"/>
      <c r="S115" s="42"/>
    </row>
    <row r="116" spans="1:19" ht="21" x14ac:dyDescent="0.35">
      <c r="A116" s="108"/>
      <c r="B116" s="28"/>
      <c r="C116" s="106"/>
      <c r="D116" s="30"/>
      <c r="E116" s="30"/>
      <c r="F116" s="31"/>
      <c r="G116" s="115"/>
      <c r="H116" s="75"/>
      <c r="I116" s="33"/>
      <c r="J116" s="33"/>
      <c r="K116" s="33"/>
      <c r="L116" s="33"/>
      <c r="M116" s="29"/>
      <c r="N116" s="34"/>
      <c r="O116" s="35"/>
      <c r="P116" s="36"/>
      <c r="Q116" s="73"/>
      <c r="R116" s="105"/>
      <c r="S116" s="105"/>
    </row>
    <row r="117" spans="1:19" ht="21" x14ac:dyDescent="0.35">
      <c r="A117" s="108"/>
      <c r="B117" s="28"/>
      <c r="C117" s="66"/>
      <c r="D117" s="30"/>
      <c r="E117" s="30"/>
      <c r="F117" s="31"/>
      <c r="G117" s="115"/>
      <c r="H117" s="72"/>
      <c r="I117" s="33"/>
      <c r="J117" s="33"/>
      <c r="K117" s="33"/>
      <c r="L117" s="33"/>
      <c r="M117" s="29"/>
      <c r="N117" s="34"/>
      <c r="O117" s="35"/>
      <c r="P117" s="36"/>
      <c r="Q117" s="73"/>
      <c r="R117" s="62"/>
      <c r="S117" s="42"/>
    </row>
    <row r="118" spans="1:19" ht="21" x14ac:dyDescent="0.35">
      <c r="A118" s="108"/>
      <c r="B118" s="28"/>
      <c r="C118" s="66"/>
      <c r="D118" s="30"/>
      <c r="E118" s="30"/>
      <c r="F118" s="31"/>
      <c r="G118" s="87"/>
      <c r="H118" s="72"/>
      <c r="I118" s="33"/>
      <c r="J118" s="33"/>
      <c r="K118" s="33"/>
      <c r="L118" s="33"/>
      <c r="M118" s="29"/>
      <c r="N118" s="34"/>
      <c r="O118" s="35"/>
      <c r="P118" s="36"/>
      <c r="Q118" s="73"/>
      <c r="R118" s="62"/>
      <c r="S118" s="42"/>
    </row>
    <row r="119" spans="1:19" ht="21" x14ac:dyDescent="0.35">
      <c r="A119" s="108"/>
      <c r="B119" s="28"/>
      <c r="C119" s="66"/>
      <c r="D119" s="30"/>
      <c r="E119" s="30"/>
      <c r="F119" s="31"/>
      <c r="G119" s="27"/>
      <c r="H119" s="72"/>
      <c r="I119" s="33"/>
      <c r="J119" s="33"/>
      <c r="K119" s="33"/>
      <c r="L119" s="33"/>
      <c r="M119" s="29"/>
      <c r="N119" s="34"/>
      <c r="O119" s="35"/>
      <c r="P119" s="36"/>
      <c r="Q119" s="73"/>
      <c r="R119" s="62"/>
      <c r="S119" s="42"/>
    </row>
    <row r="120" spans="1:19" ht="21" x14ac:dyDescent="0.35">
      <c r="A120" s="108"/>
      <c r="B120" s="28"/>
      <c r="C120" s="116"/>
      <c r="D120" s="30"/>
      <c r="E120" s="30"/>
      <c r="F120" s="31"/>
      <c r="G120" s="27"/>
      <c r="H120" s="72"/>
      <c r="I120" s="33"/>
      <c r="J120" s="33"/>
      <c r="K120" s="33"/>
      <c r="L120" s="33"/>
      <c r="M120" s="29"/>
      <c r="N120" s="34"/>
      <c r="O120" s="35"/>
      <c r="P120" s="36"/>
      <c r="Q120" s="73"/>
      <c r="R120" s="62"/>
      <c r="S120" s="42"/>
    </row>
    <row r="121" spans="1:19" ht="21" x14ac:dyDescent="0.35">
      <c r="A121" s="108"/>
      <c r="B121" s="28"/>
      <c r="C121" s="66"/>
      <c r="D121" s="30"/>
      <c r="E121" s="30"/>
      <c r="F121" s="31"/>
      <c r="G121" s="27"/>
      <c r="H121" s="72"/>
      <c r="I121" s="33"/>
      <c r="J121" s="33"/>
      <c r="K121" s="33"/>
      <c r="L121" s="33"/>
      <c r="M121" s="29"/>
      <c r="N121" s="34"/>
      <c r="O121" s="35"/>
      <c r="P121" s="36"/>
      <c r="Q121" s="73"/>
      <c r="R121" s="62"/>
      <c r="S121" s="42"/>
    </row>
    <row r="122" spans="1:19" ht="21" x14ac:dyDescent="0.35">
      <c r="A122" s="108"/>
      <c r="B122" s="28"/>
      <c r="C122" s="66"/>
      <c r="D122" s="30"/>
      <c r="E122" s="30"/>
      <c r="F122" s="31"/>
      <c r="G122" s="87"/>
      <c r="H122" s="72"/>
      <c r="I122" s="33"/>
      <c r="J122" s="33"/>
      <c r="K122" s="33"/>
      <c r="L122" s="33"/>
      <c r="M122" s="29"/>
      <c r="N122" s="34"/>
      <c r="O122" s="35"/>
      <c r="P122" s="36"/>
      <c r="Q122" s="73"/>
      <c r="R122" s="62"/>
      <c r="S122" s="42"/>
    </row>
    <row r="123" spans="1:19" ht="21" x14ac:dyDescent="0.35">
      <c r="A123" s="108"/>
      <c r="B123" s="28"/>
      <c r="C123" s="66"/>
      <c r="D123" s="30"/>
      <c r="E123" s="30"/>
      <c r="F123" s="31"/>
      <c r="G123" s="27"/>
      <c r="H123" s="72"/>
      <c r="I123" s="33"/>
      <c r="J123" s="33"/>
      <c r="K123" s="33"/>
      <c r="L123" s="33"/>
      <c r="M123" s="29"/>
      <c r="N123" s="34"/>
      <c r="O123" s="35"/>
      <c r="P123" s="36"/>
      <c r="Q123" s="73"/>
      <c r="R123" s="62"/>
      <c r="S123" s="42"/>
    </row>
    <row r="124" spans="1:19" ht="21" x14ac:dyDescent="0.35">
      <c r="A124" s="108"/>
      <c r="B124" s="28"/>
      <c r="C124" s="66"/>
      <c r="D124" s="30"/>
      <c r="E124" s="30"/>
      <c r="F124" s="31"/>
      <c r="G124" s="27"/>
      <c r="H124" s="72"/>
      <c r="I124" s="33"/>
      <c r="J124" s="33"/>
      <c r="K124" s="33"/>
      <c r="L124" s="33"/>
      <c r="M124" s="29"/>
      <c r="N124" s="34"/>
      <c r="O124" s="35"/>
      <c r="P124" s="36"/>
      <c r="Q124" s="73"/>
      <c r="R124" s="62"/>
      <c r="S124" s="42"/>
    </row>
    <row r="125" spans="1:19" ht="21" x14ac:dyDescent="0.35">
      <c r="A125" s="108"/>
      <c r="B125" s="28"/>
      <c r="C125" s="66"/>
      <c r="D125" s="30"/>
      <c r="E125" s="30"/>
      <c r="F125" s="31"/>
      <c r="G125" s="27"/>
      <c r="H125" s="72"/>
      <c r="I125" s="33"/>
      <c r="J125" s="33"/>
      <c r="K125" s="33"/>
      <c r="L125" s="33"/>
      <c r="M125" s="29"/>
      <c r="N125" s="34"/>
      <c r="O125" s="35"/>
      <c r="P125" s="36"/>
      <c r="Q125" s="73"/>
      <c r="R125" s="62"/>
      <c r="S125" s="42"/>
    </row>
    <row r="126" spans="1:19" ht="21" x14ac:dyDescent="0.35">
      <c r="A126" s="108"/>
      <c r="B126" s="28"/>
      <c r="C126" s="66"/>
      <c r="D126" s="30"/>
      <c r="E126" s="30"/>
      <c r="F126" s="31"/>
      <c r="G126" s="115"/>
      <c r="H126" s="75"/>
      <c r="I126" s="33"/>
      <c r="J126" s="33"/>
      <c r="K126" s="33"/>
      <c r="L126" s="33"/>
      <c r="M126" s="29"/>
      <c r="N126" s="34"/>
      <c r="O126" s="35"/>
      <c r="P126" s="36"/>
      <c r="Q126" s="73"/>
      <c r="R126" s="62"/>
      <c r="S126" s="42"/>
    </row>
    <row r="127" spans="1:19" ht="21" x14ac:dyDescent="0.35">
      <c r="A127" s="108"/>
      <c r="B127" s="28"/>
      <c r="C127" s="66"/>
      <c r="D127" s="30"/>
      <c r="E127" s="30"/>
      <c r="F127" s="31"/>
      <c r="G127" s="115"/>
      <c r="H127" s="72"/>
      <c r="I127" s="33"/>
      <c r="J127" s="33"/>
      <c r="K127" s="33"/>
      <c r="L127" s="33"/>
      <c r="M127" s="29"/>
      <c r="N127" s="34"/>
      <c r="O127" s="35"/>
      <c r="P127" s="36"/>
      <c r="Q127" s="73"/>
      <c r="R127" s="62"/>
      <c r="S127" s="42"/>
    </row>
    <row r="128" spans="1:19" ht="21" x14ac:dyDescent="0.35">
      <c r="A128" s="108"/>
      <c r="B128" s="28"/>
      <c r="C128" s="66"/>
      <c r="D128" s="30"/>
      <c r="E128" s="30"/>
      <c r="F128" s="31"/>
      <c r="G128" s="115"/>
      <c r="H128" s="72"/>
      <c r="I128" s="33"/>
      <c r="J128" s="33"/>
      <c r="K128" s="33"/>
      <c r="L128" s="33"/>
      <c r="M128" s="29"/>
      <c r="N128" s="34"/>
      <c r="O128" s="35"/>
      <c r="P128" s="36"/>
      <c r="Q128" s="73"/>
      <c r="R128" s="62"/>
      <c r="S128" s="42"/>
    </row>
    <row r="129" spans="1:19" ht="19.5" x14ac:dyDescent="0.3">
      <c r="B129" s="28"/>
      <c r="C129" s="46"/>
      <c r="D129" s="47"/>
      <c r="E129" s="47"/>
      <c r="F129" s="47"/>
      <c r="G129" s="98"/>
      <c r="H129" s="47"/>
      <c r="I129" s="47"/>
      <c r="J129" s="47"/>
      <c r="K129" s="47"/>
      <c r="L129" s="47"/>
      <c r="M129" s="48"/>
      <c r="N129" s="41"/>
      <c r="O129" s="47"/>
      <c r="P129" s="47"/>
      <c r="Q129" s="43"/>
      <c r="R129" s="39"/>
      <c r="S129" s="22"/>
    </row>
    <row r="130" spans="1:19" ht="19.5" x14ac:dyDescent="0.3">
      <c r="B130" s="28"/>
      <c r="C130" s="46"/>
      <c r="D130" s="47"/>
      <c r="E130" s="47"/>
      <c r="F130" s="49"/>
      <c r="G130" s="45"/>
      <c r="H130" s="47"/>
      <c r="I130" s="46"/>
      <c r="J130" s="46"/>
      <c r="K130" s="46"/>
      <c r="L130" s="46"/>
      <c r="M130" s="48"/>
      <c r="N130" s="41"/>
      <c r="O130" s="41"/>
      <c r="P130" s="36"/>
      <c r="Q130" s="53"/>
      <c r="R130" s="37"/>
      <c r="S130" s="22"/>
    </row>
    <row r="131" spans="1:19" ht="19.5" x14ac:dyDescent="0.3">
      <c r="B131" s="28"/>
      <c r="C131" s="24"/>
      <c r="D131" s="22"/>
      <c r="E131" s="22"/>
      <c r="F131" s="31"/>
      <c r="G131" s="22"/>
      <c r="H131" s="22"/>
      <c r="I131" s="46"/>
      <c r="J131" s="46"/>
      <c r="K131" s="46"/>
      <c r="L131" s="46"/>
      <c r="M131" s="22"/>
      <c r="N131" s="41"/>
      <c r="O131" s="41"/>
      <c r="P131" s="36"/>
      <c r="Q131" s="53"/>
      <c r="R131" s="37"/>
      <c r="S131" s="22"/>
    </row>
    <row r="132" spans="1:19" ht="21" x14ac:dyDescent="0.35">
      <c r="A132" s="108"/>
      <c r="B132" s="28"/>
      <c r="C132" s="38"/>
      <c r="D132" s="30"/>
      <c r="E132" s="30"/>
      <c r="F132" s="31"/>
      <c r="G132" s="27"/>
      <c r="H132" s="40"/>
      <c r="I132" s="33"/>
      <c r="J132" s="33"/>
      <c r="K132" s="33"/>
      <c r="L132" s="33"/>
      <c r="M132" s="55"/>
      <c r="N132" s="34"/>
      <c r="O132" s="35"/>
      <c r="P132" s="36"/>
      <c r="Q132" s="53"/>
      <c r="R132" s="37"/>
      <c r="S132" s="22"/>
    </row>
    <row r="133" spans="1:19" ht="21" x14ac:dyDescent="0.35">
      <c r="A133" s="108"/>
      <c r="B133" s="28"/>
      <c r="C133" s="38"/>
      <c r="D133" s="30"/>
      <c r="E133" s="30"/>
      <c r="F133" s="31"/>
      <c r="G133" s="27"/>
      <c r="H133" s="40"/>
      <c r="I133" s="33"/>
      <c r="J133" s="33"/>
      <c r="K133" s="33"/>
      <c r="L133" s="33"/>
      <c r="M133" s="55"/>
      <c r="N133" s="34"/>
      <c r="O133" s="35"/>
      <c r="P133" s="36"/>
      <c r="Q133" s="53"/>
      <c r="R133" s="37"/>
      <c r="S133" s="22"/>
    </row>
    <row r="134" spans="1:19" ht="21" x14ac:dyDescent="0.35">
      <c r="A134" s="108"/>
      <c r="B134" s="28"/>
      <c r="C134" s="38"/>
      <c r="D134" s="30"/>
      <c r="E134" s="30"/>
      <c r="F134" s="31"/>
      <c r="G134" s="27"/>
      <c r="H134" s="40"/>
      <c r="I134" s="33"/>
      <c r="J134" s="33"/>
      <c r="K134" s="33"/>
      <c r="L134" s="33"/>
      <c r="M134" s="55"/>
      <c r="N134" s="34"/>
      <c r="O134" s="35"/>
      <c r="P134" s="36"/>
      <c r="Q134" s="53"/>
      <c r="R134" s="62"/>
      <c r="S134" s="42"/>
    </row>
    <row r="135" spans="1:19" ht="21" x14ac:dyDescent="0.35">
      <c r="A135" s="108"/>
      <c r="B135" s="28"/>
      <c r="C135" s="38"/>
      <c r="D135" s="30"/>
      <c r="E135" s="30"/>
      <c r="F135" s="31"/>
      <c r="G135" s="27"/>
      <c r="H135" s="40"/>
      <c r="I135" s="33"/>
      <c r="J135" s="33"/>
      <c r="K135" s="33"/>
      <c r="L135" s="33"/>
      <c r="M135" s="55"/>
      <c r="N135" s="34"/>
      <c r="O135" s="35"/>
      <c r="P135" s="36"/>
      <c r="Q135" s="53"/>
      <c r="R135" s="62"/>
      <c r="S135" s="42"/>
    </row>
    <row r="136" spans="1:19" ht="21" x14ac:dyDescent="0.35">
      <c r="A136" s="108"/>
      <c r="B136" s="28"/>
      <c r="C136" s="38"/>
      <c r="D136" s="30"/>
      <c r="E136" s="30"/>
      <c r="F136" s="31"/>
      <c r="G136" s="27"/>
      <c r="H136" s="40"/>
      <c r="I136" s="33"/>
      <c r="J136" s="33"/>
      <c r="K136" s="33"/>
      <c r="L136" s="33"/>
      <c r="M136" s="55"/>
      <c r="N136" s="34"/>
      <c r="O136" s="35"/>
      <c r="P136" s="36"/>
      <c r="Q136" s="53"/>
      <c r="R136" s="62"/>
      <c r="S136" s="42"/>
    </row>
    <row r="137" spans="1:19" ht="21" x14ac:dyDescent="0.35">
      <c r="A137" s="108"/>
      <c r="B137" s="28"/>
      <c r="C137" s="38"/>
      <c r="D137" s="30"/>
      <c r="E137" s="30"/>
      <c r="F137" s="31"/>
      <c r="G137" s="27"/>
      <c r="H137" s="40"/>
      <c r="I137" s="33"/>
      <c r="J137" s="33"/>
      <c r="K137" s="33"/>
      <c r="L137" s="33"/>
      <c r="M137" s="55"/>
      <c r="N137" s="34"/>
      <c r="O137" s="35"/>
      <c r="P137" s="36"/>
      <c r="Q137" s="43"/>
      <c r="R137" s="63"/>
      <c r="S137" s="42"/>
    </row>
    <row r="138" spans="1:19" ht="21" x14ac:dyDescent="0.35">
      <c r="A138" s="108"/>
      <c r="B138" s="28"/>
      <c r="C138" s="38"/>
      <c r="D138" s="30"/>
      <c r="E138" s="30"/>
      <c r="F138" s="31"/>
      <c r="G138" s="27"/>
      <c r="H138" s="40"/>
      <c r="I138" s="33"/>
      <c r="J138" s="33"/>
      <c r="K138" s="33"/>
      <c r="L138" s="33"/>
      <c r="M138" s="55"/>
      <c r="N138" s="34"/>
      <c r="O138" s="35"/>
      <c r="P138" s="36"/>
      <c r="Q138" s="43"/>
      <c r="R138" s="63"/>
      <c r="S138" s="42"/>
    </row>
    <row r="139" spans="1:19" ht="21" x14ac:dyDescent="0.35">
      <c r="A139" s="108"/>
      <c r="B139" s="28"/>
      <c r="C139" s="66"/>
      <c r="D139" s="30"/>
      <c r="E139" s="30"/>
      <c r="F139" s="31"/>
      <c r="G139" s="27"/>
      <c r="H139" s="40"/>
      <c r="I139" s="33"/>
      <c r="J139" s="33"/>
      <c r="K139" s="33"/>
      <c r="L139" s="33"/>
      <c r="M139" s="55"/>
      <c r="N139" s="34"/>
      <c r="O139" s="35"/>
      <c r="P139" s="36"/>
      <c r="Q139" s="43"/>
      <c r="R139" s="18"/>
      <c r="S139" s="18"/>
    </row>
    <row r="140" spans="1:19" ht="21" x14ac:dyDescent="0.35">
      <c r="A140" s="108"/>
      <c r="B140" s="28"/>
      <c r="C140" s="66"/>
      <c r="D140" s="30"/>
      <c r="E140" s="30"/>
      <c r="F140" s="31"/>
      <c r="G140" s="27"/>
      <c r="H140" s="40"/>
      <c r="I140" s="33"/>
      <c r="J140" s="33"/>
      <c r="K140" s="33"/>
      <c r="L140" s="33"/>
      <c r="M140" s="55"/>
      <c r="N140" s="34"/>
      <c r="O140" s="35"/>
      <c r="P140" s="36"/>
      <c r="Q140" s="43"/>
      <c r="R140" s="18"/>
      <c r="S140" s="18"/>
    </row>
    <row r="141" spans="1:19" ht="21" x14ac:dyDescent="0.35">
      <c r="A141" s="108"/>
      <c r="B141" s="28"/>
      <c r="C141" s="66"/>
      <c r="D141" s="30"/>
      <c r="E141" s="30"/>
      <c r="F141" s="31"/>
      <c r="G141" s="27"/>
      <c r="H141" s="40"/>
      <c r="I141" s="33"/>
      <c r="J141" s="33"/>
      <c r="K141" s="33"/>
      <c r="L141" s="33"/>
      <c r="M141" s="55"/>
      <c r="N141" s="34"/>
      <c r="O141" s="35"/>
      <c r="P141" s="36"/>
      <c r="Q141" s="43"/>
      <c r="R141" s="18"/>
      <c r="S141" s="18"/>
    </row>
    <row r="142" spans="1:19" ht="21" x14ac:dyDescent="0.35">
      <c r="A142" s="108"/>
      <c r="B142" s="28"/>
      <c r="C142" s="66"/>
      <c r="D142" s="30"/>
      <c r="E142" s="30"/>
      <c r="F142" s="31"/>
      <c r="G142" s="27"/>
      <c r="H142" s="40"/>
      <c r="I142" s="33"/>
      <c r="J142" s="33"/>
      <c r="K142" s="33"/>
      <c r="L142" s="33"/>
      <c r="M142" s="55"/>
      <c r="N142" s="34"/>
      <c r="O142" s="35"/>
      <c r="P142" s="36"/>
      <c r="Q142" s="43"/>
      <c r="R142" s="18"/>
      <c r="S142" s="18"/>
    </row>
    <row r="143" spans="1:19" ht="21" x14ac:dyDescent="0.35">
      <c r="A143" s="108"/>
      <c r="B143" s="28"/>
      <c r="C143" s="66"/>
      <c r="D143" s="30"/>
      <c r="E143" s="30"/>
      <c r="F143" s="31"/>
      <c r="G143" s="27"/>
      <c r="H143" s="40"/>
      <c r="I143" s="33"/>
      <c r="J143" s="33"/>
      <c r="K143" s="33"/>
      <c r="L143" s="33"/>
      <c r="M143" s="55"/>
      <c r="N143" s="34"/>
      <c r="O143" s="35"/>
      <c r="P143" s="36"/>
      <c r="Q143" s="43"/>
      <c r="R143" s="18"/>
      <c r="S143" s="18"/>
    </row>
    <row r="144" spans="1:19" ht="21" x14ac:dyDescent="0.35">
      <c r="A144" s="108"/>
      <c r="B144" s="28"/>
      <c r="C144" s="66"/>
      <c r="D144" s="30"/>
      <c r="E144" s="30"/>
      <c r="F144" s="31"/>
      <c r="G144" s="27"/>
      <c r="H144" s="85"/>
      <c r="I144" s="33"/>
      <c r="J144" s="33"/>
      <c r="K144" s="33"/>
      <c r="L144" s="33"/>
      <c r="M144" s="91"/>
      <c r="N144" s="92"/>
      <c r="O144" s="35"/>
      <c r="P144" s="36"/>
      <c r="Q144" s="19"/>
      <c r="R144" s="79"/>
      <c r="S144" s="79"/>
    </row>
    <row r="145" spans="1:19" ht="21" x14ac:dyDescent="0.35">
      <c r="A145" s="108"/>
      <c r="B145" s="28"/>
      <c r="C145" s="66"/>
      <c r="D145" s="30"/>
      <c r="E145" s="30"/>
      <c r="F145" s="31"/>
      <c r="G145" s="27"/>
      <c r="H145" s="85"/>
      <c r="I145" s="33"/>
      <c r="J145" s="33"/>
      <c r="K145" s="33"/>
      <c r="L145" s="33"/>
      <c r="M145" s="91"/>
      <c r="N145" s="92"/>
      <c r="O145" s="35"/>
      <c r="P145" s="36"/>
      <c r="Q145" s="19"/>
      <c r="R145" s="79"/>
      <c r="S145" s="79"/>
    </row>
    <row r="146" spans="1:19" ht="21" x14ac:dyDescent="0.35">
      <c r="A146" s="108"/>
      <c r="B146" s="28"/>
      <c r="C146" s="66"/>
      <c r="D146" s="88"/>
      <c r="E146" s="88"/>
      <c r="F146" s="89"/>
      <c r="G146" s="70"/>
      <c r="H146" s="86"/>
      <c r="I146" s="33"/>
      <c r="J146" s="33"/>
      <c r="K146" s="33"/>
      <c r="L146" s="33"/>
      <c r="M146" s="91"/>
      <c r="N146" s="92"/>
      <c r="O146" s="35"/>
      <c r="P146" s="36"/>
      <c r="Q146" s="19"/>
      <c r="R146" s="79"/>
      <c r="S146" s="79"/>
    </row>
    <row r="147" spans="1:19" ht="19.5" x14ac:dyDescent="0.3">
      <c r="B147" s="28"/>
      <c r="C147" s="46"/>
      <c r="D147" s="47"/>
      <c r="E147" s="47"/>
      <c r="F147" s="47"/>
      <c r="G147" s="45"/>
      <c r="H147" s="47"/>
      <c r="I147" s="47"/>
      <c r="J147" s="47"/>
      <c r="K147" s="47"/>
      <c r="L147" s="47"/>
      <c r="M147" s="48"/>
      <c r="N147" s="41"/>
      <c r="O147" s="47"/>
      <c r="P147" s="47"/>
      <c r="Q147" s="53"/>
      <c r="R147" s="37"/>
      <c r="S147" s="22"/>
    </row>
    <row r="148" spans="1:19" ht="19.5" x14ac:dyDescent="0.3">
      <c r="B148" s="28"/>
      <c r="C148" s="38"/>
      <c r="D148" s="30"/>
      <c r="E148" s="30"/>
      <c r="F148" s="31"/>
      <c r="G148" s="27"/>
      <c r="H148" s="32"/>
      <c r="I148" s="50"/>
      <c r="J148" s="50"/>
      <c r="K148" s="50"/>
      <c r="L148" s="50"/>
      <c r="M148" s="29"/>
      <c r="N148" s="41"/>
      <c r="O148" s="41"/>
      <c r="P148" s="36"/>
      <c r="Q148" s="53"/>
      <c r="R148" s="37"/>
      <c r="S148" s="22"/>
    </row>
    <row r="149" spans="1:19" ht="19.5" x14ac:dyDescent="0.3">
      <c r="B149" s="28"/>
      <c r="C149" s="39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41"/>
      <c r="O149" s="51"/>
      <c r="P149" s="51"/>
      <c r="Q149" s="53"/>
      <c r="R149" s="37"/>
      <c r="S149" s="22"/>
    </row>
    <row r="150" spans="1:19" ht="21" x14ac:dyDescent="0.35">
      <c r="B150" s="16"/>
      <c r="C150" s="15"/>
      <c r="D150" s="8"/>
      <c r="E150" s="8"/>
      <c r="F150" s="9"/>
      <c r="G150" s="7"/>
      <c r="H150" s="17"/>
      <c r="I150" s="10"/>
      <c r="J150" s="10"/>
      <c r="K150" s="10"/>
      <c r="L150" s="10"/>
      <c r="M150" s="14"/>
      <c r="N150" s="11"/>
      <c r="O150" s="12"/>
      <c r="P150" s="13"/>
      <c r="Q150" s="16"/>
      <c r="R150" s="18"/>
      <c r="S150" s="18"/>
    </row>
    <row r="152" spans="1:19" ht="18.75" x14ac:dyDescent="0.3">
      <c r="H152" s="20"/>
      <c r="I152" s="6"/>
    </row>
    <row r="153" spans="1:19" ht="21" x14ac:dyDescent="0.35">
      <c r="B153" s="90"/>
      <c r="J153" s="6"/>
    </row>
    <row r="154" spans="1:19" ht="19.5" x14ac:dyDescent="0.3">
      <c r="B154" s="28"/>
      <c r="C154" s="38"/>
      <c r="D154" s="30"/>
      <c r="E154" s="30"/>
      <c r="F154" s="31"/>
      <c r="G154" s="27"/>
      <c r="H154" s="32"/>
      <c r="I154" s="33"/>
      <c r="J154" s="33"/>
      <c r="K154" s="33"/>
      <c r="L154" s="33"/>
      <c r="M154" s="29"/>
      <c r="N154" s="34"/>
      <c r="O154" s="35"/>
      <c r="P154" s="36"/>
      <c r="Q154" s="43"/>
      <c r="R154" s="62"/>
      <c r="S154" s="42"/>
    </row>
    <row r="155" spans="1:19" ht="19.5" x14ac:dyDescent="0.3">
      <c r="B155" s="28"/>
      <c r="C155" s="66"/>
      <c r="D155" s="30"/>
      <c r="E155" s="30"/>
      <c r="F155" s="31"/>
      <c r="G155" s="27"/>
      <c r="H155" s="32"/>
      <c r="I155" s="33"/>
      <c r="J155" s="33"/>
      <c r="K155" s="33"/>
      <c r="L155" s="33"/>
      <c r="M155" s="29"/>
      <c r="N155" s="34"/>
      <c r="O155" s="35"/>
      <c r="P155" s="36"/>
      <c r="Q155" s="73"/>
      <c r="R155" s="62"/>
      <c r="S155" s="42"/>
    </row>
    <row r="156" spans="1:19" ht="19.5" x14ac:dyDescent="0.3">
      <c r="B156" s="28"/>
      <c r="C156" s="106"/>
      <c r="D156" s="30"/>
      <c r="E156" s="30"/>
      <c r="F156" s="31"/>
      <c r="G156" s="115"/>
      <c r="H156" s="75"/>
      <c r="I156" s="33"/>
      <c r="J156" s="33"/>
      <c r="K156" s="33"/>
      <c r="L156" s="33"/>
      <c r="M156" s="29"/>
      <c r="N156" s="34"/>
      <c r="O156" s="35"/>
      <c r="P156" s="36"/>
      <c r="Q156" s="73"/>
      <c r="R156" s="105"/>
      <c r="S156" s="105"/>
    </row>
    <row r="157" spans="1:19" ht="19.5" x14ac:dyDescent="0.3">
      <c r="B157" s="28"/>
      <c r="C157" s="66"/>
      <c r="D157" s="30"/>
      <c r="E157" s="30"/>
      <c r="F157" s="31"/>
      <c r="G157" s="115"/>
      <c r="H157" s="72"/>
      <c r="I157" s="33"/>
      <c r="J157" s="33"/>
      <c r="K157" s="33"/>
      <c r="L157" s="33"/>
      <c r="M157" s="29"/>
      <c r="N157" s="34"/>
      <c r="O157" s="35"/>
      <c r="P157" s="36"/>
      <c r="Q157" s="73"/>
      <c r="R157" s="62"/>
      <c r="S157" s="42"/>
    </row>
    <row r="158" spans="1:19" ht="19.5" x14ac:dyDescent="0.3">
      <c r="B158" s="28"/>
      <c r="C158" s="66"/>
      <c r="D158" s="30"/>
      <c r="E158" s="30"/>
      <c r="F158" s="31"/>
      <c r="G158" s="87"/>
      <c r="H158" s="72"/>
      <c r="I158" s="33"/>
      <c r="J158" s="33"/>
      <c r="K158" s="33"/>
      <c r="L158" s="33"/>
      <c r="M158" s="29"/>
      <c r="N158" s="34"/>
      <c r="O158" s="35"/>
      <c r="P158" s="36"/>
      <c r="Q158" s="73"/>
      <c r="R158" s="62"/>
      <c r="S158" s="42"/>
    </row>
    <row r="159" spans="1:19" ht="19.5" x14ac:dyDescent="0.3">
      <c r="B159" s="28"/>
      <c r="C159" s="66"/>
      <c r="D159" s="30"/>
      <c r="E159" s="30"/>
      <c r="F159" s="31"/>
      <c r="G159" s="27"/>
      <c r="H159" s="72"/>
      <c r="I159" s="33"/>
      <c r="J159" s="33"/>
      <c r="K159" s="33"/>
      <c r="L159" s="33"/>
      <c r="M159" s="29"/>
      <c r="N159" s="34"/>
      <c r="O159" s="35"/>
      <c r="P159" s="36"/>
      <c r="Q159" s="73"/>
      <c r="R159" s="62"/>
      <c r="S159" s="42"/>
    </row>
    <row r="160" spans="1:19" ht="19.5" x14ac:dyDescent="0.3">
      <c r="B160" s="28"/>
      <c r="C160" s="116"/>
      <c r="D160" s="30"/>
      <c r="E160" s="30"/>
      <c r="F160" s="31"/>
      <c r="G160" s="27"/>
      <c r="H160" s="72"/>
      <c r="I160" s="33"/>
      <c r="J160" s="33"/>
      <c r="K160" s="33"/>
      <c r="L160" s="33"/>
      <c r="M160" s="29"/>
      <c r="N160" s="34"/>
      <c r="O160" s="35"/>
      <c r="P160" s="36"/>
      <c r="Q160" s="73"/>
      <c r="R160" s="62"/>
      <c r="S160" s="42"/>
    </row>
    <row r="161" spans="2:19" ht="19.5" x14ac:dyDescent="0.3">
      <c r="B161" s="28"/>
      <c r="C161" s="66"/>
      <c r="D161" s="30"/>
      <c r="E161" s="30"/>
      <c r="F161" s="31"/>
      <c r="G161" s="27"/>
      <c r="H161" s="72"/>
      <c r="I161" s="33"/>
      <c r="J161" s="33"/>
      <c r="K161" s="33"/>
      <c r="L161" s="33"/>
      <c r="M161" s="29"/>
      <c r="N161" s="34"/>
      <c r="O161" s="35"/>
      <c r="P161" s="36"/>
      <c r="Q161" s="73"/>
      <c r="R161" s="62"/>
      <c r="S161" s="42"/>
    </row>
    <row r="162" spans="2:19" ht="19.5" x14ac:dyDescent="0.3">
      <c r="B162" s="28"/>
      <c r="C162" s="66"/>
      <c r="D162" s="30"/>
      <c r="E162" s="30"/>
      <c r="F162" s="31"/>
      <c r="G162" s="87"/>
      <c r="H162" s="72"/>
      <c r="I162" s="33"/>
      <c r="J162" s="33"/>
      <c r="K162" s="33"/>
      <c r="L162" s="33"/>
      <c r="M162" s="29"/>
      <c r="N162" s="34"/>
      <c r="O162" s="35"/>
      <c r="P162" s="36"/>
      <c r="Q162" s="73"/>
      <c r="R162" s="62"/>
      <c r="S162" s="42"/>
    </row>
    <row r="163" spans="2:19" ht="19.5" x14ac:dyDescent="0.3">
      <c r="B163" s="28"/>
      <c r="C163" s="66"/>
      <c r="D163" s="30"/>
      <c r="E163" s="30"/>
      <c r="F163" s="31"/>
      <c r="G163" s="27"/>
      <c r="H163" s="72"/>
      <c r="I163" s="33"/>
      <c r="J163" s="33"/>
      <c r="K163" s="33"/>
      <c r="L163" s="33"/>
      <c r="M163" s="29"/>
      <c r="N163" s="34"/>
      <c r="O163" s="35"/>
      <c r="P163" s="36"/>
      <c r="Q163" s="73"/>
      <c r="R163" s="62"/>
      <c r="S163" s="42"/>
    </row>
    <row r="164" spans="2:19" ht="19.5" x14ac:dyDescent="0.3">
      <c r="B164" s="28"/>
      <c r="C164" s="66"/>
      <c r="D164" s="30"/>
      <c r="E164" s="30"/>
      <c r="F164" s="31"/>
      <c r="G164" s="27"/>
      <c r="H164" s="72"/>
      <c r="I164" s="33"/>
      <c r="J164" s="33"/>
      <c r="K164" s="33"/>
      <c r="L164" s="33"/>
      <c r="M164" s="29"/>
      <c r="N164" s="34"/>
      <c r="O164" s="35"/>
      <c r="P164" s="36"/>
      <c r="Q164" s="73"/>
      <c r="R164" s="62"/>
      <c r="S164" s="42"/>
    </row>
    <row r="165" spans="2:19" ht="19.5" x14ac:dyDescent="0.3">
      <c r="B165" s="28"/>
      <c r="C165" s="66"/>
      <c r="D165" s="30"/>
      <c r="E165" s="30"/>
      <c r="F165" s="31"/>
      <c r="G165" s="27"/>
      <c r="H165" s="72"/>
      <c r="I165" s="33"/>
      <c r="J165" s="33"/>
      <c r="K165" s="33"/>
      <c r="L165" s="33"/>
      <c r="M165" s="29"/>
      <c r="N165" s="34"/>
      <c r="O165" s="35"/>
      <c r="P165" s="36"/>
      <c r="Q165" s="73"/>
      <c r="R165" s="62"/>
      <c r="S165" s="42"/>
    </row>
    <row r="166" spans="2:19" ht="19.5" x14ac:dyDescent="0.3">
      <c r="B166" s="28"/>
      <c r="C166" s="66"/>
      <c r="D166" s="30"/>
      <c r="E166" s="30"/>
      <c r="F166" s="31"/>
      <c r="G166" s="115"/>
      <c r="H166" s="75"/>
      <c r="I166" s="33"/>
      <c r="J166" s="33"/>
      <c r="K166" s="33"/>
      <c r="L166" s="33"/>
      <c r="M166" s="29"/>
      <c r="N166" s="34"/>
      <c r="O166" s="35"/>
      <c r="P166" s="36"/>
      <c r="Q166" s="73"/>
      <c r="R166" s="62"/>
      <c r="S166" s="42"/>
    </row>
    <row r="167" spans="2:19" ht="19.5" x14ac:dyDescent="0.3">
      <c r="B167" s="28"/>
      <c r="C167" s="66"/>
      <c r="D167" s="30"/>
      <c r="E167" s="30"/>
      <c r="F167" s="31"/>
      <c r="G167" s="115"/>
      <c r="H167" s="72"/>
      <c r="I167" s="33"/>
      <c r="J167" s="33"/>
      <c r="K167" s="33"/>
      <c r="L167" s="33"/>
      <c r="M167" s="29"/>
      <c r="N167" s="34"/>
      <c r="O167" s="35"/>
      <c r="P167" s="36"/>
      <c r="Q167" s="73"/>
      <c r="R167" s="62"/>
      <c r="S167" s="42"/>
    </row>
    <row r="168" spans="2:19" ht="19.5" x14ac:dyDescent="0.3">
      <c r="B168" s="28"/>
      <c r="C168" s="66"/>
      <c r="D168" s="30"/>
      <c r="E168" s="30"/>
      <c r="F168" s="31"/>
      <c r="G168" s="115"/>
      <c r="H168" s="72"/>
      <c r="I168" s="33"/>
      <c r="J168" s="33"/>
      <c r="K168" s="33"/>
      <c r="L168" s="33"/>
      <c r="M168" s="29"/>
      <c r="N168" s="34"/>
      <c r="O168" s="35"/>
      <c r="P168" s="36"/>
      <c r="Q168" s="73"/>
      <c r="R168" s="62"/>
      <c r="S168" s="42"/>
    </row>
  </sheetData>
  <sortState ref="G2:H125">
    <sortCondition ref="G2:G125"/>
  </sortState>
  <conditionalFormatting sqref="C129 C6:C93">
    <cfRule type="duplicateValues" dxfId="30" priority="5"/>
  </conditionalFormatting>
  <conditionalFormatting sqref="C129:C153 C2:C93">
    <cfRule type="duplicateValues" dxfId="29" priority="6"/>
  </conditionalFormatting>
  <conditionalFormatting sqref="C132:C146">
    <cfRule type="duplicateValues" dxfId="28" priority="7"/>
  </conditionalFormatting>
  <conditionalFormatting sqref="C154">
    <cfRule type="duplicateValues" dxfId="27" priority="1"/>
  </conditionalFormatting>
  <conditionalFormatting sqref="C154">
    <cfRule type="duplicateValues" dxfId="26" priority="2"/>
  </conditionalFormatting>
  <pageMargins left="0.17" right="0.19685039370078741" top="0.19685039370078741" bottom="0.19685039370078741" header="0.31496062992125984" footer="0.31496062992125984"/>
  <pageSetup paperSize="5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"/>
  <sheetViews>
    <sheetView workbookViewId="0">
      <selection sqref="A1:XFD1048576"/>
    </sheetView>
  </sheetViews>
  <sheetFormatPr defaultRowHeight="15" x14ac:dyDescent="0.25"/>
  <cols>
    <col min="1" max="1" width="6.140625" customWidth="1"/>
    <col min="2" max="2" width="27.5703125" customWidth="1"/>
    <col min="3" max="3" width="26" customWidth="1"/>
    <col min="4" max="4" width="19.140625" customWidth="1"/>
    <col min="5" max="5" width="17.7109375" customWidth="1"/>
    <col min="6" max="6" width="19.5703125" customWidth="1"/>
    <col min="7" max="7" width="5.85546875" customWidth="1"/>
    <col min="8" max="8" width="17.85546875" customWidth="1"/>
    <col min="9" max="9" width="16.28515625" customWidth="1"/>
    <col min="10" max="10" width="18.140625" customWidth="1"/>
    <col min="11" max="11" width="17.85546875" customWidth="1"/>
    <col min="12" max="12" width="18.28515625" customWidth="1"/>
    <col min="13" max="13" width="4.5703125" customWidth="1"/>
    <col min="14" max="14" width="4.42578125" customWidth="1"/>
    <col min="15" max="15" width="19.42578125" customWidth="1"/>
    <col min="16" max="16" width="19.7109375" customWidth="1"/>
    <col min="17" max="17" width="8.140625" customWidth="1"/>
    <col min="18" max="18" width="16.7109375" customWidth="1"/>
    <col min="19" max="19" width="15.140625" customWidth="1"/>
  </cols>
  <sheetData>
    <row r="1" spans="1:19" ht="19.5" x14ac:dyDescent="0.3">
      <c r="B1" s="23"/>
      <c r="C1" s="24"/>
      <c r="D1" s="24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7"/>
      <c r="R1" s="60"/>
      <c r="S1" s="22"/>
    </row>
    <row r="2" spans="1:19" ht="19.5" x14ac:dyDescent="0.3">
      <c r="B2" s="25"/>
      <c r="D2" s="24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7"/>
      <c r="R2" s="60"/>
      <c r="S2" s="22"/>
    </row>
    <row r="3" spans="1:19" ht="19.5" x14ac:dyDescent="0.3">
      <c r="B3" s="25"/>
      <c r="C3" s="24"/>
      <c r="D3" s="24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7"/>
      <c r="R3" s="60"/>
      <c r="S3" s="22"/>
    </row>
    <row r="4" spans="1:19" ht="95.25" customHeight="1" x14ac:dyDescent="0.3">
      <c r="B4" s="26"/>
      <c r="C4" s="26"/>
      <c r="D4" s="26"/>
      <c r="E4" s="26"/>
      <c r="F4" s="26"/>
      <c r="G4" s="26"/>
      <c r="H4" s="26"/>
      <c r="I4" s="56"/>
      <c r="J4" s="56"/>
      <c r="K4" s="56"/>
      <c r="L4" s="56"/>
      <c r="M4" s="57"/>
      <c r="N4" s="57"/>
      <c r="O4" s="26"/>
      <c r="P4" s="58"/>
      <c r="Q4" s="26"/>
      <c r="R4" s="61"/>
      <c r="S4" s="52"/>
    </row>
    <row r="5" spans="1:19" ht="21" x14ac:dyDescent="0.35">
      <c r="A5" s="108"/>
      <c r="B5" s="28"/>
      <c r="C5" s="38"/>
      <c r="D5" s="30"/>
      <c r="E5" s="30"/>
      <c r="F5" s="31"/>
      <c r="G5" s="27"/>
      <c r="H5" s="32"/>
      <c r="I5" s="33"/>
      <c r="J5" s="33"/>
      <c r="K5" s="33"/>
      <c r="L5" s="33"/>
      <c r="M5" s="29"/>
      <c r="N5" s="34"/>
      <c r="O5" s="35"/>
      <c r="P5" s="36"/>
      <c r="Q5" s="53"/>
      <c r="R5" s="37"/>
      <c r="S5" s="22"/>
    </row>
    <row r="6" spans="1:19" ht="21" x14ac:dyDescent="0.35">
      <c r="A6" s="108"/>
      <c r="B6" s="28"/>
      <c r="C6" s="38"/>
      <c r="D6" s="30"/>
      <c r="E6" s="30"/>
      <c r="F6" s="31"/>
      <c r="G6" s="27"/>
      <c r="H6" s="40"/>
      <c r="I6" s="33"/>
      <c r="J6" s="33"/>
      <c r="K6" s="33"/>
      <c r="L6" s="33"/>
      <c r="M6" s="29"/>
      <c r="N6" s="34"/>
      <c r="O6" s="35"/>
      <c r="P6" s="36"/>
      <c r="Q6" s="53"/>
      <c r="R6" s="37"/>
      <c r="S6" s="22"/>
    </row>
    <row r="7" spans="1:19" ht="21" x14ac:dyDescent="0.35">
      <c r="A7" s="108"/>
      <c r="B7" s="28"/>
      <c r="C7" s="38"/>
      <c r="D7" s="30"/>
      <c r="E7" s="30"/>
      <c r="F7" s="31"/>
      <c r="G7" s="27"/>
      <c r="H7" s="40"/>
      <c r="I7" s="33"/>
      <c r="J7" s="33"/>
      <c r="K7" s="33"/>
      <c r="L7" s="33"/>
      <c r="M7" s="29"/>
      <c r="N7" s="34"/>
      <c r="O7" s="35"/>
      <c r="P7" s="36"/>
      <c r="Q7" s="53"/>
      <c r="R7" s="37"/>
      <c r="S7" s="22"/>
    </row>
    <row r="8" spans="1:19" ht="21" x14ac:dyDescent="0.35">
      <c r="A8" s="108"/>
      <c r="B8" s="28"/>
      <c r="C8" s="38"/>
      <c r="D8" s="30"/>
      <c r="E8" s="30"/>
      <c r="F8" s="31"/>
      <c r="G8" s="27"/>
      <c r="H8" s="40"/>
      <c r="I8" s="33"/>
      <c r="J8" s="33"/>
      <c r="K8" s="33"/>
      <c r="L8" s="33"/>
      <c r="M8" s="29"/>
      <c r="N8" s="34"/>
      <c r="O8" s="35"/>
      <c r="P8" s="36"/>
      <c r="Q8" s="53"/>
      <c r="R8" s="37"/>
      <c r="S8" s="22"/>
    </row>
    <row r="9" spans="1:19" ht="21" x14ac:dyDescent="0.35">
      <c r="A9" s="108"/>
      <c r="B9" s="28"/>
      <c r="C9" s="38"/>
      <c r="D9" s="30"/>
      <c r="E9" s="30"/>
      <c r="F9" s="31"/>
      <c r="G9" s="27"/>
      <c r="H9" s="40"/>
      <c r="I9" s="33"/>
      <c r="J9" s="33"/>
      <c r="K9" s="33"/>
      <c r="L9" s="33"/>
      <c r="M9" s="29"/>
      <c r="N9" s="34"/>
      <c r="O9" s="35"/>
      <c r="P9" s="36"/>
      <c r="Q9" s="53"/>
      <c r="R9" s="37"/>
      <c r="S9" s="59"/>
    </row>
    <row r="10" spans="1:19" ht="21" x14ac:dyDescent="0.35">
      <c r="A10" s="108"/>
      <c r="B10" s="28"/>
      <c r="C10" s="38"/>
      <c r="D10" s="30"/>
      <c r="E10" s="30"/>
      <c r="F10" s="31"/>
      <c r="G10" s="27"/>
      <c r="H10" s="40"/>
      <c r="I10" s="33"/>
      <c r="J10" s="33"/>
      <c r="K10" s="33"/>
      <c r="L10" s="33"/>
      <c r="M10" s="29"/>
      <c r="N10" s="34"/>
      <c r="O10" s="35"/>
      <c r="P10" s="36"/>
      <c r="Q10" s="53"/>
      <c r="R10" s="37"/>
      <c r="S10" s="22"/>
    </row>
    <row r="11" spans="1:19" ht="21" x14ac:dyDescent="0.35">
      <c r="A11" s="108"/>
      <c r="B11" s="28"/>
      <c r="C11" s="38"/>
      <c r="D11" s="30"/>
      <c r="E11" s="30"/>
      <c r="F11" s="31"/>
      <c r="G11" s="27"/>
      <c r="H11" s="40"/>
      <c r="I11" s="33"/>
      <c r="J11" s="33"/>
      <c r="K11" s="33"/>
      <c r="L11" s="33"/>
      <c r="M11" s="29"/>
      <c r="N11" s="34"/>
      <c r="O11" s="35"/>
      <c r="P11" s="36"/>
      <c r="Q11" s="53"/>
      <c r="R11" s="37"/>
      <c r="S11" s="22"/>
    </row>
    <row r="12" spans="1:19" ht="21" x14ac:dyDescent="0.35">
      <c r="A12" s="108"/>
      <c r="B12" s="28"/>
      <c r="C12" s="38"/>
      <c r="D12" s="30"/>
      <c r="E12" s="30"/>
      <c r="F12" s="31"/>
      <c r="G12" s="27"/>
      <c r="H12" s="40"/>
      <c r="I12" s="33"/>
      <c r="J12" s="33"/>
      <c r="K12" s="33"/>
      <c r="L12" s="33"/>
      <c r="M12" s="29"/>
      <c r="N12" s="34"/>
      <c r="O12" s="35"/>
      <c r="P12" s="36"/>
      <c r="Q12" s="53"/>
      <c r="R12" s="37"/>
      <c r="S12" s="22"/>
    </row>
    <row r="13" spans="1:19" ht="21" x14ac:dyDescent="0.35">
      <c r="A13" s="108"/>
      <c r="B13" s="28"/>
      <c r="C13" s="38"/>
      <c r="D13" s="30"/>
      <c r="E13" s="30"/>
      <c r="F13" s="31"/>
      <c r="G13" s="27"/>
      <c r="H13" s="40"/>
      <c r="I13" s="33"/>
      <c r="J13" s="33"/>
      <c r="K13" s="33"/>
      <c r="L13" s="33"/>
      <c r="M13" s="29"/>
      <c r="N13" s="34"/>
      <c r="O13" s="35"/>
      <c r="P13" s="36"/>
      <c r="Q13" s="53"/>
      <c r="R13" s="37"/>
      <c r="S13" s="22"/>
    </row>
    <row r="14" spans="1:19" ht="21" x14ac:dyDescent="0.35">
      <c r="A14" s="108"/>
      <c r="B14" s="28"/>
      <c r="C14" s="38"/>
      <c r="D14" s="30"/>
      <c r="E14" s="30"/>
      <c r="F14" s="31"/>
      <c r="G14" s="27"/>
      <c r="H14" s="32"/>
      <c r="I14" s="33"/>
      <c r="J14" s="33"/>
      <c r="K14" s="33"/>
      <c r="L14" s="33"/>
      <c r="M14" s="29"/>
      <c r="N14" s="34"/>
      <c r="O14" s="35"/>
      <c r="P14" s="36"/>
      <c r="Q14" s="53"/>
      <c r="R14" s="62"/>
      <c r="S14" s="42"/>
    </row>
    <row r="15" spans="1:19" ht="21" x14ac:dyDescent="0.35">
      <c r="A15" s="108"/>
      <c r="B15" s="28"/>
      <c r="C15" s="38"/>
      <c r="D15" s="30"/>
      <c r="E15" s="30"/>
      <c r="F15" s="31"/>
      <c r="G15" s="27"/>
      <c r="H15" s="32"/>
      <c r="I15" s="33"/>
      <c r="J15" s="33"/>
      <c r="K15" s="33"/>
      <c r="L15" s="33"/>
      <c r="M15" s="29"/>
      <c r="N15" s="34"/>
      <c r="O15" s="35"/>
      <c r="P15" s="36"/>
      <c r="Q15" s="53"/>
      <c r="R15" s="62"/>
      <c r="S15" s="42"/>
    </row>
    <row r="16" spans="1:19" ht="21" x14ac:dyDescent="0.35">
      <c r="A16" s="108"/>
      <c r="B16" s="28"/>
      <c r="C16" s="38"/>
      <c r="D16" s="30"/>
      <c r="E16" s="30"/>
      <c r="F16" s="31"/>
      <c r="G16" s="27"/>
      <c r="H16" s="32"/>
      <c r="I16" s="33"/>
      <c r="J16" s="33"/>
      <c r="K16" s="33"/>
      <c r="L16" s="33"/>
      <c r="M16" s="29"/>
      <c r="N16" s="34"/>
      <c r="O16" s="35"/>
      <c r="P16" s="36"/>
      <c r="Q16" s="53"/>
      <c r="R16" s="62"/>
      <c r="S16" s="42"/>
    </row>
    <row r="17" spans="1:19" ht="21" x14ac:dyDescent="0.35">
      <c r="A17" s="108"/>
      <c r="B17" s="28"/>
      <c r="C17" s="38"/>
      <c r="D17" s="30"/>
      <c r="E17" s="30"/>
      <c r="F17" s="31"/>
      <c r="G17" s="27"/>
      <c r="H17" s="32"/>
      <c r="I17" s="33"/>
      <c r="J17" s="33"/>
      <c r="K17" s="33"/>
      <c r="L17" s="33"/>
      <c r="M17" s="29"/>
      <c r="N17" s="34"/>
      <c r="O17" s="35"/>
      <c r="P17" s="36"/>
      <c r="Q17" s="53"/>
      <c r="R17" s="62"/>
      <c r="S17" s="42"/>
    </row>
    <row r="18" spans="1:19" ht="21" x14ac:dyDescent="0.35">
      <c r="A18" s="108"/>
      <c r="B18" s="28"/>
      <c r="C18" s="38"/>
      <c r="D18" s="30"/>
      <c r="E18" s="30"/>
      <c r="F18" s="31"/>
      <c r="G18" s="27"/>
      <c r="H18" s="32"/>
      <c r="I18" s="33"/>
      <c r="J18" s="33"/>
      <c r="K18" s="33"/>
      <c r="L18" s="33"/>
      <c r="M18" s="29"/>
      <c r="N18" s="34"/>
      <c r="O18" s="35"/>
      <c r="P18" s="36"/>
      <c r="Q18" s="53"/>
      <c r="R18" s="62"/>
      <c r="S18" s="42"/>
    </row>
    <row r="19" spans="1:19" ht="21" x14ac:dyDescent="0.35">
      <c r="A19" s="108"/>
      <c r="B19" s="28"/>
      <c r="C19" s="38"/>
      <c r="D19" s="30"/>
      <c r="E19" s="30"/>
      <c r="F19" s="31"/>
      <c r="G19" s="27"/>
      <c r="H19" s="32"/>
      <c r="I19" s="33"/>
      <c r="J19" s="33"/>
      <c r="K19" s="33"/>
      <c r="L19" s="33"/>
      <c r="M19" s="29"/>
      <c r="N19" s="34"/>
      <c r="O19" s="35"/>
      <c r="P19" s="36"/>
      <c r="Q19" s="53"/>
      <c r="R19" s="62"/>
      <c r="S19" s="42"/>
    </row>
    <row r="20" spans="1:19" ht="21" x14ac:dyDescent="0.35">
      <c r="A20" s="108"/>
      <c r="B20" s="28"/>
      <c r="C20" s="38"/>
      <c r="D20" s="30"/>
      <c r="E20" s="30"/>
      <c r="F20" s="31"/>
      <c r="G20" s="27"/>
      <c r="H20" s="32"/>
      <c r="I20" s="33"/>
      <c r="J20" s="33"/>
      <c r="K20" s="33"/>
      <c r="L20" s="33"/>
      <c r="M20" s="29"/>
      <c r="N20" s="34"/>
      <c r="O20" s="35"/>
      <c r="P20" s="36"/>
      <c r="Q20" s="53"/>
      <c r="R20" s="62"/>
      <c r="S20" s="42"/>
    </row>
    <row r="21" spans="1:19" ht="21" x14ac:dyDescent="0.35">
      <c r="A21" s="108"/>
      <c r="B21" s="28"/>
      <c r="C21" s="38"/>
      <c r="D21" s="30"/>
      <c r="E21" s="30"/>
      <c r="F21" s="31"/>
      <c r="G21" s="27"/>
      <c r="H21" s="32"/>
      <c r="I21" s="33"/>
      <c r="J21" s="33"/>
      <c r="K21" s="33"/>
      <c r="L21" s="33"/>
      <c r="M21" s="29"/>
      <c r="N21" s="34"/>
      <c r="O21" s="35"/>
      <c r="P21" s="36"/>
      <c r="Q21" s="53"/>
      <c r="R21" s="62"/>
      <c r="S21" s="42"/>
    </row>
    <row r="22" spans="1:19" ht="21" x14ac:dyDescent="0.35">
      <c r="A22" s="108"/>
      <c r="B22" s="28"/>
      <c r="C22" s="38"/>
      <c r="D22" s="30"/>
      <c r="E22" s="30"/>
      <c r="F22" s="31"/>
      <c r="G22" s="27"/>
      <c r="H22" s="32"/>
      <c r="I22" s="33"/>
      <c r="J22" s="33"/>
      <c r="K22" s="33"/>
      <c r="L22" s="33"/>
      <c r="M22" s="29"/>
      <c r="N22" s="34"/>
      <c r="O22" s="35"/>
      <c r="P22" s="36"/>
      <c r="Q22" s="44"/>
      <c r="R22" s="62"/>
      <c r="S22" s="42"/>
    </row>
    <row r="23" spans="1:19" ht="21" x14ac:dyDescent="0.35">
      <c r="A23" s="108"/>
      <c r="B23" s="28"/>
      <c r="C23" s="38"/>
      <c r="D23" s="30"/>
      <c r="E23" s="30"/>
      <c r="F23" s="31"/>
      <c r="G23" s="27"/>
      <c r="H23" s="32"/>
      <c r="I23" s="33"/>
      <c r="J23" s="33"/>
      <c r="K23" s="33"/>
      <c r="L23" s="33"/>
      <c r="M23" s="29"/>
      <c r="N23" s="34"/>
      <c r="O23" s="35"/>
      <c r="P23" s="36"/>
      <c r="Q23" s="44"/>
      <c r="R23" s="62"/>
      <c r="S23" s="42"/>
    </row>
    <row r="24" spans="1:19" ht="21" x14ac:dyDescent="0.35">
      <c r="A24" s="108"/>
      <c r="B24" s="28"/>
      <c r="C24" s="38"/>
      <c r="D24" s="30"/>
      <c r="E24" s="30"/>
      <c r="F24" s="31"/>
      <c r="G24" s="27"/>
      <c r="H24" s="32"/>
      <c r="I24" s="33"/>
      <c r="J24" s="33"/>
      <c r="K24" s="33"/>
      <c r="L24" s="33"/>
      <c r="M24" s="29"/>
      <c r="N24" s="34"/>
      <c r="O24" s="35"/>
      <c r="P24" s="36"/>
      <c r="Q24" s="44"/>
      <c r="R24" s="62"/>
      <c r="S24" s="42"/>
    </row>
    <row r="25" spans="1:19" ht="21" x14ac:dyDescent="0.35">
      <c r="A25" s="108"/>
      <c r="B25" s="28"/>
      <c r="C25" s="38"/>
      <c r="D25" s="30"/>
      <c r="E25" s="30"/>
      <c r="F25" s="31"/>
      <c r="G25" s="27"/>
      <c r="H25" s="32"/>
      <c r="I25" s="33"/>
      <c r="J25" s="33"/>
      <c r="K25" s="33"/>
      <c r="L25" s="33"/>
      <c r="M25" s="29"/>
      <c r="N25" s="34"/>
      <c r="O25" s="35"/>
      <c r="P25" s="36"/>
      <c r="Q25" s="44"/>
      <c r="R25" s="62"/>
      <c r="S25" s="42"/>
    </row>
    <row r="26" spans="1:19" ht="21" x14ac:dyDescent="0.35">
      <c r="A26" s="108"/>
      <c r="B26" s="28"/>
      <c r="C26" s="38"/>
      <c r="D26" s="30"/>
      <c r="E26" s="30"/>
      <c r="F26" s="31"/>
      <c r="G26" s="27"/>
      <c r="H26" s="32"/>
      <c r="I26" s="33"/>
      <c r="J26" s="33"/>
      <c r="K26" s="33"/>
      <c r="L26" s="33"/>
      <c r="M26" s="29"/>
      <c r="N26" s="34"/>
      <c r="O26" s="35"/>
      <c r="P26" s="36"/>
      <c r="Q26" s="44"/>
      <c r="R26" s="62"/>
      <c r="S26" s="42"/>
    </row>
    <row r="27" spans="1:19" ht="21" x14ac:dyDescent="0.35">
      <c r="A27" s="108"/>
      <c r="B27" s="28"/>
      <c r="C27" s="38"/>
      <c r="D27" s="30"/>
      <c r="E27" s="30"/>
      <c r="F27" s="31"/>
      <c r="G27" s="27"/>
      <c r="H27" s="54"/>
      <c r="I27" s="33"/>
      <c r="J27" s="33"/>
      <c r="K27" s="33"/>
      <c r="L27" s="33"/>
      <c r="M27" s="29"/>
      <c r="N27" s="34"/>
      <c r="O27" s="35"/>
      <c r="P27" s="36"/>
      <c r="Q27" s="43"/>
      <c r="R27" s="64"/>
      <c r="S27" s="18"/>
    </row>
    <row r="28" spans="1:19" ht="21" x14ac:dyDescent="0.35">
      <c r="A28" s="108"/>
      <c r="B28" s="28"/>
      <c r="C28" s="38"/>
      <c r="D28" s="30"/>
      <c r="E28" s="30"/>
      <c r="F28" s="31"/>
      <c r="G28" s="27"/>
      <c r="H28" s="54"/>
      <c r="I28" s="33"/>
      <c r="J28" s="33"/>
      <c r="K28" s="33"/>
      <c r="L28" s="33"/>
      <c r="M28" s="29"/>
      <c r="N28" s="34"/>
      <c r="O28" s="35"/>
      <c r="P28" s="36"/>
      <c r="Q28" s="43"/>
      <c r="R28" s="65"/>
      <c r="S28" s="18"/>
    </row>
    <row r="29" spans="1:19" ht="21" x14ac:dyDescent="0.35">
      <c r="A29" s="108"/>
      <c r="B29" s="28"/>
      <c r="C29" s="38"/>
      <c r="D29" s="30"/>
      <c r="E29" s="30"/>
      <c r="F29" s="31"/>
      <c r="G29" s="27"/>
      <c r="H29" s="54"/>
      <c r="I29" s="33"/>
      <c r="J29" s="33"/>
      <c r="K29" s="33"/>
      <c r="L29" s="33"/>
      <c r="M29" s="29"/>
      <c r="N29" s="34"/>
      <c r="O29" s="35"/>
      <c r="P29" s="36"/>
      <c r="Q29" s="43"/>
      <c r="R29" s="65"/>
      <c r="S29" s="18"/>
    </row>
    <row r="30" spans="1:19" ht="21" x14ac:dyDescent="0.35">
      <c r="A30" s="108"/>
      <c r="B30" s="28"/>
      <c r="C30" s="38"/>
      <c r="D30" s="30"/>
      <c r="E30" s="30"/>
      <c r="F30" s="31"/>
      <c r="G30" s="27"/>
      <c r="H30" s="54"/>
      <c r="I30" s="33"/>
      <c r="J30" s="33"/>
      <c r="K30" s="33"/>
      <c r="L30" s="33"/>
      <c r="M30" s="29"/>
      <c r="N30" s="34"/>
      <c r="O30" s="35"/>
      <c r="P30" s="36"/>
      <c r="Q30" s="43"/>
      <c r="R30" s="65"/>
      <c r="S30" s="18"/>
    </row>
    <row r="31" spans="1:19" ht="21" x14ac:dyDescent="0.35">
      <c r="A31" s="108"/>
      <c r="B31" s="28"/>
      <c r="C31" s="38"/>
      <c r="D31" s="30"/>
      <c r="E31" s="30"/>
      <c r="F31" s="31"/>
      <c r="G31" s="27"/>
      <c r="H31" s="54"/>
      <c r="I31" s="33"/>
      <c r="J31" s="33"/>
      <c r="K31" s="33"/>
      <c r="L31" s="33"/>
      <c r="M31" s="29"/>
      <c r="N31" s="34"/>
      <c r="O31" s="35"/>
      <c r="P31" s="36"/>
      <c r="Q31" s="43"/>
      <c r="R31" s="65"/>
      <c r="S31" s="18"/>
    </row>
    <row r="32" spans="1:19" ht="21" x14ac:dyDescent="0.35">
      <c r="A32" s="108"/>
      <c r="B32" s="28"/>
      <c r="C32" s="38"/>
      <c r="D32" s="30"/>
      <c r="E32" s="30"/>
      <c r="F32" s="31"/>
      <c r="G32" s="27"/>
      <c r="H32" s="54"/>
      <c r="I32" s="33"/>
      <c r="J32" s="33"/>
      <c r="K32" s="33"/>
      <c r="L32" s="33"/>
      <c r="M32" s="29"/>
      <c r="N32" s="34"/>
      <c r="O32" s="35"/>
      <c r="P32" s="36"/>
      <c r="Q32" s="43"/>
      <c r="R32" s="65"/>
      <c r="S32" s="18"/>
    </row>
    <row r="33" spans="1:19" ht="21" x14ac:dyDescent="0.35">
      <c r="A33" s="108"/>
      <c r="B33" s="28"/>
      <c r="C33" s="38"/>
      <c r="D33" s="30"/>
      <c r="E33" s="30"/>
      <c r="F33" s="31"/>
      <c r="G33" s="27"/>
      <c r="H33" s="54"/>
      <c r="I33" s="33"/>
      <c r="J33" s="33"/>
      <c r="K33" s="33"/>
      <c r="L33" s="33"/>
      <c r="M33" s="29"/>
      <c r="N33" s="34"/>
      <c r="O33" s="35"/>
      <c r="P33" s="36"/>
      <c r="Q33" s="43"/>
      <c r="R33" s="65"/>
      <c r="S33" s="18"/>
    </row>
    <row r="34" spans="1:19" ht="21" x14ac:dyDescent="0.35">
      <c r="A34" s="108"/>
      <c r="B34" s="28"/>
      <c r="C34" s="38"/>
      <c r="D34" s="30"/>
      <c r="E34" s="30"/>
      <c r="F34" s="31"/>
      <c r="G34" s="27"/>
      <c r="H34" s="54"/>
      <c r="I34" s="33"/>
      <c r="J34" s="33"/>
      <c r="K34" s="33"/>
      <c r="L34" s="33"/>
      <c r="M34" s="29"/>
      <c r="N34" s="34"/>
      <c r="O34" s="35"/>
      <c r="P34" s="36"/>
      <c r="Q34" s="43"/>
      <c r="R34" s="65"/>
      <c r="S34" s="18"/>
    </row>
    <row r="35" spans="1:19" ht="21" x14ac:dyDescent="0.35">
      <c r="A35" s="108"/>
      <c r="B35" s="28"/>
      <c r="C35" s="38"/>
      <c r="D35" s="30"/>
      <c r="E35" s="30"/>
      <c r="F35" s="31"/>
      <c r="G35" s="27"/>
      <c r="H35" s="54"/>
      <c r="I35" s="33"/>
      <c r="J35" s="33"/>
      <c r="K35" s="33"/>
      <c r="L35" s="33"/>
      <c r="M35" s="29"/>
      <c r="N35" s="34"/>
      <c r="O35" s="35"/>
      <c r="P35" s="36"/>
      <c r="Q35" s="43"/>
      <c r="R35" s="65"/>
      <c r="S35" s="18"/>
    </row>
    <row r="36" spans="1:19" ht="21" x14ac:dyDescent="0.35">
      <c r="A36" s="108"/>
      <c r="B36" s="28"/>
      <c r="C36" s="38"/>
      <c r="D36" s="30"/>
      <c r="E36" s="30"/>
      <c r="F36" s="31"/>
      <c r="G36" s="27"/>
      <c r="H36" s="54"/>
      <c r="I36" s="33"/>
      <c r="J36" s="33"/>
      <c r="K36" s="33"/>
      <c r="L36" s="33"/>
      <c r="M36" s="29"/>
      <c r="N36" s="34"/>
      <c r="O36" s="35"/>
      <c r="P36" s="36"/>
      <c r="Q36" s="43"/>
      <c r="R36" s="65"/>
      <c r="S36" s="18"/>
    </row>
    <row r="37" spans="1:19" ht="21" x14ac:dyDescent="0.35">
      <c r="A37" s="108"/>
      <c r="B37" s="28"/>
      <c r="C37" s="38"/>
      <c r="D37" s="30"/>
      <c r="E37" s="30"/>
      <c r="F37" s="31"/>
      <c r="G37" s="27"/>
      <c r="H37" s="54"/>
      <c r="I37" s="33"/>
      <c r="J37" s="33"/>
      <c r="K37" s="33"/>
      <c r="L37" s="33"/>
      <c r="M37" s="29"/>
      <c r="N37" s="34"/>
      <c r="O37" s="35"/>
      <c r="P37" s="36"/>
      <c r="Q37" s="43"/>
      <c r="R37" s="65"/>
      <c r="S37" s="18"/>
    </row>
    <row r="38" spans="1:19" ht="21" x14ac:dyDescent="0.35">
      <c r="A38" s="108"/>
      <c r="B38" s="28"/>
      <c r="C38" s="38"/>
      <c r="D38" s="30"/>
      <c r="E38" s="30"/>
      <c r="F38" s="31"/>
      <c r="G38" s="27"/>
      <c r="H38" s="54"/>
      <c r="I38" s="33"/>
      <c r="J38" s="33"/>
      <c r="K38" s="33"/>
      <c r="L38" s="33"/>
      <c r="M38" s="29"/>
      <c r="N38" s="34"/>
      <c r="O38" s="35"/>
      <c r="P38" s="36"/>
      <c r="Q38" s="43"/>
      <c r="R38" s="65"/>
      <c r="S38" s="18"/>
    </row>
    <row r="39" spans="1:19" ht="21" x14ac:dyDescent="0.35">
      <c r="A39" s="108"/>
      <c r="B39" s="28"/>
      <c r="C39" s="38"/>
      <c r="D39" s="30"/>
      <c r="E39" s="30"/>
      <c r="F39" s="31"/>
      <c r="G39" s="27"/>
      <c r="H39" s="54"/>
      <c r="I39" s="33"/>
      <c r="J39" s="33"/>
      <c r="K39" s="33"/>
      <c r="L39" s="33"/>
      <c r="M39" s="29"/>
      <c r="N39" s="34"/>
      <c r="O39" s="35"/>
      <c r="P39" s="36"/>
      <c r="Q39" s="21"/>
      <c r="R39" s="65"/>
      <c r="S39" s="18"/>
    </row>
    <row r="40" spans="1:19" ht="21" x14ac:dyDescent="0.35">
      <c r="A40" s="108"/>
      <c r="B40" s="28"/>
      <c r="C40" s="66"/>
      <c r="D40" s="30"/>
      <c r="E40" s="30"/>
      <c r="F40" s="31"/>
      <c r="G40" s="27"/>
      <c r="H40" s="54"/>
      <c r="I40" s="33"/>
      <c r="J40" s="33"/>
      <c r="K40" s="33"/>
      <c r="L40" s="33"/>
      <c r="M40" s="29"/>
      <c r="N40" s="34"/>
      <c r="O40" s="35"/>
      <c r="P40" s="36"/>
      <c r="Q40" s="43"/>
      <c r="R40" s="67"/>
      <c r="S40" s="67"/>
    </row>
    <row r="41" spans="1:19" ht="21" x14ac:dyDescent="0.35">
      <c r="A41" s="108"/>
      <c r="B41" s="28"/>
      <c r="C41" s="66"/>
      <c r="D41" s="30"/>
      <c r="E41" s="30"/>
      <c r="F41" s="31"/>
      <c r="G41" s="27"/>
      <c r="H41" s="54"/>
      <c r="I41" s="33"/>
      <c r="J41" s="33"/>
      <c r="K41" s="33"/>
      <c r="L41" s="33"/>
      <c r="M41" s="29"/>
      <c r="N41" s="34"/>
      <c r="O41" s="35"/>
      <c r="P41" s="36"/>
      <c r="Q41" s="43"/>
      <c r="R41" s="67"/>
      <c r="S41" s="67"/>
    </row>
    <row r="42" spans="1:19" ht="21" x14ac:dyDescent="0.35">
      <c r="A42" s="108"/>
      <c r="B42" s="28"/>
      <c r="C42" s="66"/>
      <c r="D42" s="30"/>
      <c r="E42" s="30"/>
      <c r="F42" s="31"/>
      <c r="G42" s="27"/>
      <c r="H42" s="54"/>
      <c r="I42" s="33"/>
      <c r="J42" s="33"/>
      <c r="K42" s="33"/>
      <c r="L42" s="33"/>
      <c r="M42" s="29"/>
      <c r="N42" s="34"/>
      <c r="O42" s="35"/>
      <c r="P42" s="36"/>
      <c r="Q42" s="43"/>
      <c r="R42" s="67"/>
      <c r="S42" s="67"/>
    </row>
    <row r="43" spans="1:19" ht="21" x14ac:dyDescent="0.35">
      <c r="A43" s="108"/>
      <c r="B43" s="28"/>
      <c r="C43" s="66"/>
      <c r="D43" s="30"/>
      <c r="E43" s="30"/>
      <c r="F43" s="31"/>
      <c r="G43" s="27"/>
      <c r="H43" s="54"/>
      <c r="I43" s="33"/>
      <c r="J43" s="33"/>
      <c r="K43" s="33"/>
      <c r="L43" s="33"/>
      <c r="M43" s="29"/>
      <c r="N43" s="34"/>
      <c r="O43" s="35"/>
      <c r="P43" s="36"/>
      <c r="Q43" s="43"/>
      <c r="R43" s="67"/>
      <c r="S43" s="67"/>
    </row>
    <row r="44" spans="1:19" ht="21" x14ac:dyDescent="0.35">
      <c r="A44" s="108"/>
      <c r="B44" s="28"/>
      <c r="C44" s="66"/>
      <c r="D44" s="30"/>
      <c r="E44" s="30"/>
      <c r="F44" s="31"/>
      <c r="G44" s="27"/>
      <c r="H44" s="54"/>
      <c r="I44" s="33"/>
      <c r="J44" s="33"/>
      <c r="K44" s="33"/>
      <c r="L44" s="33"/>
      <c r="M44" s="29"/>
      <c r="N44" s="34"/>
      <c r="O44" s="35"/>
      <c r="P44" s="36"/>
      <c r="Q44" s="43"/>
      <c r="R44" s="67"/>
      <c r="S44" s="67"/>
    </row>
    <row r="45" spans="1:19" ht="21" x14ac:dyDescent="0.35">
      <c r="A45" s="108"/>
      <c r="B45" s="28"/>
      <c r="C45" s="66"/>
      <c r="D45" s="30"/>
      <c r="E45" s="30"/>
      <c r="F45" s="31"/>
      <c r="G45" s="27"/>
      <c r="H45" s="54"/>
      <c r="I45" s="33"/>
      <c r="J45" s="33"/>
      <c r="K45" s="33"/>
      <c r="L45" s="33"/>
      <c r="M45" s="29"/>
      <c r="N45" s="34"/>
      <c r="O45" s="35"/>
      <c r="P45" s="36"/>
      <c r="Q45" s="43"/>
      <c r="R45" s="67"/>
      <c r="S45" s="67"/>
    </row>
    <row r="46" spans="1:19" ht="21" x14ac:dyDescent="0.35">
      <c r="A46" s="108"/>
      <c r="B46" s="28"/>
      <c r="C46" s="66"/>
      <c r="D46" s="30"/>
      <c r="E46" s="30"/>
      <c r="F46" s="31"/>
      <c r="G46" s="27"/>
      <c r="H46" s="54"/>
      <c r="I46" s="33"/>
      <c r="J46" s="33"/>
      <c r="K46" s="33"/>
      <c r="L46" s="33"/>
      <c r="M46" s="29"/>
      <c r="N46" s="34"/>
      <c r="O46" s="35"/>
      <c r="P46" s="36"/>
      <c r="Q46" s="43"/>
      <c r="R46" s="67"/>
      <c r="S46" s="67"/>
    </row>
    <row r="47" spans="1:19" ht="21" x14ac:dyDescent="0.35">
      <c r="A47" s="108"/>
      <c r="B47" s="28"/>
      <c r="C47" s="66"/>
      <c r="D47" s="30"/>
      <c r="E47" s="30"/>
      <c r="F47" s="31"/>
      <c r="G47" s="27"/>
      <c r="H47" s="54"/>
      <c r="I47" s="33"/>
      <c r="J47" s="33"/>
      <c r="K47" s="33"/>
      <c r="L47" s="33"/>
      <c r="M47" s="29"/>
      <c r="N47" s="34"/>
      <c r="O47" s="35"/>
      <c r="P47" s="36"/>
      <c r="Q47" s="43"/>
      <c r="R47" s="67"/>
      <c r="S47" s="67"/>
    </row>
    <row r="48" spans="1:19" ht="21" x14ac:dyDescent="0.35">
      <c r="A48" s="108"/>
      <c r="B48" s="28"/>
      <c r="C48" s="66"/>
      <c r="D48" s="30"/>
      <c r="E48" s="30"/>
      <c r="F48" s="31"/>
      <c r="G48" s="27"/>
      <c r="H48" s="54"/>
      <c r="I48" s="33"/>
      <c r="J48" s="33"/>
      <c r="K48" s="33"/>
      <c r="L48" s="33"/>
      <c r="M48" s="29"/>
      <c r="N48" s="34"/>
      <c r="O48" s="35"/>
      <c r="P48" s="36"/>
      <c r="Q48" s="43"/>
      <c r="R48" s="67"/>
      <c r="S48" s="67"/>
    </row>
    <row r="49" spans="1:19" ht="21" x14ac:dyDescent="0.35">
      <c r="A49" s="108"/>
      <c r="B49" s="28"/>
      <c r="C49" s="66"/>
      <c r="D49" s="30"/>
      <c r="E49" s="30"/>
      <c r="F49" s="31"/>
      <c r="G49" s="27"/>
      <c r="H49" s="54"/>
      <c r="I49" s="33"/>
      <c r="J49" s="33"/>
      <c r="K49" s="33"/>
      <c r="L49" s="33"/>
      <c r="M49" s="29"/>
      <c r="N49" s="34"/>
      <c r="O49" s="35"/>
      <c r="P49" s="36"/>
      <c r="Q49" s="43"/>
      <c r="R49" s="67"/>
      <c r="S49" s="67"/>
    </row>
    <row r="50" spans="1:19" ht="21" x14ac:dyDescent="0.35">
      <c r="A50" s="108"/>
      <c r="B50" s="28"/>
      <c r="C50" s="66"/>
      <c r="D50" s="30"/>
      <c r="E50" s="30"/>
      <c r="F50" s="31"/>
      <c r="G50" s="27"/>
      <c r="H50" s="54"/>
      <c r="I50" s="33"/>
      <c r="J50" s="33"/>
      <c r="K50" s="33"/>
      <c r="L50" s="33"/>
      <c r="M50" s="29"/>
      <c r="N50" s="34"/>
      <c r="O50" s="35"/>
      <c r="P50" s="36"/>
      <c r="Q50" s="43"/>
      <c r="R50" s="67"/>
      <c r="S50" s="67"/>
    </row>
    <row r="51" spans="1:19" ht="21" x14ac:dyDescent="0.35">
      <c r="A51" s="108"/>
      <c r="B51" s="28"/>
      <c r="C51" s="66"/>
      <c r="D51" s="30"/>
      <c r="E51" s="30"/>
      <c r="F51" s="31"/>
      <c r="G51" s="27"/>
      <c r="H51" s="54"/>
      <c r="I51" s="33"/>
      <c r="J51" s="33"/>
      <c r="K51" s="33"/>
      <c r="L51" s="33"/>
      <c r="M51" s="29"/>
      <c r="N51" s="34"/>
      <c r="O51" s="35"/>
      <c r="P51" s="36"/>
      <c r="Q51" s="43"/>
      <c r="R51" s="67"/>
      <c r="S51" s="67"/>
    </row>
    <row r="52" spans="1:19" ht="21" x14ac:dyDescent="0.35">
      <c r="A52" s="108"/>
      <c r="B52" s="28"/>
      <c r="C52" s="66"/>
      <c r="D52" s="30"/>
      <c r="E52" s="30"/>
      <c r="F52" s="31"/>
      <c r="G52" s="27"/>
      <c r="H52" s="54"/>
      <c r="I52" s="33"/>
      <c r="J52" s="33"/>
      <c r="K52" s="33"/>
      <c r="L52" s="33"/>
      <c r="M52" s="29"/>
      <c r="N52" s="34"/>
      <c r="O52" s="35"/>
      <c r="P52" s="36"/>
      <c r="Q52" s="43"/>
      <c r="R52" s="67"/>
      <c r="S52" s="67"/>
    </row>
    <row r="53" spans="1:19" ht="21" x14ac:dyDescent="0.35">
      <c r="A53" s="108"/>
      <c r="B53" s="28"/>
      <c r="C53" s="66"/>
      <c r="D53" s="30"/>
      <c r="E53" s="30"/>
      <c r="F53" s="31"/>
      <c r="G53" s="27"/>
      <c r="H53" s="54"/>
      <c r="I53" s="33"/>
      <c r="J53" s="33"/>
      <c r="K53" s="33"/>
      <c r="L53" s="33"/>
      <c r="M53" s="29"/>
      <c r="N53" s="34"/>
      <c r="O53" s="35"/>
      <c r="P53" s="36"/>
      <c r="Q53" s="43"/>
      <c r="R53" s="67"/>
      <c r="S53" s="67"/>
    </row>
    <row r="54" spans="1:19" ht="21" x14ac:dyDescent="0.35">
      <c r="A54" s="108"/>
      <c r="B54" s="28"/>
      <c r="C54" s="66"/>
      <c r="D54" s="30"/>
      <c r="E54" s="30"/>
      <c r="F54" s="31"/>
      <c r="G54" s="27"/>
      <c r="H54" s="54"/>
      <c r="I54" s="33"/>
      <c r="J54" s="33"/>
      <c r="K54" s="33"/>
      <c r="L54" s="33"/>
      <c r="M54" s="29"/>
      <c r="N54" s="34"/>
      <c r="O54" s="35"/>
      <c r="P54" s="36"/>
      <c r="Q54" s="43"/>
      <c r="R54" s="67"/>
      <c r="S54" s="67"/>
    </row>
    <row r="55" spans="1:19" ht="21" x14ac:dyDescent="0.35">
      <c r="A55" s="108"/>
      <c r="B55" s="28"/>
      <c r="C55" s="66"/>
      <c r="D55" s="30"/>
      <c r="E55" s="30"/>
      <c r="F55" s="31"/>
      <c r="G55" s="27"/>
      <c r="H55" s="54"/>
      <c r="I55" s="33"/>
      <c r="J55" s="33"/>
      <c r="K55" s="33"/>
      <c r="L55" s="33"/>
      <c r="M55" s="29"/>
      <c r="N55" s="34"/>
      <c r="O55" s="35"/>
      <c r="P55" s="36"/>
      <c r="Q55" s="43"/>
      <c r="R55" s="68"/>
      <c r="S55" s="69"/>
    </row>
    <row r="56" spans="1:19" ht="21" x14ac:dyDescent="0.35">
      <c r="A56" s="108"/>
      <c r="B56" s="28"/>
      <c r="C56" s="66"/>
      <c r="D56" s="30"/>
      <c r="E56" s="30"/>
      <c r="F56" s="31"/>
      <c r="G56" s="27"/>
      <c r="H56" s="40"/>
      <c r="I56" s="33"/>
      <c r="J56" s="33"/>
      <c r="K56" s="33"/>
      <c r="L56" s="33"/>
      <c r="M56" s="55"/>
      <c r="N56" s="34"/>
      <c r="O56" s="35"/>
      <c r="P56" s="36"/>
      <c r="Q56" s="71"/>
      <c r="R56" s="64"/>
      <c r="S56" s="18"/>
    </row>
    <row r="57" spans="1:19" ht="21" x14ac:dyDescent="0.35">
      <c r="A57" s="108"/>
      <c r="B57" s="28"/>
      <c r="C57" s="66"/>
      <c r="D57" s="30"/>
      <c r="E57" s="30"/>
      <c r="F57" s="31"/>
      <c r="G57" s="27"/>
      <c r="H57" s="40"/>
      <c r="I57" s="33"/>
      <c r="J57" s="33"/>
      <c r="K57" s="33"/>
      <c r="L57" s="33"/>
      <c r="M57" s="55"/>
      <c r="N57" s="34"/>
      <c r="O57" s="35"/>
      <c r="P57" s="36"/>
      <c r="Q57" s="43"/>
      <c r="R57" s="64"/>
      <c r="S57" s="18"/>
    </row>
    <row r="58" spans="1:19" ht="21" x14ac:dyDescent="0.35">
      <c r="A58" s="108"/>
      <c r="B58" s="28"/>
      <c r="C58" s="66"/>
      <c r="D58" s="30"/>
      <c r="E58" s="30"/>
      <c r="F58" s="31"/>
      <c r="G58" s="27"/>
      <c r="H58" s="40"/>
      <c r="I58" s="33"/>
      <c r="J58" s="33"/>
      <c r="K58" s="33"/>
      <c r="L58" s="33"/>
      <c r="M58" s="55"/>
      <c r="N58" s="34"/>
      <c r="O58" s="35"/>
      <c r="P58" s="36"/>
      <c r="Q58" s="43"/>
      <c r="R58" s="64"/>
      <c r="S58" s="18"/>
    </row>
    <row r="59" spans="1:19" ht="21" x14ac:dyDescent="0.35">
      <c r="A59" s="108"/>
      <c r="B59" s="28"/>
      <c r="C59" s="66"/>
      <c r="D59" s="30"/>
      <c r="E59" s="30"/>
      <c r="F59" s="31"/>
      <c r="G59" s="27"/>
      <c r="H59" s="40"/>
      <c r="I59" s="33"/>
      <c r="J59" s="33"/>
      <c r="K59" s="33"/>
      <c r="L59" s="33"/>
      <c r="M59" s="55"/>
      <c r="N59" s="34"/>
      <c r="O59" s="35"/>
      <c r="P59" s="36"/>
      <c r="Q59" s="43"/>
      <c r="R59" s="64"/>
      <c r="S59" s="18"/>
    </row>
    <row r="60" spans="1:19" ht="21" x14ac:dyDescent="0.35">
      <c r="A60" s="108"/>
      <c r="B60" s="28"/>
      <c r="C60" s="66"/>
      <c r="D60" s="30"/>
      <c r="E60" s="30"/>
      <c r="F60" s="31"/>
      <c r="G60" s="27"/>
      <c r="H60" s="40"/>
      <c r="I60" s="33"/>
      <c r="J60" s="33"/>
      <c r="K60" s="33"/>
      <c r="L60" s="33"/>
      <c r="M60" s="55"/>
      <c r="N60" s="34"/>
      <c r="O60" s="35"/>
      <c r="P60" s="36"/>
      <c r="Q60" s="43"/>
      <c r="R60" s="64"/>
      <c r="S60" s="18"/>
    </row>
    <row r="61" spans="1:19" ht="21" x14ac:dyDescent="0.35">
      <c r="A61" s="108"/>
      <c r="B61" s="28"/>
      <c r="C61" s="66"/>
      <c r="D61" s="30"/>
      <c r="E61" s="30"/>
      <c r="F61" s="31"/>
      <c r="G61" s="27"/>
      <c r="H61" s="40"/>
      <c r="I61" s="33"/>
      <c r="J61" s="33"/>
      <c r="K61" s="33"/>
      <c r="L61" s="33"/>
      <c r="M61" s="55"/>
      <c r="N61" s="34"/>
      <c r="O61" s="35"/>
      <c r="P61" s="36"/>
      <c r="Q61" s="43"/>
      <c r="R61" s="64"/>
      <c r="S61" s="18"/>
    </row>
    <row r="62" spans="1:19" ht="21" x14ac:dyDescent="0.35">
      <c r="A62" s="108"/>
      <c r="B62" s="28"/>
      <c r="C62" s="66"/>
      <c r="D62" s="30"/>
      <c r="E62" s="30"/>
      <c r="F62" s="31"/>
      <c r="G62" s="27"/>
      <c r="H62" s="40"/>
      <c r="I62" s="33"/>
      <c r="J62" s="33"/>
      <c r="K62" s="33"/>
      <c r="L62" s="33"/>
      <c r="M62" s="55"/>
      <c r="N62" s="34"/>
      <c r="O62" s="35"/>
      <c r="P62" s="36"/>
      <c r="Q62" s="43"/>
      <c r="R62" s="64"/>
      <c r="S62" s="18"/>
    </row>
    <row r="63" spans="1:19" ht="21" x14ac:dyDescent="0.35">
      <c r="A63" s="108"/>
      <c r="B63" s="28"/>
      <c r="C63" s="66"/>
      <c r="D63" s="30"/>
      <c r="E63" s="30"/>
      <c r="F63" s="31"/>
      <c r="G63" s="27"/>
      <c r="H63" s="40"/>
      <c r="I63" s="33"/>
      <c r="J63" s="33"/>
      <c r="K63" s="33"/>
      <c r="L63" s="33"/>
      <c r="M63" s="55"/>
      <c r="N63" s="34"/>
      <c r="O63" s="35"/>
      <c r="P63" s="36"/>
      <c r="Q63" s="43"/>
      <c r="R63" s="64"/>
      <c r="S63" s="18"/>
    </row>
    <row r="64" spans="1:19" ht="21" x14ac:dyDescent="0.35">
      <c r="A64" s="108"/>
      <c r="B64" s="28"/>
      <c r="C64" s="66"/>
      <c r="D64" s="30"/>
      <c r="E64" s="30"/>
      <c r="F64" s="31"/>
      <c r="G64" s="27"/>
      <c r="H64" s="40"/>
      <c r="I64" s="33"/>
      <c r="J64" s="33"/>
      <c r="K64" s="33"/>
      <c r="L64" s="33"/>
      <c r="M64" s="55"/>
      <c r="N64" s="34"/>
      <c r="O64" s="35"/>
      <c r="P64" s="36"/>
      <c r="Q64" s="43"/>
      <c r="R64" s="64"/>
      <c r="S64" s="18"/>
    </row>
    <row r="65" spans="1:19" ht="21" x14ac:dyDescent="0.35">
      <c r="A65" s="108"/>
      <c r="B65" s="28"/>
      <c r="C65" s="66"/>
      <c r="D65" s="30"/>
      <c r="E65" s="30"/>
      <c r="F65" s="31"/>
      <c r="G65" s="27"/>
      <c r="H65" s="102"/>
      <c r="I65" s="33"/>
      <c r="J65" s="33"/>
      <c r="K65" s="33"/>
      <c r="L65" s="33"/>
      <c r="M65" s="55"/>
      <c r="N65" s="34"/>
      <c r="O65" s="35"/>
      <c r="P65" s="36"/>
      <c r="Q65" s="71"/>
      <c r="R65" s="64"/>
      <c r="S65" s="18"/>
    </row>
    <row r="66" spans="1:19" ht="21" x14ac:dyDescent="0.35">
      <c r="A66" s="108"/>
      <c r="B66" s="28"/>
      <c r="C66" s="66"/>
      <c r="D66" s="30"/>
      <c r="E66" s="30"/>
      <c r="F66" s="31"/>
      <c r="G66" s="27"/>
      <c r="H66" s="40"/>
      <c r="I66" s="33"/>
      <c r="J66" s="33"/>
      <c r="K66" s="33"/>
      <c r="L66" s="33"/>
      <c r="M66" s="55"/>
      <c r="N66" s="34"/>
      <c r="O66" s="35"/>
      <c r="P66" s="36"/>
      <c r="Q66" s="43"/>
      <c r="R66" s="69"/>
      <c r="S66" s="69"/>
    </row>
    <row r="67" spans="1:19" ht="21" x14ac:dyDescent="0.35">
      <c r="A67" s="108"/>
      <c r="B67" s="28"/>
      <c r="C67" s="66"/>
      <c r="D67" s="30"/>
      <c r="E67" s="30"/>
      <c r="F67" s="31"/>
      <c r="G67" s="27"/>
      <c r="H67" s="72"/>
      <c r="I67" s="33"/>
      <c r="J67" s="33"/>
      <c r="K67" s="33"/>
      <c r="L67" s="33"/>
      <c r="M67" s="2"/>
      <c r="N67" s="74"/>
      <c r="O67" s="35"/>
      <c r="P67" s="36"/>
      <c r="Q67" s="19"/>
      <c r="R67" s="69"/>
      <c r="S67" s="69"/>
    </row>
    <row r="68" spans="1:19" ht="21" x14ac:dyDescent="0.35">
      <c r="A68" s="108"/>
      <c r="B68" s="28"/>
      <c r="C68" s="66"/>
      <c r="D68" s="30"/>
      <c r="E68" s="30"/>
      <c r="F68" s="31"/>
      <c r="G68" s="27"/>
      <c r="H68" s="72"/>
      <c r="I68" s="33"/>
      <c r="J68" s="33"/>
      <c r="K68" s="33"/>
      <c r="L68" s="33"/>
      <c r="M68" s="2"/>
      <c r="N68" s="3"/>
      <c r="O68" s="5"/>
      <c r="P68" s="5"/>
      <c r="Q68" s="73"/>
      <c r="R68" s="69"/>
      <c r="S68" s="69"/>
    </row>
    <row r="69" spans="1:19" ht="21" x14ac:dyDescent="0.35">
      <c r="A69" s="108"/>
      <c r="B69" s="28"/>
      <c r="C69" s="94"/>
      <c r="D69" s="30"/>
      <c r="E69" s="30"/>
      <c r="F69" s="31"/>
      <c r="G69" s="27"/>
      <c r="H69" s="72"/>
      <c r="I69" s="33"/>
      <c r="J69" s="33"/>
      <c r="K69" s="33"/>
      <c r="L69" s="33"/>
      <c r="M69" s="3"/>
      <c r="N69" s="3"/>
      <c r="O69" s="3"/>
      <c r="P69" s="3"/>
      <c r="Q69" s="73"/>
      <c r="R69" s="68"/>
      <c r="S69" s="69"/>
    </row>
    <row r="70" spans="1:19" ht="21" x14ac:dyDescent="0.35">
      <c r="A70" s="108"/>
      <c r="B70" s="28"/>
      <c r="C70" s="94"/>
      <c r="D70" s="30"/>
      <c r="E70" s="30"/>
      <c r="F70" s="31"/>
      <c r="G70" s="27"/>
      <c r="H70" s="72"/>
      <c r="I70" s="33"/>
      <c r="J70" s="33"/>
      <c r="K70" s="33"/>
      <c r="L70" s="33"/>
      <c r="M70" s="3"/>
      <c r="N70" s="3"/>
      <c r="O70" s="5"/>
      <c r="P70" s="5"/>
      <c r="Q70" s="71"/>
      <c r="R70" s="68"/>
      <c r="S70" s="69"/>
    </row>
    <row r="71" spans="1:19" ht="21" x14ac:dyDescent="0.35">
      <c r="A71" s="108"/>
      <c r="B71" s="28"/>
      <c r="C71" s="66"/>
      <c r="D71" s="30"/>
      <c r="E71" s="30"/>
      <c r="F71" s="31"/>
      <c r="G71" s="27"/>
      <c r="H71" s="72"/>
      <c r="I71" s="33"/>
      <c r="J71" s="33"/>
      <c r="K71" s="33"/>
      <c r="L71" s="33"/>
      <c r="M71" s="3"/>
      <c r="N71" s="3"/>
      <c r="O71" s="5"/>
      <c r="P71" s="5"/>
      <c r="Q71" s="73"/>
      <c r="R71" s="76"/>
      <c r="S71" s="77"/>
    </row>
    <row r="72" spans="1:19" ht="21" x14ac:dyDescent="0.35">
      <c r="A72" s="108"/>
      <c r="B72" s="28"/>
      <c r="C72" s="66"/>
      <c r="D72" s="30"/>
      <c r="E72" s="30"/>
      <c r="F72" s="31"/>
      <c r="G72" s="27"/>
      <c r="H72" s="72"/>
      <c r="I72" s="33"/>
      <c r="J72" s="33"/>
      <c r="K72" s="33"/>
      <c r="L72" s="33"/>
      <c r="M72" s="3"/>
      <c r="N72" s="3"/>
      <c r="O72" s="5"/>
      <c r="P72" s="5"/>
      <c r="Q72" s="73"/>
      <c r="R72" s="76"/>
      <c r="S72" s="77"/>
    </row>
    <row r="73" spans="1:19" ht="21" x14ac:dyDescent="0.35">
      <c r="A73" s="108"/>
      <c r="B73" s="28"/>
      <c r="C73" s="66"/>
      <c r="D73" s="30"/>
      <c r="E73" s="30"/>
      <c r="F73" s="31"/>
      <c r="G73" s="27"/>
      <c r="H73" s="72"/>
      <c r="I73" s="33"/>
      <c r="J73" s="33"/>
      <c r="K73" s="33"/>
      <c r="L73" s="33"/>
      <c r="M73" s="3"/>
      <c r="N73" s="3"/>
      <c r="O73" s="5"/>
      <c r="P73" s="5"/>
      <c r="Q73" s="73"/>
      <c r="R73" s="76"/>
      <c r="S73" s="77"/>
    </row>
    <row r="74" spans="1:19" ht="21" x14ac:dyDescent="0.35">
      <c r="A74" s="108"/>
      <c r="B74" s="28"/>
      <c r="C74" s="66"/>
      <c r="D74" s="30"/>
      <c r="E74" s="30"/>
      <c r="F74" s="31"/>
      <c r="G74" s="27"/>
      <c r="H74" s="75"/>
      <c r="I74" s="33"/>
      <c r="J74" s="33"/>
      <c r="K74" s="33"/>
      <c r="L74" s="33"/>
      <c r="M74" s="3"/>
      <c r="N74" s="3"/>
      <c r="O74" s="5"/>
      <c r="P74" s="5"/>
      <c r="Q74" s="73"/>
      <c r="R74" s="76"/>
      <c r="S74" s="77"/>
    </row>
    <row r="75" spans="1:19" ht="21" x14ac:dyDescent="0.35">
      <c r="A75" s="108"/>
      <c r="B75" s="28"/>
      <c r="C75" s="78"/>
      <c r="D75" s="30"/>
      <c r="E75" s="30"/>
      <c r="F75" s="31"/>
      <c r="G75" s="27"/>
      <c r="H75" s="75"/>
      <c r="I75" s="33"/>
      <c r="J75" s="33"/>
      <c r="K75" s="33"/>
      <c r="L75" s="33"/>
      <c r="M75" s="1"/>
      <c r="N75" s="1"/>
      <c r="O75" s="5"/>
      <c r="P75" s="5"/>
      <c r="Q75" s="73"/>
      <c r="R75" s="79"/>
      <c r="S75" s="80"/>
    </row>
    <row r="76" spans="1:19" ht="21" x14ac:dyDescent="0.35">
      <c r="A76" s="108"/>
      <c r="B76" s="28"/>
      <c r="C76" s="66"/>
      <c r="D76" s="30"/>
      <c r="E76" s="30"/>
      <c r="F76" s="31"/>
      <c r="G76" s="27"/>
      <c r="H76" s="40"/>
      <c r="I76" s="33"/>
      <c r="J76" s="33"/>
      <c r="K76" s="33"/>
      <c r="L76" s="33"/>
      <c r="M76" s="1"/>
      <c r="N76" s="1"/>
      <c r="O76" s="5"/>
      <c r="P76" s="5"/>
      <c r="Q76" s="73"/>
      <c r="R76" s="79"/>
      <c r="S76" s="80"/>
    </row>
    <row r="77" spans="1:19" ht="21" x14ac:dyDescent="0.35">
      <c r="A77" s="108"/>
      <c r="B77" s="28"/>
      <c r="C77" s="66"/>
      <c r="D77" s="30"/>
      <c r="E77" s="30"/>
      <c r="F77" s="31"/>
      <c r="G77" s="27"/>
      <c r="H77" s="75"/>
      <c r="I77" s="33"/>
      <c r="J77" s="33"/>
      <c r="K77" s="33"/>
      <c r="L77" s="33"/>
      <c r="M77" s="1"/>
      <c r="N77" s="1"/>
      <c r="O77" s="5"/>
      <c r="P77" s="5"/>
      <c r="Q77" s="73"/>
      <c r="R77" s="79"/>
      <c r="S77" s="80"/>
    </row>
    <row r="78" spans="1:19" ht="21" x14ac:dyDescent="0.35">
      <c r="A78" s="108"/>
      <c r="B78" s="28"/>
      <c r="C78" s="66"/>
      <c r="D78" s="30"/>
      <c r="E78" s="30"/>
      <c r="F78" s="31"/>
      <c r="G78" s="27"/>
      <c r="H78" s="75"/>
      <c r="I78" s="33"/>
      <c r="J78" s="33"/>
      <c r="K78" s="33"/>
      <c r="L78" s="33"/>
      <c r="M78" s="1"/>
      <c r="N78" s="1"/>
      <c r="O78" s="5"/>
      <c r="P78" s="5"/>
      <c r="Q78" s="73"/>
      <c r="R78" s="81"/>
      <c r="S78" s="82"/>
    </row>
    <row r="79" spans="1:19" ht="21" x14ac:dyDescent="0.35">
      <c r="A79" s="108"/>
      <c r="B79" s="28"/>
      <c r="C79" s="66"/>
      <c r="D79" s="30"/>
      <c r="E79" s="30"/>
      <c r="F79" s="31"/>
      <c r="G79" s="27"/>
      <c r="H79" s="75"/>
      <c r="I79" s="33"/>
      <c r="J79" s="33"/>
      <c r="K79" s="33"/>
      <c r="L79" s="33"/>
      <c r="M79" s="1"/>
      <c r="N79" s="1"/>
      <c r="O79" s="5"/>
      <c r="P79" s="5"/>
      <c r="Q79" s="73"/>
      <c r="R79" s="81"/>
      <c r="S79" s="82"/>
    </row>
    <row r="80" spans="1:19" ht="21" x14ac:dyDescent="0.35">
      <c r="A80" s="108"/>
      <c r="B80" s="28"/>
      <c r="C80" s="66"/>
      <c r="D80" s="30"/>
      <c r="E80" s="30"/>
      <c r="F80" s="31"/>
      <c r="G80" s="27"/>
      <c r="H80" s="75"/>
      <c r="I80" s="33"/>
      <c r="J80" s="33"/>
      <c r="K80" s="33"/>
      <c r="L80" s="33"/>
      <c r="M80" s="1"/>
      <c r="N80" s="1"/>
      <c r="O80" s="5"/>
      <c r="P80" s="5"/>
      <c r="Q80" s="73"/>
      <c r="R80" s="81"/>
      <c r="S80" s="83"/>
    </row>
    <row r="81" spans="1:19" ht="21" x14ac:dyDescent="0.35">
      <c r="A81" s="108"/>
      <c r="B81" s="28"/>
      <c r="C81" s="66"/>
      <c r="D81" s="30"/>
      <c r="E81" s="30"/>
      <c r="F81" s="31"/>
      <c r="G81" s="27"/>
      <c r="H81" s="75"/>
      <c r="I81" s="33"/>
      <c r="J81" s="33"/>
      <c r="K81" s="33"/>
      <c r="L81" s="33"/>
      <c r="M81" s="1"/>
      <c r="N81" s="1"/>
      <c r="O81" s="5"/>
      <c r="P81" s="5"/>
      <c r="Q81" s="73"/>
      <c r="R81" s="81"/>
      <c r="S81" s="83"/>
    </row>
    <row r="82" spans="1:19" ht="21" x14ac:dyDescent="0.35">
      <c r="A82" s="108"/>
      <c r="B82" s="28"/>
      <c r="C82" s="66"/>
      <c r="D82" s="30"/>
      <c r="E82" s="30"/>
      <c r="F82" s="31"/>
      <c r="G82" s="27"/>
      <c r="H82" s="75"/>
      <c r="I82" s="33"/>
      <c r="J82" s="33"/>
      <c r="K82" s="33"/>
      <c r="L82" s="33"/>
      <c r="M82" s="1"/>
      <c r="N82" s="1"/>
      <c r="O82" s="5"/>
      <c r="P82" s="5"/>
      <c r="Q82" s="73"/>
      <c r="R82" s="81"/>
      <c r="S82" s="83"/>
    </row>
    <row r="83" spans="1:19" ht="21" x14ac:dyDescent="0.35">
      <c r="A83" s="108"/>
      <c r="B83" s="28"/>
      <c r="C83" s="66"/>
      <c r="D83" s="30"/>
      <c r="E83" s="30"/>
      <c r="F83" s="31"/>
      <c r="G83" s="27"/>
      <c r="H83" s="75"/>
      <c r="I83" s="33"/>
      <c r="J83" s="33"/>
      <c r="K83" s="33"/>
      <c r="L83" s="33"/>
      <c r="M83" s="1"/>
      <c r="N83" s="1"/>
      <c r="O83" s="5"/>
      <c r="P83" s="5"/>
      <c r="Q83" s="73"/>
      <c r="R83" s="76"/>
      <c r="S83" s="77"/>
    </row>
    <row r="84" spans="1:19" ht="21" x14ac:dyDescent="0.35">
      <c r="A84" s="108"/>
      <c r="B84" s="28"/>
      <c r="C84" s="66"/>
      <c r="D84" s="30"/>
      <c r="E84" s="30"/>
      <c r="F84" s="31"/>
      <c r="G84" s="27"/>
      <c r="H84" s="4"/>
      <c r="I84" s="33"/>
      <c r="J84" s="33"/>
      <c r="K84" s="33"/>
      <c r="L84" s="33"/>
      <c r="M84" s="1"/>
      <c r="N84" s="1"/>
      <c r="O84" s="5"/>
      <c r="P84" s="5"/>
      <c r="Q84" s="73"/>
      <c r="R84" s="81"/>
      <c r="S84" s="81"/>
    </row>
    <row r="85" spans="1:19" ht="21" x14ac:dyDescent="0.35">
      <c r="A85" s="108"/>
      <c r="B85" s="28"/>
      <c r="C85" s="66"/>
      <c r="D85" s="30"/>
      <c r="E85" s="30"/>
      <c r="F85" s="31"/>
      <c r="G85" s="27"/>
      <c r="H85" s="4"/>
      <c r="I85" s="33"/>
      <c r="J85" s="33"/>
      <c r="K85" s="33"/>
      <c r="L85" s="33"/>
      <c r="M85" s="1"/>
      <c r="N85" s="1"/>
      <c r="O85" s="5"/>
      <c r="P85" s="5"/>
      <c r="Q85" s="73"/>
      <c r="R85" s="81"/>
      <c r="S85" s="81"/>
    </row>
    <row r="86" spans="1:19" ht="21" x14ac:dyDescent="0.35">
      <c r="A86" s="108"/>
      <c r="B86" s="28"/>
      <c r="C86" s="66"/>
      <c r="D86" s="30"/>
      <c r="E86" s="30"/>
      <c r="F86" s="31"/>
      <c r="G86" s="27"/>
      <c r="H86" s="72"/>
      <c r="I86" s="33"/>
      <c r="J86" s="33"/>
      <c r="K86" s="33"/>
      <c r="L86" s="33"/>
      <c r="M86" s="1"/>
      <c r="N86" s="1"/>
      <c r="O86" s="5"/>
      <c r="P86" s="5"/>
      <c r="Q86" s="73"/>
      <c r="R86" s="81"/>
      <c r="S86" s="81"/>
    </row>
    <row r="87" spans="1:19" ht="21" x14ac:dyDescent="0.35">
      <c r="A87" s="108"/>
      <c r="B87" s="28"/>
      <c r="C87" s="66"/>
      <c r="D87" s="30"/>
      <c r="E87" s="30"/>
      <c r="F87" s="31"/>
      <c r="G87" s="27"/>
      <c r="H87" s="84"/>
      <c r="I87" s="33"/>
      <c r="J87" s="33"/>
      <c r="K87" s="33"/>
      <c r="L87" s="33"/>
      <c r="M87" s="107"/>
      <c r="N87" s="107"/>
      <c r="O87" s="5"/>
      <c r="P87" s="5"/>
      <c r="Q87" s="73"/>
      <c r="R87" s="79"/>
      <c r="S87" s="79"/>
    </row>
    <row r="88" spans="1:19" ht="21" x14ac:dyDescent="0.35">
      <c r="A88" s="108"/>
      <c r="B88" s="28"/>
      <c r="C88" s="66"/>
      <c r="D88" s="30"/>
      <c r="E88" s="30"/>
      <c r="F88" s="31"/>
      <c r="G88" s="70"/>
      <c r="H88" s="4"/>
      <c r="I88" s="33"/>
      <c r="J88" s="33"/>
      <c r="K88" s="33"/>
      <c r="L88" s="33"/>
      <c r="M88" s="107"/>
      <c r="N88" s="107"/>
      <c r="O88" s="5"/>
      <c r="P88" s="5"/>
      <c r="Q88" s="73"/>
      <c r="R88" s="79"/>
      <c r="S88" s="79"/>
    </row>
    <row r="89" spans="1:19" ht="21" x14ac:dyDescent="0.35">
      <c r="A89" s="108"/>
      <c r="B89" s="28"/>
      <c r="C89" s="66"/>
      <c r="D89" s="30"/>
      <c r="E89" s="96"/>
      <c r="F89" s="97"/>
      <c r="G89" s="87"/>
      <c r="H89" s="85"/>
      <c r="I89" s="33"/>
      <c r="J89" s="33"/>
      <c r="K89" s="33"/>
      <c r="L89" s="33"/>
      <c r="M89" s="107"/>
      <c r="N89" s="107"/>
      <c r="O89" s="5"/>
      <c r="P89" s="5"/>
      <c r="Q89" s="73"/>
      <c r="R89" s="79"/>
      <c r="S89" s="83"/>
    </row>
    <row r="90" spans="1:19" ht="21" x14ac:dyDescent="0.35">
      <c r="A90" s="108"/>
      <c r="B90" s="28"/>
      <c r="C90" s="66"/>
      <c r="D90" s="30"/>
      <c r="E90" s="30"/>
      <c r="F90" s="31"/>
      <c r="G90" s="87"/>
      <c r="H90" s="85"/>
      <c r="I90" s="33"/>
      <c r="J90" s="33"/>
      <c r="K90" s="33"/>
      <c r="L90" s="33"/>
      <c r="M90" s="107"/>
      <c r="N90" s="107"/>
      <c r="O90" s="5"/>
      <c r="P90" s="5"/>
      <c r="Q90" s="73"/>
      <c r="R90" s="79"/>
      <c r="S90" s="79"/>
    </row>
    <row r="91" spans="1:19" ht="21" x14ac:dyDescent="0.35">
      <c r="A91" s="108"/>
      <c r="B91" s="28"/>
      <c r="C91" s="66"/>
      <c r="D91" s="30"/>
      <c r="E91" s="30"/>
      <c r="F91" s="31"/>
      <c r="G91" s="87"/>
      <c r="H91" s="31"/>
      <c r="I91" s="33"/>
      <c r="J91" s="33"/>
      <c r="K91" s="33"/>
      <c r="L91" s="33"/>
      <c r="M91" s="107"/>
      <c r="N91" s="107"/>
      <c r="O91" s="5"/>
      <c r="P91" s="5"/>
      <c r="Q91" s="73"/>
      <c r="R91" s="64"/>
      <c r="S91" s="18"/>
    </row>
    <row r="92" spans="1:19" ht="21" x14ac:dyDescent="0.35">
      <c r="A92" s="108"/>
      <c r="B92" s="28"/>
      <c r="C92" s="66"/>
      <c r="D92" s="30"/>
      <c r="E92" s="30"/>
      <c r="F92" s="31"/>
      <c r="G92" s="27"/>
      <c r="H92" s="75"/>
      <c r="I92" s="33"/>
      <c r="J92" s="33"/>
      <c r="K92" s="33"/>
      <c r="L92" s="33"/>
      <c r="M92" s="29"/>
      <c r="N92" s="34"/>
      <c r="O92" s="35"/>
      <c r="P92" s="36"/>
      <c r="Q92" s="73"/>
      <c r="R92" s="100"/>
      <c r="S92" s="100"/>
    </row>
    <row r="93" spans="1:19" ht="21" x14ac:dyDescent="0.35">
      <c r="A93" s="108"/>
      <c r="B93" s="28"/>
      <c r="C93" s="66"/>
      <c r="D93" s="30"/>
      <c r="E93" s="30"/>
      <c r="F93" s="31"/>
      <c r="G93" s="27"/>
      <c r="H93" s="54"/>
      <c r="I93" s="33"/>
      <c r="J93" s="33"/>
      <c r="K93" s="33"/>
      <c r="L93" s="33"/>
      <c r="M93" s="29"/>
      <c r="N93" s="34"/>
      <c r="O93" s="35"/>
      <c r="P93" s="36"/>
      <c r="Q93" s="73"/>
      <c r="R93" s="93"/>
      <c r="S93" s="93"/>
    </row>
    <row r="94" spans="1:19" ht="21" x14ac:dyDescent="0.35">
      <c r="A94" s="108"/>
      <c r="B94" s="28"/>
      <c r="C94" s="66"/>
      <c r="D94" s="30"/>
      <c r="E94" s="30"/>
      <c r="F94" s="31"/>
      <c r="G94" s="27"/>
      <c r="H94" s="54"/>
      <c r="I94" s="33"/>
      <c r="J94" s="33"/>
      <c r="K94" s="33"/>
      <c r="L94" s="33"/>
      <c r="M94" s="29"/>
      <c r="N94" s="34"/>
      <c r="O94" s="35"/>
      <c r="P94" s="36"/>
      <c r="Q94" s="73"/>
      <c r="R94" s="93"/>
      <c r="S94" s="103"/>
    </row>
    <row r="95" spans="1:19" ht="21" x14ac:dyDescent="0.35">
      <c r="A95" s="108"/>
      <c r="B95" s="28"/>
      <c r="C95" s="66"/>
      <c r="D95" s="30"/>
      <c r="E95" s="30"/>
      <c r="F95" s="31"/>
      <c r="G95" s="27"/>
      <c r="H95" s="75"/>
      <c r="I95" s="33"/>
      <c r="J95" s="33"/>
      <c r="K95" s="33"/>
      <c r="L95" s="33"/>
      <c r="M95" s="29"/>
      <c r="N95" s="34"/>
      <c r="O95" s="35"/>
      <c r="P95" s="36"/>
      <c r="Q95" s="73"/>
      <c r="R95" s="93"/>
      <c r="S95" s="104"/>
    </row>
    <row r="96" spans="1:19" ht="21" x14ac:dyDescent="0.35">
      <c r="A96" s="108"/>
      <c r="B96" s="28"/>
      <c r="C96" s="66"/>
      <c r="D96" s="30"/>
      <c r="E96" s="30"/>
      <c r="F96" s="31"/>
      <c r="G96" s="27"/>
      <c r="H96" s="75"/>
      <c r="I96" s="33"/>
      <c r="J96" s="33"/>
      <c r="K96" s="33"/>
      <c r="L96" s="33"/>
      <c r="M96" s="29"/>
      <c r="N96" s="34"/>
      <c r="O96" s="35"/>
      <c r="P96" s="36"/>
      <c r="Q96" s="73"/>
      <c r="R96" s="93"/>
      <c r="S96" s="105"/>
    </row>
    <row r="97" spans="1:19" ht="21" x14ac:dyDescent="0.35">
      <c r="A97" s="108"/>
      <c r="B97" s="28"/>
      <c r="C97" s="66"/>
      <c r="D97" s="30"/>
      <c r="E97" s="30"/>
      <c r="F97" s="31"/>
      <c r="G97" s="27"/>
      <c r="H97" s="75"/>
      <c r="I97" s="33"/>
      <c r="J97" s="33"/>
      <c r="K97" s="33"/>
      <c r="L97" s="33"/>
      <c r="M97" s="29"/>
      <c r="N97" s="34"/>
      <c r="O97" s="35"/>
      <c r="P97" s="36"/>
      <c r="Q97" s="73"/>
      <c r="R97" s="109"/>
      <c r="S97" s="110"/>
    </row>
    <row r="98" spans="1:19" ht="21" x14ac:dyDescent="0.35">
      <c r="A98" s="108"/>
      <c r="B98" s="28"/>
      <c r="C98" s="66"/>
      <c r="D98" s="30"/>
      <c r="E98" s="30"/>
      <c r="F98" s="31"/>
      <c r="G98" s="27"/>
      <c r="H98" s="75"/>
      <c r="I98" s="33"/>
      <c r="J98" s="33"/>
      <c r="K98" s="33"/>
      <c r="L98" s="33"/>
      <c r="M98" s="29"/>
      <c r="N98" s="34"/>
      <c r="O98" s="35"/>
      <c r="P98" s="36"/>
      <c r="Q98" s="113"/>
      <c r="R98" s="109"/>
      <c r="S98" s="111"/>
    </row>
    <row r="99" spans="1:19" ht="21" x14ac:dyDescent="0.35">
      <c r="A99" s="108"/>
      <c r="B99" s="28"/>
      <c r="C99" s="66"/>
      <c r="D99" s="30"/>
      <c r="E99" s="30"/>
      <c r="F99" s="31"/>
      <c r="G99" s="27"/>
      <c r="H99" s="72"/>
      <c r="I99" s="33"/>
      <c r="J99" s="33"/>
      <c r="K99" s="33"/>
      <c r="L99" s="33"/>
      <c r="M99" s="29"/>
      <c r="N99" s="34"/>
      <c r="O99" s="35"/>
      <c r="P99" s="36"/>
      <c r="Q99" s="73"/>
      <c r="R99" s="109"/>
      <c r="S99" s="110"/>
    </row>
    <row r="100" spans="1:19" ht="21" x14ac:dyDescent="0.35">
      <c r="A100" s="108"/>
      <c r="B100" s="28"/>
      <c r="C100" s="66"/>
      <c r="D100" s="30"/>
      <c r="E100" s="30"/>
      <c r="F100" s="31"/>
      <c r="G100" s="115"/>
      <c r="H100" s="75"/>
      <c r="I100" s="33"/>
      <c r="J100" s="33"/>
      <c r="K100" s="33"/>
      <c r="L100" s="33"/>
      <c r="M100" s="29"/>
      <c r="N100" s="34"/>
      <c r="O100" s="35"/>
      <c r="P100" s="36"/>
      <c r="Q100" s="73"/>
      <c r="R100" s="109"/>
      <c r="S100" s="110"/>
    </row>
    <row r="101" spans="1:19" ht="21" x14ac:dyDescent="0.35">
      <c r="A101" s="108"/>
      <c r="B101" s="28"/>
      <c r="C101" s="66"/>
      <c r="D101" s="30"/>
      <c r="E101" s="30"/>
      <c r="F101" s="31"/>
      <c r="G101" s="27"/>
      <c r="H101" s="72"/>
      <c r="I101" s="33"/>
      <c r="J101" s="33"/>
      <c r="K101" s="33"/>
      <c r="L101" s="33"/>
      <c r="M101" s="29"/>
      <c r="N101" s="34"/>
      <c r="O101" s="35"/>
      <c r="P101" s="36"/>
      <c r="Q101" s="73"/>
      <c r="R101" s="109"/>
      <c r="S101" s="110"/>
    </row>
    <row r="102" spans="1:19" ht="21" x14ac:dyDescent="0.35">
      <c r="A102" s="108"/>
      <c r="B102" s="28"/>
      <c r="C102" s="66"/>
      <c r="D102" s="30"/>
      <c r="E102" s="30"/>
      <c r="F102" s="31"/>
      <c r="G102" s="27"/>
      <c r="H102" s="75"/>
      <c r="I102" s="33"/>
      <c r="J102" s="33"/>
      <c r="K102" s="33"/>
      <c r="L102" s="33"/>
      <c r="M102" s="29"/>
      <c r="N102" s="34"/>
      <c r="O102" s="35"/>
      <c r="P102" s="36"/>
      <c r="Q102" s="73"/>
      <c r="R102" s="109"/>
      <c r="S102" s="110"/>
    </row>
    <row r="103" spans="1:19" ht="21" x14ac:dyDescent="0.35">
      <c r="A103" s="108"/>
      <c r="B103" s="28"/>
      <c r="C103" s="66"/>
      <c r="D103" s="30"/>
      <c r="E103" s="30"/>
      <c r="F103" s="31"/>
      <c r="G103" s="27"/>
      <c r="H103" s="75"/>
      <c r="I103" s="33"/>
      <c r="J103" s="33"/>
      <c r="K103" s="33"/>
      <c r="L103" s="33"/>
      <c r="M103" s="29"/>
      <c r="N103" s="34"/>
      <c r="O103" s="35"/>
      <c r="P103" s="36"/>
      <c r="Q103" s="73"/>
      <c r="R103" s="109"/>
      <c r="S103" s="110"/>
    </row>
    <row r="104" spans="1:19" ht="21" x14ac:dyDescent="0.35">
      <c r="A104" s="108"/>
      <c r="B104" s="28"/>
      <c r="C104" s="66"/>
      <c r="D104" s="30"/>
      <c r="E104" s="30"/>
      <c r="F104" s="31"/>
      <c r="G104" s="27"/>
      <c r="H104" s="75"/>
      <c r="I104" s="33"/>
      <c r="J104" s="33"/>
      <c r="K104" s="33"/>
      <c r="L104" s="33"/>
      <c r="M104" s="29"/>
      <c r="N104" s="34"/>
      <c r="O104" s="35"/>
      <c r="P104" s="36"/>
      <c r="Q104" s="73"/>
      <c r="R104" s="109"/>
      <c r="S104" s="110"/>
    </row>
    <row r="105" spans="1:19" ht="21" x14ac:dyDescent="0.35">
      <c r="A105" s="108"/>
      <c r="B105" s="28"/>
      <c r="C105" s="66"/>
      <c r="D105" s="30"/>
      <c r="E105" s="30"/>
      <c r="F105" s="31"/>
      <c r="G105" s="115"/>
      <c r="H105" s="75"/>
      <c r="I105" s="33"/>
      <c r="J105" s="33"/>
      <c r="K105" s="33"/>
      <c r="L105" s="33"/>
      <c r="M105" s="29"/>
      <c r="N105" s="34"/>
      <c r="O105" s="35"/>
      <c r="P105" s="36"/>
      <c r="Q105" s="73"/>
      <c r="R105" s="109"/>
      <c r="S105" s="110"/>
    </row>
    <row r="106" spans="1:19" ht="21" x14ac:dyDescent="0.35">
      <c r="A106" s="108"/>
      <c r="B106" s="28"/>
      <c r="C106" s="66"/>
      <c r="D106" s="30"/>
      <c r="E106" s="30"/>
      <c r="F106" s="31"/>
      <c r="G106" s="27"/>
      <c r="H106" s="75"/>
      <c r="I106" s="33"/>
      <c r="J106" s="33"/>
      <c r="K106" s="33"/>
      <c r="L106" s="33"/>
      <c r="M106" s="29"/>
      <c r="N106" s="34"/>
      <c r="O106" s="35"/>
      <c r="P106" s="36"/>
      <c r="Q106" s="73"/>
      <c r="R106" s="109"/>
      <c r="S106" s="110"/>
    </row>
    <row r="107" spans="1:19" ht="21" x14ac:dyDescent="0.35">
      <c r="A107" s="108"/>
      <c r="B107" s="28"/>
      <c r="C107" s="66"/>
      <c r="D107" s="30"/>
      <c r="E107" s="30"/>
      <c r="F107" s="31"/>
      <c r="G107" s="27"/>
      <c r="H107" s="75"/>
      <c r="I107" s="33"/>
      <c r="J107" s="33"/>
      <c r="K107" s="33"/>
      <c r="L107" s="33"/>
      <c r="M107" s="29"/>
      <c r="N107" s="34"/>
      <c r="O107" s="35"/>
      <c r="P107" s="36"/>
      <c r="Q107" s="73"/>
      <c r="R107" s="109"/>
      <c r="S107" s="110"/>
    </row>
    <row r="108" spans="1:19" ht="21" x14ac:dyDescent="0.35">
      <c r="A108" s="108"/>
      <c r="B108" s="28"/>
      <c r="C108" s="106"/>
      <c r="D108" s="30"/>
      <c r="E108" s="30"/>
      <c r="F108" s="31"/>
      <c r="G108" s="27"/>
      <c r="H108" s="54"/>
      <c r="I108" s="33"/>
      <c r="J108" s="33"/>
      <c r="K108" s="33"/>
      <c r="L108" s="33"/>
      <c r="M108" s="29"/>
      <c r="N108" s="34"/>
      <c r="O108" s="35"/>
      <c r="P108" s="36"/>
      <c r="Q108" s="73"/>
      <c r="R108" s="109"/>
      <c r="S108" s="110"/>
    </row>
    <row r="109" spans="1:19" ht="21" x14ac:dyDescent="0.35">
      <c r="A109" s="108"/>
      <c r="B109" s="28"/>
      <c r="C109" s="106"/>
      <c r="D109" s="30"/>
      <c r="E109" s="30"/>
      <c r="F109" s="31"/>
      <c r="G109" s="115"/>
      <c r="H109" s="85"/>
      <c r="I109" s="33"/>
      <c r="J109" s="33"/>
      <c r="K109" s="33"/>
      <c r="L109" s="33"/>
      <c r="M109" s="29"/>
      <c r="N109" s="34"/>
      <c r="O109" s="35"/>
      <c r="P109" s="36"/>
      <c r="Q109" s="73"/>
      <c r="R109" s="105"/>
      <c r="S109" s="105"/>
    </row>
    <row r="110" spans="1:19" ht="21" x14ac:dyDescent="0.35">
      <c r="A110" s="108"/>
      <c r="B110" s="28"/>
      <c r="C110" s="106"/>
      <c r="D110" s="30"/>
      <c r="E110" s="30"/>
      <c r="F110" s="31"/>
      <c r="G110" s="27"/>
      <c r="H110" s="84"/>
      <c r="I110" s="33"/>
      <c r="J110" s="33"/>
      <c r="K110" s="33"/>
      <c r="L110" s="33"/>
      <c r="M110" s="29"/>
      <c r="N110" s="34"/>
      <c r="O110" s="35"/>
      <c r="P110" s="36"/>
      <c r="Q110" s="73"/>
      <c r="R110" s="105"/>
      <c r="S110" s="105"/>
    </row>
    <row r="111" spans="1:19" ht="21" x14ac:dyDescent="0.35">
      <c r="A111" s="108"/>
      <c r="B111" s="28"/>
      <c r="C111" s="66"/>
      <c r="D111" s="30"/>
      <c r="E111" s="30"/>
      <c r="F111" s="31"/>
      <c r="G111" s="27"/>
      <c r="H111" s="72"/>
      <c r="I111" s="33"/>
      <c r="J111" s="33"/>
      <c r="K111" s="33"/>
      <c r="L111" s="33"/>
      <c r="M111" s="29"/>
      <c r="N111" s="34"/>
      <c r="O111" s="35"/>
      <c r="P111" s="36"/>
      <c r="Q111" s="73"/>
      <c r="R111" s="105"/>
      <c r="S111" s="105"/>
    </row>
    <row r="112" spans="1:19" ht="21" x14ac:dyDescent="0.35">
      <c r="A112" s="108"/>
      <c r="B112" s="28"/>
      <c r="C112" s="66"/>
      <c r="D112" s="30"/>
      <c r="E112" s="30"/>
      <c r="F112" s="31"/>
      <c r="G112" s="27"/>
      <c r="H112" s="32"/>
      <c r="I112" s="33"/>
      <c r="J112" s="33"/>
      <c r="K112" s="33"/>
      <c r="L112" s="33"/>
      <c r="M112" s="29"/>
      <c r="N112" s="34"/>
      <c r="O112" s="35"/>
      <c r="P112" s="36"/>
      <c r="Q112" s="73"/>
      <c r="R112" s="62"/>
      <c r="S112" s="42"/>
    </row>
    <row r="113" spans="1:19" ht="21" x14ac:dyDescent="0.35">
      <c r="A113" s="108"/>
      <c r="B113" s="28"/>
      <c r="C113" s="106"/>
      <c r="D113" s="30"/>
      <c r="E113" s="30"/>
      <c r="F113" s="31"/>
      <c r="G113" s="115"/>
      <c r="H113" s="75"/>
      <c r="I113" s="33"/>
      <c r="J113" s="33"/>
      <c r="K113" s="33"/>
      <c r="L113" s="33"/>
      <c r="M113" s="29"/>
      <c r="N113" s="34"/>
      <c r="O113" s="35"/>
      <c r="P113" s="36"/>
      <c r="Q113" s="73"/>
      <c r="R113" s="105"/>
      <c r="S113" s="105"/>
    </row>
    <row r="114" spans="1:19" ht="21" x14ac:dyDescent="0.35">
      <c r="A114" s="108"/>
      <c r="B114" s="28"/>
      <c r="C114" s="66"/>
      <c r="D114" s="30"/>
      <c r="E114" s="30"/>
      <c r="F114" s="31"/>
      <c r="G114" s="115"/>
      <c r="H114" s="72"/>
      <c r="I114" s="33"/>
      <c r="J114" s="33"/>
      <c r="K114" s="33"/>
      <c r="L114" s="33"/>
      <c r="M114" s="29"/>
      <c r="N114" s="34"/>
      <c r="O114" s="35"/>
      <c r="P114" s="36"/>
      <c r="Q114" s="73"/>
      <c r="R114" s="62"/>
      <c r="S114" s="42"/>
    </row>
    <row r="115" spans="1:19" ht="21" x14ac:dyDescent="0.35">
      <c r="A115" s="108"/>
      <c r="B115" s="28"/>
      <c r="C115" s="66"/>
      <c r="D115" s="30"/>
      <c r="E115" s="30"/>
      <c r="F115" s="31"/>
      <c r="G115" s="87"/>
      <c r="H115" s="72"/>
      <c r="I115" s="33"/>
      <c r="J115" s="33"/>
      <c r="K115" s="33"/>
      <c r="L115" s="33"/>
      <c r="M115" s="29"/>
      <c r="N115" s="34"/>
      <c r="O115" s="35"/>
      <c r="P115" s="36"/>
      <c r="Q115" s="73"/>
      <c r="R115" s="62"/>
      <c r="S115" s="42"/>
    </row>
    <row r="116" spans="1:19" ht="21" x14ac:dyDescent="0.35">
      <c r="A116" s="108"/>
      <c r="B116" s="28"/>
      <c r="C116" s="66"/>
      <c r="D116" s="30"/>
      <c r="E116" s="30"/>
      <c r="F116" s="31"/>
      <c r="G116" s="27"/>
      <c r="H116" s="72"/>
      <c r="I116" s="33"/>
      <c r="J116" s="33"/>
      <c r="K116" s="33"/>
      <c r="L116" s="33"/>
      <c r="M116" s="29"/>
      <c r="N116" s="34"/>
      <c r="O116" s="35"/>
      <c r="P116" s="36"/>
      <c r="Q116" s="73"/>
      <c r="R116" s="62"/>
      <c r="S116" s="42"/>
    </row>
    <row r="117" spans="1:19" ht="21" x14ac:dyDescent="0.35">
      <c r="A117" s="108"/>
      <c r="B117" s="28"/>
      <c r="C117" s="116"/>
      <c r="D117" s="30"/>
      <c r="E117" s="30"/>
      <c r="F117" s="31"/>
      <c r="G117" s="27"/>
      <c r="H117" s="72"/>
      <c r="I117" s="33"/>
      <c r="J117" s="33"/>
      <c r="K117" s="33"/>
      <c r="L117" s="33"/>
      <c r="M117" s="29"/>
      <c r="N117" s="34"/>
      <c r="O117" s="35"/>
      <c r="P117" s="36"/>
      <c r="Q117" s="73"/>
      <c r="R117" s="62"/>
      <c r="S117" s="42"/>
    </row>
    <row r="118" spans="1:19" ht="21" x14ac:dyDescent="0.35">
      <c r="A118" s="108"/>
      <c r="B118" s="28"/>
      <c r="C118" s="66"/>
      <c r="D118" s="30"/>
      <c r="E118" s="30"/>
      <c r="F118" s="31"/>
      <c r="G118" s="27"/>
      <c r="H118" s="72"/>
      <c r="I118" s="33"/>
      <c r="J118" s="33"/>
      <c r="K118" s="33"/>
      <c r="L118" s="33"/>
      <c r="M118" s="29"/>
      <c r="N118" s="34"/>
      <c r="O118" s="35"/>
      <c r="P118" s="36"/>
      <c r="Q118" s="73"/>
      <c r="R118" s="62"/>
      <c r="S118" s="42"/>
    </row>
    <row r="119" spans="1:19" ht="21" x14ac:dyDescent="0.35">
      <c r="A119" s="108"/>
      <c r="B119" s="28"/>
      <c r="C119" s="66"/>
      <c r="D119" s="30"/>
      <c r="E119" s="30"/>
      <c r="F119" s="31"/>
      <c r="G119" s="87"/>
      <c r="H119" s="72"/>
      <c r="I119" s="33"/>
      <c r="J119" s="33"/>
      <c r="K119" s="33"/>
      <c r="L119" s="33"/>
      <c r="M119" s="29"/>
      <c r="N119" s="34"/>
      <c r="O119" s="35"/>
      <c r="P119" s="36"/>
      <c r="Q119" s="73"/>
      <c r="R119" s="62"/>
      <c r="S119" s="42"/>
    </row>
    <row r="120" spans="1:19" ht="21" x14ac:dyDescent="0.35">
      <c r="A120" s="108"/>
      <c r="B120" s="28"/>
      <c r="C120" s="66"/>
      <c r="D120" s="30"/>
      <c r="E120" s="30"/>
      <c r="F120" s="31"/>
      <c r="G120" s="27"/>
      <c r="H120" s="72"/>
      <c r="I120" s="33"/>
      <c r="J120" s="33"/>
      <c r="K120" s="33"/>
      <c r="L120" s="33"/>
      <c r="M120" s="29"/>
      <c r="N120" s="34"/>
      <c r="O120" s="35"/>
      <c r="P120" s="36"/>
      <c r="Q120" s="73"/>
      <c r="R120" s="62"/>
      <c r="S120" s="42"/>
    </row>
    <row r="121" spans="1:19" ht="21" x14ac:dyDescent="0.35">
      <c r="A121" s="108"/>
      <c r="B121" s="28"/>
      <c r="C121" s="66"/>
      <c r="D121" s="30"/>
      <c r="E121" s="30"/>
      <c r="F121" s="31"/>
      <c r="G121" s="27"/>
      <c r="H121" s="72"/>
      <c r="I121" s="33"/>
      <c r="J121" s="33"/>
      <c r="K121" s="33"/>
      <c r="L121" s="33"/>
      <c r="M121" s="29"/>
      <c r="N121" s="34"/>
      <c r="O121" s="35"/>
      <c r="P121" s="36"/>
      <c r="Q121" s="73"/>
      <c r="R121" s="62"/>
      <c r="S121" s="42"/>
    </row>
    <row r="122" spans="1:19" ht="21" x14ac:dyDescent="0.35">
      <c r="A122" s="108"/>
      <c r="B122" s="28"/>
      <c r="C122" s="66"/>
      <c r="D122" s="30"/>
      <c r="E122" s="30"/>
      <c r="F122" s="31"/>
      <c r="G122" s="27"/>
      <c r="H122" s="72"/>
      <c r="I122" s="33"/>
      <c r="J122" s="33"/>
      <c r="K122" s="33"/>
      <c r="L122" s="33"/>
      <c r="M122" s="29"/>
      <c r="N122" s="34"/>
      <c r="O122" s="35"/>
      <c r="P122" s="36"/>
      <c r="Q122" s="73"/>
      <c r="R122" s="62"/>
      <c r="S122" s="42"/>
    </row>
    <row r="123" spans="1:19" ht="21" x14ac:dyDescent="0.35">
      <c r="A123" s="108"/>
      <c r="B123" s="28"/>
      <c r="C123" s="66"/>
      <c r="D123" s="30"/>
      <c r="E123" s="30"/>
      <c r="F123" s="31"/>
      <c r="G123" s="115"/>
      <c r="H123" s="75"/>
      <c r="I123" s="33"/>
      <c r="J123" s="33"/>
      <c r="K123" s="33"/>
      <c r="L123" s="33"/>
      <c r="M123" s="29"/>
      <c r="N123" s="34"/>
      <c r="O123" s="35"/>
      <c r="P123" s="36"/>
      <c r="Q123" s="73"/>
      <c r="R123" s="62"/>
      <c r="S123" s="42"/>
    </row>
    <row r="124" spans="1:19" ht="21" x14ac:dyDescent="0.35">
      <c r="A124" s="108"/>
      <c r="B124" s="28"/>
      <c r="C124" s="66"/>
      <c r="D124" s="30"/>
      <c r="E124" s="30"/>
      <c r="F124" s="31"/>
      <c r="G124" s="115"/>
      <c r="H124" s="72"/>
      <c r="I124" s="33"/>
      <c r="J124" s="33"/>
      <c r="K124" s="33"/>
      <c r="L124" s="33"/>
      <c r="M124" s="29"/>
      <c r="N124" s="34"/>
      <c r="O124" s="35"/>
      <c r="P124" s="36"/>
      <c r="Q124" s="73"/>
      <c r="R124" s="62"/>
      <c r="S124" s="42"/>
    </row>
    <row r="125" spans="1:19" ht="21" x14ac:dyDescent="0.35">
      <c r="A125" s="108"/>
      <c r="B125" s="28"/>
      <c r="C125" s="66"/>
      <c r="D125" s="30"/>
      <c r="E125" s="30"/>
      <c r="F125" s="31"/>
      <c r="G125" s="115"/>
      <c r="H125" s="72"/>
      <c r="I125" s="33"/>
      <c r="J125" s="33"/>
      <c r="K125" s="33"/>
      <c r="L125" s="33"/>
      <c r="M125" s="29"/>
      <c r="N125" s="34"/>
      <c r="O125" s="35"/>
      <c r="P125" s="36"/>
      <c r="Q125" s="73"/>
      <c r="R125" s="62"/>
      <c r="S125" s="42"/>
    </row>
    <row r="126" spans="1:19" ht="21" x14ac:dyDescent="0.35">
      <c r="A126" s="108"/>
      <c r="B126" s="28"/>
      <c r="C126" s="66"/>
      <c r="D126" s="30"/>
      <c r="E126" s="30"/>
      <c r="F126" s="31"/>
      <c r="G126" s="115"/>
      <c r="H126" s="72"/>
      <c r="I126" s="33"/>
      <c r="J126" s="33"/>
      <c r="K126" s="33"/>
      <c r="L126" s="33"/>
      <c r="M126" s="29"/>
      <c r="N126" s="34"/>
      <c r="O126" s="35"/>
      <c r="P126" s="36"/>
      <c r="Q126" s="73"/>
      <c r="R126" s="62"/>
      <c r="S126" s="42"/>
    </row>
    <row r="127" spans="1:19" ht="19.5" x14ac:dyDescent="0.3">
      <c r="B127" s="28"/>
      <c r="C127" s="46"/>
      <c r="D127" s="47"/>
      <c r="E127" s="47"/>
      <c r="F127" s="47"/>
      <c r="G127" s="98"/>
      <c r="H127" s="47"/>
      <c r="I127" s="47"/>
      <c r="J127" s="47"/>
      <c r="K127" s="47"/>
      <c r="L127" s="47"/>
      <c r="M127" s="48"/>
      <c r="N127" s="41"/>
      <c r="O127" s="47"/>
      <c r="P127" s="47"/>
      <c r="Q127" s="43"/>
      <c r="R127" s="39"/>
      <c r="S127" s="22"/>
    </row>
    <row r="128" spans="1:19" ht="19.5" x14ac:dyDescent="0.3">
      <c r="B128" s="28"/>
      <c r="C128" s="46"/>
      <c r="D128" s="47"/>
      <c r="E128" s="47"/>
      <c r="F128" s="49"/>
      <c r="G128" s="45"/>
      <c r="H128" s="47"/>
      <c r="I128" s="46"/>
      <c r="J128" s="46"/>
      <c r="K128" s="46"/>
      <c r="L128" s="46"/>
      <c r="M128" s="48"/>
      <c r="N128" s="41"/>
      <c r="O128" s="41"/>
      <c r="P128" s="36"/>
      <c r="Q128" s="53"/>
      <c r="R128" s="37"/>
      <c r="S128" s="22"/>
    </row>
    <row r="129" spans="1:19" ht="19.5" x14ac:dyDescent="0.3">
      <c r="B129" s="28"/>
      <c r="C129" s="24"/>
      <c r="D129" s="22"/>
      <c r="E129" s="22"/>
      <c r="F129" s="31"/>
      <c r="G129" s="22"/>
      <c r="H129" s="22"/>
      <c r="I129" s="46"/>
      <c r="J129" s="46"/>
      <c r="K129" s="46"/>
      <c r="L129" s="46"/>
      <c r="M129" s="22"/>
      <c r="N129" s="41"/>
      <c r="O129" s="41"/>
      <c r="P129" s="36"/>
      <c r="Q129" s="53"/>
      <c r="R129" s="37"/>
      <c r="S129" s="22"/>
    </row>
    <row r="130" spans="1:19" ht="21" x14ac:dyDescent="0.35">
      <c r="A130" s="108"/>
      <c r="B130" s="28"/>
      <c r="C130" s="38"/>
      <c r="D130" s="30"/>
      <c r="E130" s="30"/>
      <c r="F130" s="31"/>
      <c r="G130" s="27"/>
      <c r="H130" s="40"/>
      <c r="I130" s="33"/>
      <c r="J130" s="33"/>
      <c r="K130" s="33"/>
      <c r="L130" s="33"/>
      <c r="M130" s="55"/>
      <c r="N130" s="34"/>
      <c r="O130" s="35"/>
      <c r="P130" s="36"/>
      <c r="Q130" s="53"/>
      <c r="R130" s="37"/>
      <c r="S130" s="22"/>
    </row>
    <row r="131" spans="1:19" ht="21" x14ac:dyDescent="0.35">
      <c r="A131" s="108"/>
      <c r="B131" s="28"/>
      <c r="C131" s="38"/>
      <c r="D131" s="30"/>
      <c r="E131" s="30"/>
      <c r="F131" s="31"/>
      <c r="G131" s="27"/>
      <c r="H131" s="40"/>
      <c r="I131" s="33"/>
      <c r="J131" s="33"/>
      <c r="K131" s="33"/>
      <c r="L131" s="33"/>
      <c r="M131" s="55"/>
      <c r="N131" s="34"/>
      <c r="O131" s="35"/>
      <c r="P131" s="36"/>
      <c r="Q131" s="53"/>
      <c r="R131" s="62"/>
      <c r="S131" s="42"/>
    </row>
    <row r="132" spans="1:19" ht="21" x14ac:dyDescent="0.35">
      <c r="A132" s="108"/>
      <c r="B132" s="28"/>
      <c r="C132" s="38"/>
      <c r="D132" s="30"/>
      <c r="E132" s="30"/>
      <c r="F132" s="31"/>
      <c r="G132" s="27"/>
      <c r="H132" s="40"/>
      <c r="I132" s="33"/>
      <c r="J132" s="33"/>
      <c r="K132" s="33"/>
      <c r="L132" s="33"/>
      <c r="M132" s="55"/>
      <c r="N132" s="34"/>
      <c r="O132" s="35"/>
      <c r="P132" s="36"/>
      <c r="Q132" s="53"/>
      <c r="R132" s="62"/>
      <c r="S132" s="42"/>
    </row>
    <row r="133" spans="1:19" ht="21" x14ac:dyDescent="0.35">
      <c r="A133" s="108"/>
      <c r="B133" s="28"/>
      <c r="C133" s="38"/>
      <c r="D133" s="30"/>
      <c r="E133" s="30"/>
      <c r="F133" s="31"/>
      <c r="G133" s="27"/>
      <c r="H133" s="40"/>
      <c r="I133" s="33"/>
      <c r="J133" s="33"/>
      <c r="K133" s="33"/>
      <c r="L133" s="33"/>
      <c r="M133" s="55"/>
      <c r="N133" s="34"/>
      <c r="O133" s="35"/>
      <c r="P133" s="36"/>
      <c r="Q133" s="53"/>
      <c r="R133" s="62"/>
      <c r="S133" s="42"/>
    </row>
    <row r="134" spans="1:19" ht="21" x14ac:dyDescent="0.35">
      <c r="A134" s="108"/>
      <c r="B134" s="28"/>
      <c r="C134" s="38"/>
      <c r="D134" s="30"/>
      <c r="E134" s="30"/>
      <c r="F134" s="31"/>
      <c r="G134" s="27"/>
      <c r="H134" s="40"/>
      <c r="I134" s="33"/>
      <c r="J134" s="33"/>
      <c r="K134" s="33"/>
      <c r="L134" s="33"/>
      <c r="M134" s="55"/>
      <c r="N134" s="34"/>
      <c r="O134" s="35"/>
      <c r="P134" s="36"/>
      <c r="Q134" s="43"/>
      <c r="R134" s="63"/>
      <c r="S134" s="42"/>
    </row>
    <row r="135" spans="1:19" ht="21" x14ac:dyDescent="0.35">
      <c r="A135" s="108"/>
      <c r="B135" s="28"/>
      <c r="C135" s="38"/>
      <c r="D135" s="30"/>
      <c r="E135" s="30"/>
      <c r="F135" s="31"/>
      <c r="G135" s="27"/>
      <c r="H135" s="40"/>
      <c r="I135" s="33"/>
      <c r="J135" s="33"/>
      <c r="K135" s="33"/>
      <c r="L135" s="33"/>
      <c r="M135" s="55"/>
      <c r="N135" s="34"/>
      <c r="O135" s="35"/>
      <c r="P135" s="36"/>
      <c r="Q135" s="43"/>
      <c r="R135" s="63"/>
      <c r="S135" s="42"/>
    </row>
    <row r="136" spans="1:19" ht="21" x14ac:dyDescent="0.35">
      <c r="A136" s="108"/>
      <c r="B136" s="28"/>
      <c r="C136" s="66"/>
      <c r="D136" s="30"/>
      <c r="E136" s="30"/>
      <c r="F136" s="31"/>
      <c r="G136" s="27"/>
      <c r="H136" s="40"/>
      <c r="I136" s="33"/>
      <c r="J136" s="33"/>
      <c r="K136" s="33"/>
      <c r="L136" s="33"/>
      <c r="M136" s="55"/>
      <c r="N136" s="34"/>
      <c r="O136" s="35"/>
      <c r="P136" s="36"/>
      <c r="Q136" s="43"/>
      <c r="R136" s="18"/>
      <c r="S136" s="18"/>
    </row>
    <row r="137" spans="1:19" ht="21" x14ac:dyDescent="0.35">
      <c r="A137" s="108"/>
      <c r="B137" s="28"/>
      <c r="C137" s="66"/>
      <c r="D137" s="30"/>
      <c r="E137" s="30"/>
      <c r="F137" s="31"/>
      <c r="G137" s="27"/>
      <c r="H137" s="40"/>
      <c r="I137" s="33"/>
      <c r="J137" s="33"/>
      <c r="K137" s="33"/>
      <c r="L137" s="33"/>
      <c r="M137" s="55"/>
      <c r="N137" s="34"/>
      <c r="O137" s="35"/>
      <c r="P137" s="36"/>
      <c r="Q137" s="43"/>
      <c r="R137" s="18"/>
      <c r="S137" s="18"/>
    </row>
    <row r="138" spans="1:19" ht="21" x14ac:dyDescent="0.35">
      <c r="A138" s="108"/>
      <c r="B138" s="28"/>
      <c r="C138" s="66"/>
      <c r="D138" s="30"/>
      <c r="E138" s="30"/>
      <c r="F138" s="31"/>
      <c r="G138" s="27"/>
      <c r="H138" s="40"/>
      <c r="I138" s="33"/>
      <c r="J138" s="33"/>
      <c r="K138" s="33"/>
      <c r="L138" s="33"/>
      <c r="M138" s="55"/>
      <c r="N138" s="34"/>
      <c r="O138" s="35"/>
      <c r="P138" s="36"/>
      <c r="Q138" s="43"/>
      <c r="R138" s="18"/>
      <c r="S138" s="18"/>
    </row>
    <row r="139" spans="1:19" ht="21" x14ac:dyDescent="0.35">
      <c r="A139" s="108"/>
      <c r="B139" s="28"/>
      <c r="C139" s="66"/>
      <c r="D139" s="30"/>
      <c r="E139" s="30"/>
      <c r="F139" s="31"/>
      <c r="G139" s="27"/>
      <c r="H139" s="40"/>
      <c r="I139" s="33"/>
      <c r="J139" s="33"/>
      <c r="K139" s="33"/>
      <c r="L139" s="33"/>
      <c r="M139" s="55"/>
      <c r="N139" s="34"/>
      <c r="O139" s="35"/>
      <c r="P139" s="36"/>
      <c r="Q139" s="43"/>
      <c r="R139" s="18"/>
      <c r="S139" s="18"/>
    </row>
    <row r="140" spans="1:19" ht="21" x14ac:dyDescent="0.35">
      <c r="A140" s="108"/>
      <c r="B140" s="28"/>
      <c r="C140" s="66"/>
      <c r="D140" s="30"/>
      <c r="E140" s="30"/>
      <c r="F140" s="31"/>
      <c r="G140" s="27"/>
      <c r="H140" s="40"/>
      <c r="I140" s="33"/>
      <c r="J140" s="33"/>
      <c r="K140" s="33"/>
      <c r="L140" s="33"/>
      <c r="M140" s="55"/>
      <c r="N140" s="34"/>
      <c r="O140" s="35"/>
      <c r="P140" s="36"/>
      <c r="Q140" s="43"/>
      <c r="R140" s="18"/>
      <c r="S140" s="18"/>
    </row>
    <row r="141" spans="1:19" ht="21" x14ac:dyDescent="0.35">
      <c r="A141" s="108"/>
      <c r="B141" s="28"/>
      <c r="C141" s="66"/>
      <c r="D141" s="30"/>
      <c r="E141" s="30"/>
      <c r="F141" s="31"/>
      <c r="G141" s="27"/>
      <c r="H141" s="85"/>
      <c r="I141" s="33"/>
      <c r="J141" s="33"/>
      <c r="K141" s="33"/>
      <c r="L141" s="33"/>
      <c r="M141" s="91"/>
      <c r="N141" s="92"/>
      <c r="O141" s="35"/>
      <c r="P141" s="36"/>
      <c r="Q141" s="19"/>
      <c r="R141" s="79"/>
      <c r="S141" s="79"/>
    </row>
    <row r="142" spans="1:19" ht="21" x14ac:dyDescent="0.35">
      <c r="A142" s="108"/>
      <c r="B142" s="28"/>
      <c r="C142" s="66"/>
      <c r="D142" s="30"/>
      <c r="E142" s="30"/>
      <c r="F142" s="31"/>
      <c r="G142" s="27"/>
      <c r="H142" s="85"/>
      <c r="I142" s="33"/>
      <c r="J142" s="33"/>
      <c r="K142" s="33"/>
      <c r="L142" s="33"/>
      <c r="M142" s="91"/>
      <c r="N142" s="92"/>
      <c r="O142" s="35"/>
      <c r="P142" s="36"/>
      <c r="Q142" s="19"/>
      <c r="R142" s="79"/>
      <c r="S142" s="79"/>
    </row>
    <row r="143" spans="1:19" ht="21" x14ac:dyDescent="0.35">
      <c r="A143" s="108"/>
      <c r="B143" s="28"/>
      <c r="C143" s="66"/>
      <c r="D143" s="88"/>
      <c r="E143" s="88"/>
      <c r="F143" s="89"/>
      <c r="G143" s="70"/>
      <c r="H143" s="86"/>
      <c r="I143" s="33"/>
      <c r="J143" s="33"/>
      <c r="K143" s="33"/>
      <c r="L143" s="33"/>
      <c r="M143" s="91"/>
      <c r="N143" s="92"/>
      <c r="O143" s="35"/>
      <c r="P143" s="36"/>
      <c r="Q143" s="19"/>
      <c r="R143" s="79"/>
      <c r="S143" s="79"/>
    </row>
    <row r="144" spans="1:19" ht="19.5" x14ac:dyDescent="0.3">
      <c r="B144" s="28"/>
      <c r="C144" s="46"/>
      <c r="D144" s="47"/>
      <c r="E144" s="47"/>
      <c r="F144" s="47"/>
      <c r="G144" s="45"/>
      <c r="H144" s="47"/>
      <c r="I144" s="47"/>
      <c r="J144" s="47"/>
      <c r="K144" s="47"/>
      <c r="L144" s="47"/>
      <c r="M144" s="48"/>
      <c r="N144" s="41"/>
      <c r="O144" s="47"/>
      <c r="P144" s="47"/>
      <c r="Q144" s="53"/>
      <c r="R144" s="37"/>
      <c r="S144" s="22"/>
    </row>
    <row r="145" spans="2:19" ht="19.5" x14ac:dyDescent="0.3">
      <c r="B145" s="28"/>
      <c r="C145" s="39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41"/>
      <c r="O145" s="51"/>
      <c r="P145" s="51"/>
      <c r="Q145" s="53"/>
      <c r="R145" s="37"/>
      <c r="S145" s="22"/>
    </row>
    <row r="146" spans="2:19" ht="21" x14ac:dyDescent="0.35">
      <c r="B146" s="16"/>
      <c r="C146" s="15"/>
      <c r="D146" s="8"/>
      <c r="E146" s="8"/>
      <c r="F146" s="9"/>
      <c r="G146" s="7"/>
      <c r="H146" s="17"/>
      <c r="I146" s="10"/>
      <c r="J146" s="10"/>
      <c r="K146" s="10"/>
      <c r="L146" s="10"/>
      <c r="M146" s="14"/>
      <c r="N146" s="11"/>
      <c r="O146" s="12"/>
      <c r="P146" s="13"/>
      <c r="Q146" s="16"/>
      <c r="R146" s="18"/>
      <c r="S146" s="18"/>
    </row>
    <row r="148" spans="2:19" ht="18.75" x14ac:dyDescent="0.3">
      <c r="H148" s="20"/>
      <c r="I148" s="6"/>
    </row>
    <row r="149" spans="2:19" ht="21" x14ac:dyDescent="0.35">
      <c r="B149" s="90"/>
      <c r="J149" s="6"/>
    </row>
    <row r="150" spans="2:19" ht="19.5" x14ac:dyDescent="0.3">
      <c r="B150" s="28"/>
      <c r="C150" s="38"/>
      <c r="D150" s="30"/>
      <c r="E150" s="30"/>
      <c r="F150" s="31"/>
      <c r="G150" s="27"/>
      <c r="H150" s="32"/>
      <c r="I150" s="33"/>
      <c r="J150" s="33"/>
      <c r="K150" s="33"/>
      <c r="L150" s="33"/>
      <c r="M150" s="29"/>
      <c r="N150" s="34"/>
      <c r="O150" s="35"/>
      <c r="P150" s="36"/>
      <c r="Q150" s="120"/>
      <c r="R150" s="37"/>
      <c r="S150" s="22"/>
    </row>
    <row r="151" spans="2:19" ht="19.5" x14ac:dyDescent="0.3">
      <c r="B151" s="28"/>
      <c r="C151" s="66"/>
      <c r="D151" s="30"/>
      <c r="E151" s="30"/>
      <c r="F151" s="31"/>
      <c r="G151" s="27"/>
      <c r="H151" s="54"/>
      <c r="I151" s="33"/>
      <c r="J151" s="33"/>
      <c r="K151" s="33"/>
      <c r="L151" s="33"/>
      <c r="M151" s="29"/>
      <c r="N151" s="34"/>
      <c r="O151" s="35"/>
      <c r="P151" s="36"/>
      <c r="Q151" s="120"/>
      <c r="R151" s="64"/>
      <c r="S151" s="104"/>
    </row>
    <row r="152" spans="2:19" ht="19.5" x14ac:dyDescent="0.3">
      <c r="B152" s="28"/>
      <c r="C152" s="38"/>
      <c r="D152" s="30"/>
      <c r="E152" s="30"/>
      <c r="F152" s="31"/>
      <c r="G152" s="27"/>
      <c r="H152" s="40"/>
      <c r="I152" s="33"/>
      <c r="J152" s="33"/>
      <c r="K152" s="33"/>
      <c r="L152" s="33"/>
      <c r="M152" s="55"/>
      <c r="N152" s="34"/>
      <c r="O152" s="35"/>
      <c r="P152" s="36"/>
      <c r="Q152" s="120"/>
      <c r="R152" s="117"/>
      <c r="S152" s="42"/>
    </row>
    <row r="153" spans="2:19" ht="19.5" x14ac:dyDescent="0.3">
      <c r="B153" s="28"/>
      <c r="C153" s="66"/>
      <c r="D153" s="30"/>
      <c r="E153" s="30"/>
      <c r="F153" s="31"/>
      <c r="G153" s="115"/>
      <c r="H153" s="72"/>
      <c r="I153" s="33"/>
      <c r="J153" s="33"/>
      <c r="K153" s="33"/>
      <c r="L153" s="33"/>
      <c r="M153" s="29"/>
      <c r="N153" s="34"/>
      <c r="O153" s="35"/>
      <c r="P153" s="36"/>
      <c r="Q153" s="121"/>
      <c r="R153" s="62"/>
      <c r="S153" s="42"/>
    </row>
    <row r="154" spans="2:19" ht="19.5" x14ac:dyDescent="0.3">
      <c r="B154" s="28"/>
      <c r="C154" s="66"/>
      <c r="D154" s="30"/>
      <c r="E154" s="30"/>
      <c r="F154" s="31"/>
      <c r="G154" s="87"/>
      <c r="H154" s="72"/>
      <c r="I154" s="33"/>
      <c r="J154" s="33"/>
      <c r="K154" s="33"/>
      <c r="L154" s="33"/>
      <c r="M154" s="29"/>
      <c r="N154" s="34"/>
      <c r="O154" s="35"/>
      <c r="P154" s="36"/>
      <c r="Q154" s="73"/>
      <c r="R154" s="62"/>
      <c r="S154" s="42"/>
    </row>
    <row r="155" spans="2:19" ht="19.5" x14ac:dyDescent="0.3">
      <c r="B155" s="28"/>
      <c r="C155" s="66"/>
      <c r="D155" s="30"/>
      <c r="E155" s="30"/>
      <c r="F155" s="31"/>
      <c r="G155" s="27"/>
      <c r="H155" s="72"/>
      <c r="I155" s="33"/>
      <c r="J155" s="33"/>
      <c r="K155" s="33"/>
      <c r="L155" s="33"/>
      <c r="M155" s="29"/>
      <c r="N155" s="34"/>
      <c r="O155" s="35"/>
      <c r="P155" s="36"/>
      <c r="Q155" s="73"/>
      <c r="R155" s="62"/>
      <c r="S155" s="42"/>
    </row>
    <row r="156" spans="2:19" ht="19.5" x14ac:dyDescent="0.3">
      <c r="B156" s="28"/>
      <c r="C156" s="116"/>
      <c r="D156" s="30"/>
      <c r="E156" s="30"/>
      <c r="F156" s="31"/>
      <c r="G156" s="27"/>
      <c r="H156" s="72"/>
      <c r="I156" s="33"/>
      <c r="J156" s="33"/>
      <c r="K156" s="33"/>
      <c r="L156" s="33"/>
      <c r="M156" s="29"/>
      <c r="N156" s="34"/>
      <c r="O156" s="35"/>
      <c r="P156" s="36"/>
      <c r="Q156" s="73"/>
      <c r="R156" s="62"/>
      <c r="S156" s="42"/>
    </row>
    <row r="157" spans="2:19" ht="19.5" x14ac:dyDescent="0.3">
      <c r="B157" s="28"/>
      <c r="C157" s="66"/>
      <c r="D157" s="30"/>
      <c r="E157" s="30"/>
      <c r="F157" s="31"/>
      <c r="G157" s="27"/>
      <c r="H157" s="72"/>
      <c r="I157" s="33"/>
      <c r="J157" s="33"/>
      <c r="K157" s="33"/>
      <c r="L157" s="33"/>
      <c r="M157" s="29"/>
      <c r="N157" s="34"/>
      <c r="O157" s="35"/>
      <c r="P157" s="36"/>
      <c r="Q157" s="73"/>
      <c r="R157" s="62"/>
      <c r="S157" s="42"/>
    </row>
    <row r="158" spans="2:19" ht="19.5" x14ac:dyDescent="0.3">
      <c r="B158" s="28"/>
      <c r="C158" s="66"/>
      <c r="D158" s="30"/>
      <c r="E158" s="30"/>
      <c r="F158" s="31"/>
      <c r="G158" s="87"/>
      <c r="H158" s="72"/>
      <c r="I158" s="33"/>
      <c r="J158" s="33"/>
      <c r="K158" s="33"/>
      <c r="L158" s="33"/>
      <c r="M158" s="29"/>
      <c r="N158" s="34"/>
      <c r="O158" s="35"/>
      <c r="P158" s="36"/>
      <c r="Q158" s="73"/>
      <c r="R158" s="62"/>
      <c r="S158" s="42"/>
    </row>
    <row r="159" spans="2:19" ht="19.5" x14ac:dyDescent="0.3">
      <c r="B159" s="28"/>
      <c r="C159" s="66"/>
      <c r="D159" s="30"/>
      <c r="E159" s="30"/>
      <c r="F159" s="31"/>
      <c r="G159" s="27"/>
      <c r="H159" s="72"/>
      <c r="I159" s="33"/>
      <c r="J159" s="33"/>
      <c r="K159" s="33"/>
      <c r="L159" s="33"/>
      <c r="M159" s="29"/>
      <c r="N159" s="34"/>
      <c r="O159" s="35"/>
      <c r="P159" s="36"/>
      <c r="Q159" s="73"/>
      <c r="R159" s="62"/>
      <c r="S159" s="42"/>
    </row>
    <row r="160" spans="2:19" ht="19.5" x14ac:dyDescent="0.3">
      <c r="B160" s="28"/>
      <c r="C160" s="66"/>
      <c r="D160" s="30"/>
      <c r="E160" s="30"/>
      <c r="F160" s="31"/>
      <c r="G160" s="27"/>
      <c r="H160" s="72"/>
      <c r="I160" s="33"/>
      <c r="J160" s="33"/>
      <c r="K160" s="33"/>
      <c r="L160" s="33"/>
      <c r="M160" s="29"/>
      <c r="N160" s="34"/>
      <c r="O160" s="35"/>
      <c r="P160" s="36"/>
      <c r="Q160" s="73"/>
      <c r="R160" s="62"/>
      <c r="S160" s="42"/>
    </row>
    <row r="161" spans="2:19" ht="19.5" x14ac:dyDescent="0.3">
      <c r="B161" s="28"/>
      <c r="C161" s="66"/>
      <c r="D161" s="30"/>
      <c r="E161" s="30"/>
      <c r="F161" s="31"/>
      <c r="G161" s="27"/>
      <c r="H161" s="72"/>
      <c r="I161" s="33"/>
      <c r="J161" s="33"/>
      <c r="K161" s="33"/>
      <c r="L161" s="33"/>
      <c r="M161" s="29"/>
      <c r="N161" s="34"/>
      <c r="O161" s="35"/>
      <c r="P161" s="36"/>
      <c r="Q161" s="73"/>
      <c r="R161" s="62"/>
      <c r="S161" s="42"/>
    </row>
    <row r="162" spans="2:19" ht="19.5" x14ac:dyDescent="0.3">
      <c r="B162" s="28"/>
      <c r="C162" s="66"/>
      <c r="D162" s="30"/>
      <c r="E162" s="30"/>
      <c r="F162" s="31"/>
      <c r="G162" s="115"/>
      <c r="H162" s="75"/>
      <c r="I162" s="33"/>
      <c r="J162" s="33"/>
      <c r="K162" s="33"/>
      <c r="L162" s="33"/>
      <c r="M162" s="29"/>
      <c r="N162" s="34"/>
      <c r="O162" s="35"/>
      <c r="P162" s="36"/>
      <c r="Q162" s="73"/>
      <c r="R162" s="62"/>
      <c r="S162" s="42"/>
    </row>
    <row r="163" spans="2:19" ht="19.5" x14ac:dyDescent="0.3">
      <c r="B163" s="28"/>
      <c r="C163" s="66"/>
      <c r="D163" s="30"/>
      <c r="E163" s="30"/>
      <c r="F163" s="31"/>
      <c r="G163" s="115"/>
      <c r="H163" s="72"/>
      <c r="I163" s="33"/>
      <c r="J163" s="33"/>
      <c r="K163" s="33"/>
      <c r="L163" s="33"/>
      <c r="M163" s="29"/>
      <c r="N163" s="34"/>
      <c r="O163" s="35"/>
      <c r="P163" s="36"/>
      <c r="Q163" s="73"/>
      <c r="R163" s="62"/>
      <c r="S163" s="42"/>
    </row>
    <row r="164" spans="2:19" ht="19.5" x14ac:dyDescent="0.3">
      <c r="B164" s="28"/>
      <c r="C164" s="66"/>
      <c r="D164" s="30"/>
      <c r="E164" s="30"/>
      <c r="F164" s="31"/>
      <c r="G164" s="115"/>
      <c r="H164" s="72"/>
      <c r="I164" s="33"/>
      <c r="J164" s="33"/>
      <c r="K164" s="33"/>
      <c r="L164" s="33"/>
      <c r="M164" s="29"/>
      <c r="N164" s="34"/>
      <c r="O164" s="35"/>
      <c r="P164" s="36"/>
      <c r="Q164" s="73"/>
      <c r="R164" s="62"/>
      <c r="S164" s="42"/>
    </row>
  </sheetData>
  <sortState ref="D3:E140">
    <sortCondition ref="D3:D140"/>
  </sortState>
  <conditionalFormatting sqref="C127 C5:C91">
    <cfRule type="duplicateValues" dxfId="25" priority="7"/>
  </conditionalFormatting>
  <conditionalFormatting sqref="C150">
    <cfRule type="duplicateValues" dxfId="24" priority="3"/>
  </conditionalFormatting>
  <conditionalFormatting sqref="C150">
    <cfRule type="duplicateValues" dxfId="23" priority="4"/>
  </conditionalFormatting>
  <conditionalFormatting sqref="C152">
    <cfRule type="duplicateValues" dxfId="22" priority="1"/>
  </conditionalFormatting>
  <conditionalFormatting sqref="C152">
    <cfRule type="duplicateValues" dxfId="21" priority="2"/>
  </conditionalFormatting>
  <conditionalFormatting sqref="C130:C143">
    <cfRule type="duplicateValues" dxfId="20" priority="167"/>
  </conditionalFormatting>
  <conditionalFormatting sqref="C127:C149 C3:C91 D2 C1">
    <cfRule type="duplicateValues" dxfId="19" priority="168"/>
  </conditionalFormatting>
  <pageMargins left="0.19685039370078741" right="0.19685039370078741" top="0.19685039370078741" bottom="0.19685039370078741" header="0.31496062992125984" footer="0.19685039370078741"/>
  <pageSetup paperSize="5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2"/>
  <sheetViews>
    <sheetView workbookViewId="0">
      <selection activeCell="A2" sqref="A2:H144"/>
    </sheetView>
  </sheetViews>
  <sheetFormatPr defaultRowHeight="15" x14ac:dyDescent="0.25"/>
  <cols>
    <col min="2" max="2" width="44.5703125" customWidth="1"/>
    <col min="3" max="3" width="14.7109375" customWidth="1"/>
    <col min="5" max="5" width="37.140625" customWidth="1"/>
    <col min="6" max="6" width="22.42578125" customWidth="1"/>
    <col min="8" max="8" width="15.28515625" customWidth="1"/>
  </cols>
  <sheetData>
    <row r="2" spans="2:8" x14ac:dyDescent="0.25">
      <c r="B2" s="112"/>
      <c r="C2" s="95"/>
      <c r="H2" s="95"/>
    </row>
    <row r="3" spans="2:8" x14ac:dyDescent="0.25">
      <c r="B3" s="125"/>
      <c r="C3" s="95"/>
      <c r="H3" s="95"/>
    </row>
    <row r="4" spans="2:8" x14ac:dyDescent="0.25">
      <c r="B4" s="125"/>
      <c r="C4" s="95"/>
      <c r="H4" s="95"/>
    </row>
    <row r="5" spans="2:8" x14ac:dyDescent="0.25">
      <c r="B5" s="125"/>
      <c r="C5" s="95"/>
      <c r="H5" s="95"/>
    </row>
    <row r="6" spans="2:8" x14ac:dyDescent="0.25">
      <c r="B6" s="125"/>
      <c r="C6" s="95"/>
      <c r="H6" s="95"/>
    </row>
    <row r="7" spans="2:8" x14ac:dyDescent="0.25">
      <c r="B7" s="125"/>
      <c r="C7" s="95"/>
      <c r="H7" s="95"/>
    </row>
    <row r="8" spans="2:8" x14ac:dyDescent="0.25">
      <c r="B8" s="112"/>
      <c r="C8" s="95"/>
      <c r="H8" s="95"/>
    </row>
    <row r="9" spans="2:8" x14ac:dyDescent="0.25">
      <c r="B9" s="112"/>
      <c r="C9" s="95"/>
      <c r="H9" s="95"/>
    </row>
    <row r="10" spans="2:8" x14ac:dyDescent="0.25">
      <c r="B10" s="125"/>
      <c r="C10" s="95"/>
      <c r="H10" s="95"/>
    </row>
    <row r="11" spans="2:8" x14ac:dyDescent="0.25">
      <c r="B11" s="112"/>
      <c r="C11" s="95"/>
      <c r="H11" s="95"/>
    </row>
    <row r="12" spans="2:8" x14ac:dyDescent="0.25">
      <c r="B12" s="112"/>
      <c r="C12" s="95"/>
      <c r="H12" s="95"/>
    </row>
    <row r="13" spans="2:8" x14ac:dyDescent="0.25">
      <c r="B13" s="125"/>
      <c r="C13" s="95"/>
      <c r="H13" s="95"/>
    </row>
    <row r="14" spans="2:8" x14ac:dyDescent="0.25">
      <c r="B14" s="112"/>
      <c r="C14" s="95"/>
      <c r="H14" s="95"/>
    </row>
    <row r="15" spans="2:8" x14ac:dyDescent="0.25">
      <c r="B15" s="112"/>
      <c r="C15" s="95"/>
      <c r="H15" s="95"/>
    </row>
    <row r="16" spans="2:8" x14ac:dyDescent="0.25">
      <c r="B16" s="125"/>
      <c r="C16" s="95"/>
      <c r="H16" s="95"/>
    </row>
    <row r="17" spans="2:8" x14ac:dyDescent="0.25">
      <c r="B17" s="112"/>
      <c r="C17" s="95"/>
      <c r="H17" s="95"/>
    </row>
    <row r="18" spans="2:8" x14ac:dyDescent="0.25">
      <c r="B18" s="112"/>
      <c r="C18" s="95"/>
      <c r="H18" s="95"/>
    </row>
    <row r="19" spans="2:8" x14ac:dyDescent="0.25">
      <c r="B19" s="112"/>
      <c r="C19" s="95"/>
      <c r="H19" s="95"/>
    </row>
    <row r="20" spans="2:8" x14ac:dyDescent="0.25">
      <c r="B20" s="112"/>
      <c r="C20" s="95"/>
      <c r="H20" s="95"/>
    </row>
    <row r="21" spans="2:8" x14ac:dyDescent="0.25">
      <c r="B21" s="125"/>
      <c r="C21" s="95"/>
      <c r="H21" s="95"/>
    </row>
    <row r="22" spans="2:8" x14ac:dyDescent="0.25">
      <c r="B22" s="112"/>
      <c r="C22" s="95"/>
      <c r="H22" s="95"/>
    </row>
    <row r="23" spans="2:8" x14ac:dyDescent="0.25">
      <c r="B23" s="112"/>
      <c r="C23" s="95"/>
      <c r="H23" s="95"/>
    </row>
    <row r="24" spans="2:8" x14ac:dyDescent="0.25">
      <c r="B24" s="112"/>
      <c r="C24" s="95"/>
      <c r="H24" s="95"/>
    </row>
    <row r="25" spans="2:8" x14ac:dyDescent="0.25">
      <c r="B25" s="125"/>
      <c r="C25" s="95"/>
      <c r="H25" s="95"/>
    </row>
    <row r="26" spans="2:8" x14ac:dyDescent="0.25">
      <c r="B26" s="112"/>
      <c r="C26" s="95"/>
      <c r="H26" s="95"/>
    </row>
    <row r="27" spans="2:8" x14ac:dyDescent="0.25">
      <c r="B27" s="112"/>
      <c r="C27" s="95"/>
      <c r="H27" s="95"/>
    </row>
    <row r="28" spans="2:8" x14ac:dyDescent="0.25">
      <c r="B28" s="112"/>
      <c r="C28" s="95"/>
      <c r="H28" s="95"/>
    </row>
    <row r="29" spans="2:8" x14ac:dyDescent="0.25">
      <c r="B29" s="112"/>
      <c r="C29" s="95"/>
      <c r="H29" s="95"/>
    </row>
    <row r="30" spans="2:8" x14ac:dyDescent="0.25">
      <c r="B30" s="125"/>
      <c r="C30" s="95"/>
      <c r="H30" s="95"/>
    </row>
    <row r="31" spans="2:8" x14ac:dyDescent="0.25">
      <c r="B31" s="112"/>
      <c r="C31" s="95"/>
      <c r="H31" s="95"/>
    </row>
    <row r="32" spans="2:8" x14ac:dyDescent="0.25">
      <c r="B32" s="112"/>
      <c r="C32" s="95"/>
      <c r="H32" s="95"/>
    </row>
    <row r="33" spans="2:8" x14ac:dyDescent="0.25">
      <c r="B33" s="125"/>
      <c r="C33" s="95"/>
      <c r="H33" s="95"/>
    </row>
    <row r="34" spans="2:8" x14ac:dyDescent="0.25">
      <c r="B34" s="112"/>
      <c r="C34" s="95"/>
      <c r="H34" s="95"/>
    </row>
    <row r="35" spans="2:8" x14ac:dyDescent="0.25">
      <c r="B35" s="124"/>
      <c r="C35" s="95"/>
      <c r="H35" s="95"/>
    </row>
    <row r="36" spans="2:8" x14ac:dyDescent="0.25">
      <c r="B36" s="112"/>
      <c r="C36" s="95"/>
      <c r="H36" s="95"/>
    </row>
    <row r="37" spans="2:8" x14ac:dyDescent="0.25">
      <c r="B37" s="125"/>
      <c r="C37" s="95"/>
      <c r="H37" s="95"/>
    </row>
    <row r="38" spans="2:8" x14ac:dyDescent="0.25">
      <c r="B38" s="112"/>
      <c r="C38" s="95"/>
      <c r="H38" s="95"/>
    </row>
    <row r="39" spans="2:8" x14ac:dyDescent="0.25">
      <c r="B39" s="112"/>
      <c r="C39" s="95"/>
      <c r="H39" s="95"/>
    </row>
    <row r="40" spans="2:8" x14ac:dyDescent="0.25">
      <c r="B40" s="112"/>
      <c r="C40" s="95"/>
      <c r="H40" s="95"/>
    </row>
    <row r="41" spans="2:8" x14ac:dyDescent="0.25">
      <c r="B41" s="125"/>
      <c r="C41" s="95"/>
      <c r="H41" s="95"/>
    </row>
    <row r="42" spans="2:8" x14ac:dyDescent="0.25">
      <c r="B42" s="112"/>
      <c r="C42" s="95"/>
      <c r="H42" s="95"/>
    </row>
    <row r="43" spans="2:8" x14ac:dyDescent="0.25">
      <c r="B43" s="112"/>
      <c r="C43" s="95"/>
      <c r="H43" s="95"/>
    </row>
    <row r="44" spans="2:8" x14ac:dyDescent="0.25">
      <c r="B44" s="112"/>
      <c r="C44" s="95"/>
      <c r="H44" s="95"/>
    </row>
    <row r="45" spans="2:8" x14ac:dyDescent="0.25">
      <c r="B45" s="112"/>
      <c r="C45" s="95"/>
      <c r="H45" s="95"/>
    </row>
    <row r="46" spans="2:8" x14ac:dyDescent="0.25">
      <c r="B46" s="112"/>
      <c r="C46" s="95"/>
      <c r="H46" s="95"/>
    </row>
    <row r="47" spans="2:8" x14ac:dyDescent="0.25">
      <c r="B47" s="112"/>
      <c r="C47" s="95"/>
      <c r="H47" s="95"/>
    </row>
    <row r="48" spans="2:8" x14ac:dyDescent="0.25">
      <c r="B48" s="112"/>
      <c r="C48" s="95"/>
      <c r="H48" s="95"/>
    </row>
    <row r="49" spans="2:8" x14ac:dyDescent="0.25">
      <c r="B49" s="112"/>
      <c r="C49" s="95"/>
      <c r="H49" s="95"/>
    </row>
    <row r="50" spans="2:8" x14ac:dyDescent="0.25">
      <c r="B50" s="112"/>
      <c r="C50" s="95"/>
      <c r="H50" s="95"/>
    </row>
    <row r="51" spans="2:8" x14ac:dyDescent="0.25">
      <c r="B51" s="125"/>
      <c r="C51" s="95"/>
      <c r="H51" s="95"/>
    </row>
    <row r="52" spans="2:8" x14ac:dyDescent="0.25">
      <c r="B52" s="112"/>
      <c r="C52" s="95"/>
      <c r="H52" s="95"/>
    </row>
    <row r="53" spans="2:8" x14ac:dyDescent="0.25">
      <c r="B53" s="112"/>
      <c r="C53" s="95"/>
      <c r="H53" s="95"/>
    </row>
    <row r="54" spans="2:8" x14ac:dyDescent="0.25">
      <c r="B54" s="112"/>
      <c r="C54" s="95"/>
      <c r="H54" s="95"/>
    </row>
    <row r="55" spans="2:8" x14ac:dyDescent="0.25">
      <c r="B55" s="112"/>
      <c r="C55" s="95"/>
      <c r="H55" s="95"/>
    </row>
    <row r="56" spans="2:8" x14ac:dyDescent="0.25">
      <c r="B56" s="112"/>
      <c r="C56" s="95"/>
      <c r="H56" s="95"/>
    </row>
    <row r="57" spans="2:8" x14ac:dyDescent="0.25">
      <c r="B57" s="112"/>
      <c r="C57" s="95"/>
      <c r="H57" s="95"/>
    </row>
    <row r="58" spans="2:8" x14ac:dyDescent="0.25">
      <c r="B58" s="112"/>
      <c r="C58" s="95"/>
      <c r="H58" s="95"/>
    </row>
    <row r="59" spans="2:8" x14ac:dyDescent="0.25">
      <c r="B59" s="112"/>
      <c r="C59" s="95"/>
      <c r="H59" s="95"/>
    </row>
    <row r="60" spans="2:8" x14ac:dyDescent="0.25">
      <c r="B60" s="112"/>
      <c r="C60" s="95"/>
      <c r="H60" s="95"/>
    </row>
    <row r="61" spans="2:8" x14ac:dyDescent="0.25">
      <c r="B61" s="125"/>
      <c r="C61" s="95"/>
      <c r="H61" s="95"/>
    </row>
    <row r="62" spans="2:8" x14ac:dyDescent="0.25">
      <c r="B62" s="112"/>
      <c r="C62" s="95"/>
      <c r="H62" s="95"/>
    </row>
    <row r="63" spans="2:8" x14ac:dyDescent="0.25">
      <c r="B63" s="125"/>
      <c r="C63" s="95"/>
      <c r="H63" s="95"/>
    </row>
    <row r="64" spans="2:8" x14ac:dyDescent="0.25">
      <c r="B64" s="125"/>
      <c r="C64" s="95"/>
      <c r="H64" s="95"/>
    </row>
    <row r="65" spans="2:8" x14ac:dyDescent="0.25">
      <c r="B65" s="112"/>
      <c r="C65" s="95"/>
      <c r="H65" s="95"/>
    </row>
    <row r="66" spans="2:8" x14ac:dyDescent="0.25">
      <c r="B66" s="112"/>
      <c r="C66" s="95"/>
      <c r="H66" s="95"/>
    </row>
    <row r="67" spans="2:8" x14ac:dyDescent="0.25">
      <c r="B67" s="125"/>
      <c r="C67" s="95"/>
      <c r="H67" s="95"/>
    </row>
    <row r="68" spans="2:8" x14ac:dyDescent="0.25">
      <c r="B68" s="112"/>
      <c r="C68" s="95"/>
      <c r="H68" s="95"/>
    </row>
    <row r="69" spans="2:8" x14ac:dyDescent="0.25">
      <c r="B69" s="125"/>
      <c r="C69" s="95"/>
      <c r="H69" s="95"/>
    </row>
    <row r="70" spans="2:8" x14ac:dyDescent="0.25">
      <c r="B70" s="125"/>
      <c r="C70" s="95"/>
      <c r="H70" s="95"/>
    </row>
    <row r="71" spans="2:8" x14ac:dyDescent="0.25">
      <c r="B71" s="125"/>
      <c r="C71" s="95"/>
      <c r="H71" s="95"/>
    </row>
    <row r="72" spans="2:8" x14ac:dyDescent="0.25">
      <c r="B72" s="112"/>
      <c r="C72" s="95"/>
      <c r="H72" s="95"/>
    </row>
    <row r="73" spans="2:8" x14ac:dyDescent="0.25">
      <c r="B73" s="112"/>
      <c r="C73" s="95"/>
      <c r="H73" s="95"/>
    </row>
    <row r="74" spans="2:8" x14ac:dyDescent="0.25">
      <c r="B74" s="112"/>
      <c r="C74" s="95"/>
      <c r="H74" s="95"/>
    </row>
    <row r="75" spans="2:8" x14ac:dyDescent="0.25">
      <c r="B75" s="112"/>
      <c r="C75" s="95"/>
      <c r="H75" s="95"/>
    </row>
    <row r="76" spans="2:8" x14ac:dyDescent="0.25">
      <c r="B76" s="125"/>
      <c r="C76" s="95"/>
      <c r="H76" s="95"/>
    </row>
    <row r="77" spans="2:8" x14ac:dyDescent="0.25">
      <c r="B77" s="127"/>
      <c r="C77" s="95"/>
      <c r="H77" s="95"/>
    </row>
    <row r="78" spans="2:8" x14ac:dyDescent="0.25">
      <c r="B78" s="125"/>
      <c r="C78" s="95"/>
      <c r="H78" s="95"/>
    </row>
    <row r="79" spans="2:8" x14ac:dyDescent="0.25">
      <c r="B79" s="112"/>
      <c r="C79" s="95"/>
      <c r="H79" s="95"/>
    </row>
    <row r="80" spans="2:8" x14ac:dyDescent="0.25">
      <c r="B80" s="112"/>
      <c r="C80" s="95"/>
      <c r="H80" s="95"/>
    </row>
    <row r="81" spans="2:8" x14ac:dyDescent="0.25">
      <c r="B81" s="125"/>
      <c r="C81" s="95"/>
      <c r="H81" s="95"/>
    </row>
    <row r="82" spans="2:8" x14ac:dyDescent="0.25">
      <c r="B82" s="112"/>
      <c r="C82" s="95"/>
      <c r="H82" s="95"/>
    </row>
    <row r="83" spans="2:8" x14ac:dyDescent="0.25">
      <c r="B83" s="112"/>
      <c r="C83" s="95"/>
      <c r="H83" s="95"/>
    </row>
    <row r="84" spans="2:8" x14ac:dyDescent="0.25">
      <c r="B84" s="125"/>
      <c r="C84" s="95"/>
      <c r="H84" s="95"/>
    </row>
    <row r="85" spans="2:8" x14ac:dyDescent="0.25">
      <c r="B85" s="112"/>
      <c r="C85" s="95"/>
      <c r="H85" s="95"/>
    </row>
    <row r="86" spans="2:8" x14ac:dyDescent="0.25">
      <c r="B86" s="112"/>
      <c r="C86" s="95"/>
      <c r="H86" s="95"/>
    </row>
    <row r="87" spans="2:8" x14ac:dyDescent="0.25">
      <c r="B87" s="112"/>
      <c r="C87" s="95"/>
      <c r="H87" s="95"/>
    </row>
    <row r="88" spans="2:8" x14ac:dyDescent="0.25">
      <c r="B88" s="112"/>
      <c r="C88" s="95"/>
      <c r="H88" s="95"/>
    </row>
    <row r="89" spans="2:8" x14ac:dyDescent="0.25">
      <c r="B89" s="112"/>
      <c r="C89" s="95"/>
      <c r="H89" s="95"/>
    </row>
    <row r="90" spans="2:8" x14ac:dyDescent="0.25">
      <c r="B90" s="125"/>
      <c r="C90" s="95"/>
      <c r="H90" s="95"/>
    </row>
    <row r="91" spans="2:8" x14ac:dyDescent="0.25">
      <c r="B91" s="112"/>
      <c r="C91" s="95"/>
      <c r="H91" s="95"/>
    </row>
    <row r="92" spans="2:8" x14ac:dyDescent="0.25">
      <c r="B92" s="125"/>
      <c r="C92" s="95"/>
      <c r="H92" s="95"/>
    </row>
    <row r="93" spans="2:8" x14ac:dyDescent="0.25">
      <c r="B93" s="112"/>
      <c r="C93" s="95"/>
      <c r="H93" s="95"/>
    </row>
    <row r="94" spans="2:8" x14ac:dyDescent="0.25">
      <c r="B94" s="125"/>
      <c r="C94" s="95"/>
      <c r="H94" s="95"/>
    </row>
    <row r="95" spans="2:8" x14ac:dyDescent="0.25">
      <c r="B95" s="125"/>
      <c r="C95" s="95"/>
      <c r="H95" s="95"/>
    </row>
    <row r="96" spans="2:8" x14ac:dyDescent="0.25">
      <c r="B96" s="112"/>
      <c r="C96" s="95"/>
      <c r="H96" s="95"/>
    </row>
    <row r="97" spans="2:8" x14ac:dyDescent="0.25">
      <c r="B97" s="125"/>
      <c r="C97" s="95"/>
      <c r="H97" s="95"/>
    </row>
    <row r="98" spans="2:8" x14ac:dyDescent="0.25">
      <c r="B98" s="125"/>
      <c r="C98" s="95"/>
      <c r="H98" s="95"/>
    </row>
    <row r="99" spans="2:8" x14ac:dyDescent="0.25">
      <c r="B99" s="112"/>
      <c r="C99" s="95"/>
      <c r="H99" s="95"/>
    </row>
    <row r="100" spans="2:8" x14ac:dyDescent="0.25">
      <c r="B100" s="112"/>
      <c r="C100" s="95"/>
      <c r="H100" s="95"/>
    </row>
    <row r="101" spans="2:8" x14ac:dyDescent="0.25">
      <c r="B101" s="125"/>
      <c r="C101" s="95"/>
      <c r="H101" s="95"/>
    </row>
    <row r="102" spans="2:8" x14ac:dyDescent="0.25">
      <c r="B102" s="112"/>
      <c r="C102" s="95"/>
      <c r="H102" s="95"/>
    </row>
    <row r="103" spans="2:8" x14ac:dyDescent="0.25">
      <c r="B103" s="125"/>
      <c r="C103" s="95"/>
      <c r="H103" s="95"/>
    </row>
    <row r="104" spans="2:8" x14ac:dyDescent="0.25">
      <c r="B104" s="112"/>
      <c r="C104" s="95"/>
      <c r="H104" s="95"/>
    </row>
    <row r="105" spans="2:8" x14ac:dyDescent="0.25">
      <c r="B105" s="112"/>
      <c r="C105" s="95"/>
      <c r="H105" s="95"/>
    </row>
    <row r="106" spans="2:8" x14ac:dyDescent="0.25">
      <c r="B106" s="125"/>
      <c r="C106" s="95"/>
      <c r="H106" s="95"/>
    </row>
    <row r="107" spans="2:8" x14ac:dyDescent="0.25">
      <c r="B107" s="112"/>
      <c r="C107" s="95"/>
      <c r="H107" s="95"/>
    </row>
    <row r="108" spans="2:8" x14ac:dyDescent="0.25">
      <c r="B108" s="112"/>
      <c r="C108" s="95"/>
      <c r="H108" s="95"/>
    </row>
    <row r="109" spans="2:8" x14ac:dyDescent="0.25">
      <c r="B109" s="112"/>
      <c r="C109" s="95"/>
      <c r="H109" s="95"/>
    </row>
    <row r="110" spans="2:8" x14ac:dyDescent="0.25">
      <c r="B110" s="112"/>
      <c r="C110" s="95"/>
      <c r="H110" s="95"/>
    </row>
    <row r="111" spans="2:8" x14ac:dyDescent="0.25">
      <c r="B111" s="125"/>
      <c r="C111" s="95"/>
      <c r="H111" s="95"/>
    </row>
    <row r="112" spans="2:8" x14ac:dyDescent="0.25">
      <c r="B112" s="124"/>
      <c r="C112" s="95"/>
      <c r="H112" s="95"/>
    </row>
    <row r="113" spans="2:8" x14ac:dyDescent="0.25">
      <c r="B113" s="112"/>
      <c r="C113" s="95"/>
      <c r="H113" s="95"/>
    </row>
    <row r="114" spans="2:8" x14ac:dyDescent="0.25">
      <c r="B114" s="112"/>
      <c r="C114" s="95"/>
      <c r="H114" s="95"/>
    </row>
    <row r="115" spans="2:8" x14ac:dyDescent="0.25">
      <c r="B115" s="112"/>
      <c r="C115" s="95"/>
      <c r="H115" s="95"/>
    </row>
    <row r="116" spans="2:8" x14ac:dyDescent="0.25">
      <c r="B116" s="112"/>
      <c r="C116" s="95"/>
      <c r="H116" s="95"/>
    </row>
    <row r="117" spans="2:8" x14ac:dyDescent="0.25">
      <c r="B117" s="112"/>
      <c r="C117" s="95"/>
      <c r="H117" s="95"/>
    </row>
    <row r="118" spans="2:8" x14ac:dyDescent="0.25">
      <c r="B118" s="112"/>
      <c r="C118" s="95"/>
      <c r="H118" s="95"/>
    </row>
    <row r="119" spans="2:8" x14ac:dyDescent="0.25">
      <c r="B119" s="112"/>
      <c r="C119" s="95"/>
      <c r="H119" s="95"/>
    </row>
    <row r="120" spans="2:8" x14ac:dyDescent="0.25">
      <c r="B120" s="112"/>
      <c r="C120" s="95"/>
      <c r="H120" s="95"/>
    </row>
    <row r="121" spans="2:8" x14ac:dyDescent="0.25">
      <c r="B121" s="112"/>
      <c r="C121" s="95"/>
      <c r="H121" s="95"/>
    </row>
    <row r="122" spans="2:8" x14ac:dyDescent="0.25">
      <c r="B122" s="112"/>
      <c r="C122" s="95"/>
      <c r="H122" s="95"/>
    </row>
    <row r="123" spans="2:8" x14ac:dyDescent="0.25">
      <c r="B123" s="125"/>
      <c r="C123" s="95"/>
      <c r="H123" s="95"/>
    </row>
    <row r="124" spans="2:8" x14ac:dyDescent="0.25">
      <c r="B124" s="112"/>
      <c r="C124" s="95"/>
      <c r="H124" s="95"/>
    </row>
    <row r="125" spans="2:8" x14ac:dyDescent="0.25">
      <c r="B125" s="112"/>
      <c r="C125" s="95"/>
      <c r="H125" s="95"/>
    </row>
    <row r="126" spans="2:8" x14ac:dyDescent="0.25">
      <c r="B126" s="126"/>
      <c r="C126" s="95"/>
      <c r="H126" s="95"/>
    </row>
    <row r="127" spans="2:8" x14ac:dyDescent="0.25">
      <c r="B127" s="125"/>
      <c r="C127" s="95"/>
      <c r="H127" s="95"/>
    </row>
    <row r="128" spans="2:8" x14ac:dyDescent="0.25">
      <c r="B128" s="112"/>
      <c r="C128" s="95"/>
      <c r="H128" s="95"/>
    </row>
    <row r="129" spans="2:8" x14ac:dyDescent="0.25">
      <c r="B129" s="125"/>
      <c r="C129" s="95"/>
      <c r="H129" s="95"/>
    </row>
    <row r="130" spans="2:8" x14ac:dyDescent="0.25">
      <c r="B130" s="125"/>
      <c r="C130" s="95"/>
      <c r="H130" s="95"/>
    </row>
    <row r="131" spans="2:8" x14ac:dyDescent="0.25">
      <c r="B131" s="112"/>
      <c r="C131" s="95"/>
      <c r="H131" s="95"/>
    </row>
    <row r="132" spans="2:8" x14ac:dyDescent="0.25">
      <c r="B132" s="125"/>
      <c r="C132" s="95"/>
      <c r="H132" s="95"/>
    </row>
    <row r="133" spans="2:8" x14ac:dyDescent="0.25">
      <c r="B133" s="125"/>
      <c r="C133" s="95"/>
      <c r="H133" s="95"/>
    </row>
    <row r="134" spans="2:8" x14ac:dyDescent="0.25">
      <c r="B134" s="112"/>
      <c r="C134" s="95"/>
      <c r="H134" s="95"/>
    </row>
    <row r="135" spans="2:8" x14ac:dyDescent="0.25">
      <c r="B135" s="112"/>
      <c r="C135" s="95"/>
      <c r="H135" s="95"/>
    </row>
    <row r="136" spans="2:8" x14ac:dyDescent="0.25">
      <c r="B136" s="112"/>
      <c r="C136" s="95"/>
      <c r="H136" s="6"/>
    </row>
    <row r="139" spans="2:8" x14ac:dyDescent="0.25">
      <c r="B139" s="112"/>
      <c r="C139" s="95"/>
      <c r="H139" s="95"/>
    </row>
    <row r="140" spans="2:8" x14ac:dyDescent="0.25">
      <c r="B140" s="112"/>
      <c r="C140" s="95"/>
      <c r="H140" s="95"/>
    </row>
    <row r="141" spans="2:8" x14ac:dyDescent="0.25">
      <c r="B141" s="112"/>
      <c r="C141" s="95"/>
    </row>
    <row r="142" spans="2:8" x14ac:dyDescent="0.25">
      <c r="B142" s="112"/>
      <c r="C142" s="95"/>
    </row>
  </sheetData>
  <sortState ref="E2:H136">
    <sortCondition ref="E2:E136"/>
  </sortState>
  <conditionalFormatting sqref="B136">
    <cfRule type="duplicateValues" dxfId="18" priority="11"/>
  </conditionalFormatting>
  <conditionalFormatting sqref="B136">
    <cfRule type="duplicateValues" dxfId="17" priority="12"/>
  </conditionalFormatting>
  <conditionalFormatting sqref="B2:B82">
    <cfRule type="duplicateValues" dxfId="16" priority="7"/>
  </conditionalFormatting>
  <conditionalFormatting sqref="B2:B82">
    <cfRule type="duplicateValues" dxfId="15" priority="8"/>
  </conditionalFormatting>
  <conditionalFormatting sqref="B139">
    <cfRule type="duplicateValues" dxfId="14" priority="3"/>
  </conditionalFormatting>
  <conditionalFormatting sqref="B139">
    <cfRule type="duplicateValues" dxfId="13" priority="4"/>
  </conditionalFormatting>
  <conditionalFormatting sqref="B134">
    <cfRule type="duplicateValues" dxfId="12" priority="1"/>
  </conditionalFormatting>
  <conditionalFormatting sqref="B134">
    <cfRule type="duplicateValues" dxfId="11" priority="2"/>
  </conditionalFormatting>
  <conditionalFormatting sqref="B121:B133 B135">
    <cfRule type="duplicateValues" dxfId="10" priority="24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48"/>
  <sheetViews>
    <sheetView workbookViewId="0">
      <selection activeCell="D23" sqref="D23"/>
    </sheetView>
  </sheetViews>
  <sheetFormatPr defaultRowHeight="15" x14ac:dyDescent="0.25"/>
  <cols>
    <col min="2" max="2" width="42.42578125" customWidth="1"/>
    <col min="3" max="3" width="12.85546875" customWidth="1"/>
    <col min="5" max="5" width="31.5703125" customWidth="1"/>
    <col min="6" max="6" width="14.28515625" customWidth="1"/>
  </cols>
  <sheetData>
    <row r="3" spans="2:6" x14ac:dyDescent="0.25">
      <c r="B3" s="112"/>
      <c r="C3" s="95"/>
      <c r="F3" s="95"/>
    </row>
    <row r="4" spans="2:6" x14ac:dyDescent="0.25">
      <c r="B4" s="125"/>
      <c r="C4" s="95"/>
      <c r="F4" s="95"/>
    </row>
    <row r="5" spans="2:6" x14ac:dyDescent="0.25">
      <c r="B5" s="127"/>
      <c r="C5" s="95"/>
      <c r="F5" s="95"/>
    </row>
    <row r="6" spans="2:6" x14ac:dyDescent="0.25">
      <c r="B6" s="125"/>
      <c r="C6" s="95"/>
      <c r="F6" s="95"/>
    </row>
    <row r="7" spans="2:6" x14ac:dyDescent="0.25">
      <c r="B7" s="125"/>
      <c r="C7" s="95"/>
      <c r="F7" s="95"/>
    </row>
    <row r="8" spans="2:6" x14ac:dyDescent="0.25">
      <c r="B8" s="125"/>
      <c r="C8" s="95"/>
      <c r="F8" s="95"/>
    </row>
    <row r="9" spans="2:6" x14ac:dyDescent="0.25">
      <c r="B9" s="125"/>
      <c r="C9" s="95"/>
      <c r="F9" s="95"/>
    </row>
    <row r="10" spans="2:6" x14ac:dyDescent="0.25">
      <c r="B10" s="112"/>
      <c r="C10" s="95"/>
      <c r="F10" s="95"/>
    </row>
    <row r="11" spans="2:6" x14ac:dyDescent="0.25">
      <c r="B11" s="112"/>
      <c r="C11" s="95"/>
      <c r="F11" s="95"/>
    </row>
    <row r="12" spans="2:6" x14ac:dyDescent="0.25">
      <c r="B12" s="125"/>
      <c r="C12" s="95"/>
      <c r="F12" s="95"/>
    </row>
    <row r="13" spans="2:6" x14ac:dyDescent="0.25">
      <c r="B13" s="112"/>
      <c r="C13" s="95"/>
      <c r="F13" s="95"/>
    </row>
    <row r="14" spans="2:6" x14ac:dyDescent="0.25">
      <c r="B14" s="112"/>
      <c r="C14" s="95"/>
      <c r="F14" s="95"/>
    </row>
    <row r="15" spans="2:6" x14ac:dyDescent="0.25">
      <c r="B15" s="125"/>
      <c r="C15" s="95"/>
      <c r="F15" s="95"/>
    </row>
    <row r="16" spans="2:6" x14ac:dyDescent="0.25">
      <c r="B16" s="112"/>
      <c r="C16" s="95"/>
      <c r="F16" s="95"/>
    </row>
    <row r="17" spans="2:6" x14ac:dyDescent="0.25">
      <c r="B17" s="112"/>
      <c r="C17" s="95"/>
      <c r="F17" s="95"/>
    </row>
    <row r="18" spans="2:6" x14ac:dyDescent="0.25">
      <c r="B18" s="112"/>
      <c r="C18" s="95"/>
      <c r="F18" s="95"/>
    </row>
    <row r="19" spans="2:6" x14ac:dyDescent="0.25">
      <c r="B19" s="125"/>
      <c r="C19" s="95"/>
      <c r="F19" s="95"/>
    </row>
    <row r="20" spans="2:6" x14ac:dyDescent="0.25">
      <c r="B20" s="112"/>
      <c r="C20" s="95"/>
      <c r="F20" s="95"/>
    </row>
    <row r="21" spans="2:6" x14ac:dyDescent="0.25">
      <c r="B21" s="112"/>
      <c r="C21" s="95"/>
      <c r="F21" s="95"/>
    </row>
    <row r="22" spans="2:6" x14ac:dyDescent="0.25">
      <c r="B22" s="112"/>
      <c r="C22" s="95"/>
      <c r="F22" s="95"/>
    </row>
    <row r="23" spans="2:6" x14ac:dyDescent="0.25">
      <c r="B23" s="112"/>
      <c r="C23" s="95"/>
      <c r="F23" s="95"/>
    </row>
    <row r="24" spans="2:6" x14ac:dyDescent="0.25">
      <c r="B24" s="125"/>
      <c r="C24" s="95"/>
      <c r="F24" s="95"/>
    </row>
    <row r="25" spans="2:6" x14ac:dyDescent="0.25">
      <c r="B25" s="112"/>
      <c r="C25" s="95"/>
      <c r="F25" s="95"/>
    </row>
    <row r="26" spans="2:6" x14ac:dyDescent="0.25">
      <c r="B26" s="112"/>
      <c r="C26" s="95"/>
      <c r="F26" s="95"/>
    </row>
    <row r="27" spans="2:6" x14ac:dyDescent="0.25">
      <c r="B27" s="112"/>
      <c r="C27" s="95"/>
      <c r="F27" s="95"/>
    </row>
    <row r="28" spans="2:6" x14ac:dyDescent="0.25">
      <c r="B28" s="125"/>
      <c r="C28" s="95"/>
      <c r="F28" s="95"/>
    </row>
    <row r="29" spans="2:6" x14ac:dyDescent="0.25">
      <c r="B29" s="112"/>
      <c r="C29" s="95"/>
      <c r="F29" s="95"/>
    </row>
    <row r="30" spans="2:6" x14ac:dyDescent="0.25">
      <c r="B30" s="112"/>
      <c r="C30" s="95"/>
      <c r="F30" s="95"/>
    </row>
    <row r="31" spans="2:6" x14ac:dyDescent="0.25">
      <c r="B31" s="112"/>
      <c r="C31" s="95"/>
      <c r="F31" s="95"/>
    </row>
    <row r="32" spans="2:6" x14ac:dyDescent="0.25">
      <c r="B32" s="112"/>
      <c r="C32" s="95"/>
      <c r="F32" s="95"/>
    </row>
    <row r="33" spans="2:6" x14ac:dyDescent="0.25">
      <c r="B33" s="112"/>
      <c r="C33" s="95"/>
      <c r="F33" s="95"/>
    </row>
    <row r="34" spans="2:6" x14ac:dyDescent="0.25">
      <c r="B34" s="112"/>
      <c r="C34" s="95"/>
      <c r="F34" s="95"/>
    </row>
    <row r="35" spans="2:6" x14ac:dyDescent="0.25">
      <c r="B35" s="112"/>
      <c r="C35" s="95"/>
      <c r="F35" s="95"/>
    </row>
    <row r="36" spans="2:6" x14ac:dyDescent="0.25">
      <c r="B36" s="125"/>
      <c r="C36" s="95"/>
      <c r="F36" s="95"/>
    </row>
    <row r="37" spans="2:6" x14ac:dyDescent="0.25">
      <c r="B37" s="112"/>
      <c r="C37" s="95"/>
      <c r="F37" s="95"/>
    </row>
    <row r="38" spans="2:6" x14ac:dyDescent="0.25">
      <c r="B38" s="124"/>
      <c r="C38" s="95"/>
      <c r="F38" s="95"/>
    </row>
    <row r="39" spans="2:6" x14ac:dyDescent="0.25">
      <c r="B39" s="112"/>
      <c r="C39" s="95"/>
      <c r="F39" s="95"/>
    </row>
    <row r="40" spans="2:6" x14ac:dyDescent="0.25">
      <c r="B40" s="125"/>
      <c r="C40" s="95"/>
      <c r="F40" s="95"/>
    </row>
    <row r="41" spans="2:6" x14ac:dyDescent="0.25">
      <c r="B41" s="112"/>
      <c r="C41" s="95"/>
      <c r="F41" s="95"/>
    </row>
    <row r="42" spans="2:6" x14ac:dyDescent="0.25">
      <c r="B42" s="112"/>
      <c r="C42" s="95"/>
      <c r="F42" s="95"/>
    </row>
    <row r="43" spans="2:6" x14ac:dyDescent="0.25">
      <c r="B43" s="112"/>
      <c r="C43" s="95"/>
      <c r="F43" s="95"/>
    </row>
    <row r="44" spans="2:6" x14ac:dyDescent="0.25">
      <c r="B44" s="112"/>
      <c r="C44" s="95"/>
      <c r="F44" s="95"/>
    </row>
    <row r="45" spans="2:6" x14ac:dyDescent="0.25">
      <c r="B45" s="125"/>
      <c r="C45" s="95"/>
      <c r="F45" s="95"/>
    </row>
    <row r="46" spans="2:6" x14ac:dyDescent="0.25">
      <c r="B46" s="112"/>
      <c r="C46" s="95"/>
      <c r="F46" s="95"/>
    </row>
    <row r="47" spans="2:6" x14ac:dyDescent="0.25">
      <c r="B47" s="112"/>
      <c r="C47" s="95"/>
      <c r="F47" s="95"/>
    </row>
    <row r="48" spans="2:6" x14ac:dyDescent="0.25">
      <c r="B48" s="112"/>
      <c r="C48" s="95"/>
      <c r="F48" s="95"/>
    </row>
    <row r="49" spans="2:6" x14ac:dyDescent="0.25">
      <c r="B49" s="112"/>
      <c r="C49" s="95"/>
      <c r="F49" s="95"/>
    </row>
    <row r="50" spans="2:6" x14ac:dyDescent="0.25">
      <c r="B50" s="112"/>
      <c r="C50" s="95"/>
      <c r="F50" s="95"/>
    </row>
    <row r="51" spans="2:6" x14ac:dyDescent="0.25">
      <c r="B51" s="112"/>
      <c r="C51" s="95"/>
      <c r="F51" s="95"/>
    </row>
    <row r="52" spans="2:6" x14ac:dyDescent="0.25">
      <c r="B52" s="112"/>
      <c r="C52" s="95"/>
      <c r="F52" s="95"/>
    </row>
    <row r="53" spans="2:6" x14ac:dyDescent="0.25">
      <c r="B53" s="112"/>
      <c r="C53" s="95"/>
      <c r="F53" s="95"/>
    </row>
    <row r="54" spans="2:6" x14ac:dyDescent="0.25">
      <c r="B54" s="112"/>
      <c r="C54" s="95"/>
      <c r="F54" s="95"/>
    </row>
    <row r="55" spans="2:6" x14ac:dyDescent="0.25">
      <c r="B55" s="112"/>
      <c r="C55" s="95"/>
      <c r="F55" s="95"/>
    </row>
    <row r="56" spans="2:6" x14ac:dyDescent="0.25">
      <c r="B56" s="125"/>
      <c r="C56" s="95"/>
      <c r="F56" s="95"/>
    </row>
    <row r="57" spans="2:6" x14ac:dyDescent="0.25">
      <c r="B57" s="112"/>
      <c r="C57" s="95"/>
      <c r="F57" s="95"/>
    </row>
    <row r="58" spans="2:6" x14ac:dyDescent="0.25">
      <c r="B58" s="112"/>
      <c r="C58" s="95"/>
      <c r="F58" s="95"/>
    </row>
    <row r="59" spans="2:6" x14ac:dyDescent="0.25">
      <c r="B59" s="112"/>
      <c r="C59" s="95"/>
      <c r="F59" s="95"/>
    </row>
    <row r="60" spans="2:6" x14ac:dyDescent="0.25">
      <c r="B60" s="112"/>
      <c r="C60" s="95"/>
      <c r="F60" s="95"/>
    </row>
    <row r="61" spans="2:6" x14ac:dyDescent="0.25">
      <c r="B61" s="112"/>
      <c r="C61" s="95"/>
      <c r="F61" s="95"/>
    </row>
    <row r="62" spans="2:6" x14ac:dyDescent="0.25">
      <c r="B62" s="112"/>
      <c r="C62" s="95"/>
      <c r="F62" s="95"/>
    </row>
    <row r="63" spans="2:6" x14ac:dyDescent="0.25">
      <c r="B63" s="112"/>
      <c r="C63" s="95"/>
      <c r="F63" s="95"/>
    </row>
    <row r="64" spans="2:6" x14ac:dyDescent="0.25">
      <c r="B64" s="112"/>
      <c r="C64" s="95"/>
      <c r="F64" s="95"/>
    </row>
    <row r="65" spans="2:6" x14ac:dyDescent="0.25">
      <c r="B65" s="112"/>
      <c r="C65" s="95"/>
      <c r="F65" s="95"/>
    </row>
    <row r="66" spans="2:6" x14ac:dyDescent="0.25">
      <c r="B66" s="125"/>
      <c r="C66" s="95"/>
      <c r="F66" s="95"/>
    </row>
    <row r="67" spans="2:6" x14ac:dyDescent="0.25">
      <c r="B67" s="112"/>
      <c r="C67" s="95"/>
      <c r="F67" s="95"/>
    </row>
    <row r="68" spans="2:6" x14ac:dyDescent="0.25">
      <c r="B68" s="125"/>
      <c r="C68" s="95"/>
      <c r="F68" s="95"/>
    </row>
    <row r="69" spans="2:6" x14ac:dyDescent="0.25">
      <c r="B69" s="125"/>
      <c r="C69" s="95"/>
      <c r="F69" s="95"/>
    </row>
    <row r="70" spans="2:6" x14ac:dyDescent="0.25">
      <c r="B70" s="112"/>
      <c r="C70" s="95"/>
      <c r="F70" s="95"/>
    </row>
    <row r="71" spans="2:6" x14ac:dyDescent="0.25">
      <c r="B71" s="125"/>
      <c r="C71" s="95"/>
      <c r="F71" s="95"/>
    </row>
    <row r="72" spans="2:6" x14ac:dyDescent="0.25">
      <c r="B72" s="112"/>
      <c r="C72" s="95"/>
      <c r="F72" s="95"/>
    </row>
    <row r="73" spans="2:6" x14ac:dyDescent="0.25">
      <c r="B73" s="125"/>
      <c r="C73" s="95"/>
      <c r="F73" s="95"/>
    </row>
    <row r="74" spans="2:6" x14ac:dyDescent="0.25">
      <c r="B74" s="125"/>
      <c r="C74" s="95"/>
      <c r="F74" s="95"/>
    </row>
    <row r="75" spans="2:6" x14ac:dyDescent="0.25">
      <c r="B75" s="125"/>
      <c r="C75" s="95"/>
      <c r="F75" s="95"/>
    </row>
    <row r="76" spans="2:6" x14ac:dyDescent="0.25">
      <c r="B76" s="112"/>
      <c r="C76" s="95"/>
      <c r="F76" s="95"/>
    </row>
    <row r="77" spans="2:6" x14ac:dyDescent="0.25">
      <c r="B77" s="112"/>
      <c r="C77" s="95"/>
      <c r="F77" s="95"/>
    </row>
    <row r="78" spans="2:6" x14ac:dyDescent="0.25">
      <c r="B78" s="112"/>
      <c r="C78" s="95"/>
      <c r="F78" s="95"/>
    </row>
    <row r="79" spans="2:6" x14ac:dyDescent="0.25">
      <c r="B79" s="112"/>
      <c r="C79" s="95"/>
      <c r="F79" s="95"/>
    </row>
    <row r="80" spans="2:6" x14ac:dyDescent="0.25">
      <c r="B80" s="125"/>
      <c r="C80" s="95"/>
      <c r="F80" s="95"/>
    </row>
    <row r="81" spans="2:6" x14ac:dyDescent="0.25">
      <c r="B81" s="127"/>
      <c r="C81" s="95"/>
      <c r="F81" s="95"/>
    </row>
    <row r="82" spans="2:6" x14ac:dyDescent="0.25">
      <c r="B82" s="125"/>
      <c r="C82" s="95"/>
      <c r="F82" s="95"/>
    </row>
    <row r="83" spans="2:6" x14ac:dyDescent="0.25">
      <c r="B83" s="112"/>
      <c r="C83" s="95"/>
      <c r="F83" s="95"/>
    </row>
    <row r="84" spans="2:6" x14ac:dyDescent="0.25">
      <c r="B84" s="112"/>
      <c r="C84" s="95"/>
      <c r="F84" s="95"/>
    </row>
    <row r="85" spans="2:6" x14ac:dyDescent="0.25">
      <c r="B85" s="112"/>
      <c r="C85" s="95"/>
      <c r="F85" s="95"/>
    </row>
    <row r="86" spans="2:6" x14ac:dyDescent="0.25">
      <c r="B86" s="125"/>
      <c r="C86" s="95"/>
      <c r="F86" s="95"/>
    </row>
    <row r="87" spans="2:6" x14ac:dyDescent="0.25">
      <c r="B87" s="112"/>
      <c r="C87" s="95"/>
      <c r="F87" s="95"/>
    </row>
    <row r="88" spans="2:6" x14ac:dyDescent="0.25">
      <c r="B88" s="112"/>
      <c r="C88" s="95"/>
      <c r="F88" s="95"/>
    </row>
    <row r="89" spans="2:6" x14ac:dyDescent="0.25">
      <c r="B89" s="125"/>
      <c r="C89" s="95"/>
      <c r="F89" s="95"/>
    </row>
    <row r="90" spans="2:6" x14ac:dyDescent="0.25">
      <c r="B90" s="112"/>
      <c r="C90" s="95"/>
      <c r="F90" s="95"/>
    </row>
    <row r="91" spans="2:6" x14ac:dyDescent="0.25">
      <c r="B91" s="112"/>
      <c r="C91" s="95"/>
      <c r="F91" s="95"/>
    </row>
    <row r="92" spans="2:6" x14ac:dyDescent="0.25">
      <c r="B92" s="112"/>
      <c r="C92" s="95"/>
      <c r="F92" s="95"/>
    </row>
    <row r="93" spans="2:6" x14ac:dyDescent="0.25">
      <c r="B93" s="112"/>
      <c r="C93" s="95"/>
      <c r="F93" s="95"/>
    </row>
    <row r="94" spans="2:6" x14ac:dyDescent="0.25">
      <c r="B94" s="112"/>
      <c r="C94" s="95"/>
      <c r="F94" s="95"/>
    </row>
    <row r="95" spans="2:6" x14ac:dyDescent="0.25">
      <c r="B95" s="112"/>
      <c r="C95" s="95"/>
      <c r="F95" s="95"/>
    </row>
    <row r="96" spans="2:6" x14ac:dyDescent="0.25">
      <c r="B96" s="125"/>
      <c r="C96" s="95"/>
      <c r="F96" s="95"/>
    </row>
    <row r="97" spans="2:6" x14ac:dyDescent="0.25">
      <c r="B97" s="112"/>
      <c r="C97" s="95"/>
      <c r="F97" s="95"/>
    </row>
    <row r="98" spans="2:6" x14ac:dyDescent="0.25">
      <c r="B98" s="125"/>
      <c r="C98" s="95"/>
      <c r="F98" s="95"/>
    </row>
    <row r="99" spans="2:6" x14ac:dyDescent="0.25">
      <c r="B99" s="112"/>
      <c r="C99" s="95"/>
      <c r="F99" s="95"/>
    </row>
    <row r="100" spans="2:6" x14ac:dyDescent="0.25">
      <c r="B100" s="125"/>
      <c r="C100" s="95"/>
      <c r="F100" s="95"/>
    </row>
    <row r="101" spans="2:6" x14ac:dyDescent="0.25">
      <c r="B101" s="112"/>
      <c r="C101" s="95"/>
      <c r="F101" s="95"/>
    </row>
    <row r="102" spans="2:6" x14ac:dyDescent="0.25">
      <c r="B102" s="125"/>
      <c r="C102" s="95"/>
      <c r="F102" s="95"/>
    </row>
    <row r="103" spans="2:6" x14ac:dyDescent="0.25">
      <c r="B103" s="112"/>
      <c r="C103" s="95"/>
      <c r="F103" s="95"/>
    </row>
    <row r="104" spans="2:6" x14ac:dyDescent="0.25">
      <c r="B104" s="112"/>
      <c r="C104" s="95"/>
      <c r="F104" s="95"/>
    </row>
    <row r="105" spans="2:6" x14ac:dyDescent="0.25">
      <c r="B105" s="125"/>
      <c r="C105" s="95"/>
      <c r="F105" s="95"/>
    </row>
    <row r="106" spans="2:6" x14ac:dyDescent="0.25">
      <c r="B106" s="125"/>
      <c r="C106" s="95"/>
      <c r="F106" s="95"/>
    </row>
    <row r="107" spans="2:6" x14ac:dyDescent="0.25">
      <c r="B107" s="112"/>
      <c r="C107" s="95"/>
      <c r="F107" s="95"/>
    </row>
    <row r="108" spans="2:6" x14ac:dyDescent="0.25">
      <c r="B108" s="112"/>
      <c r="C108" s="95"/>
      <c r="F108" s="95"/>
    </row>
    <row r="109" spans="2:6" x14ac:dyDescent="0.25">
      <c r="B109" s="112"/>
      <c r="C109" s="95"/>
      <c r="F109" s="95"/>
    </row>
    <row r="110" spans="2:6" x14ac:dyDescent="0.25">
      <c r="B110" s="125"/>
      <c r="C110" s="95"/>
      <c r="F110" s="95"/>
    </row>
    <row r="111" spans="2:6" x14ac:dyDescent="0.25">
      <c r="B111" s="112"/>
      <c r="C111" s="95"/>
      <c r="F111" s="95"/>
    </row>
    <row r="112" spans="2:6" x14ac:dyDescent="0.25">
      <c r="B112" s="125"/>
      <c r="C112" s="95"/>
      <c r="F112" s="95"/>
    </row>
    <row r="113" spans="2:6" x14ac:dyDescent="0.25">
      <c r="B113" s="112"/>
      <c r="C113" s="95"/>
      <c r="F113" s="95"/>
    </row>
    <row r="114" spans="2:6" x14ac:dyDescent="0.25">
      <c r="B114" s="125"/>
      <c r="C114" s="95"/>
      <c r="F114" s="95"/>
    </row>
    <row r="115" spans="2:6" x14ac:dyDescent="0.25">
      <c r="B115" s="112"/>
      <c r="C115" s="95"/>
      <c r="F115" s="95"/>
    </row>
    <row r="116" spans="2:6" x14ac:dyDescent="0.25">
      <c r="B116" s="125"/>
      <c r="C116" s="95"/>
      <c r="F116" s="95"/>
    </row>
    <row r="117" spans="2:6" x14ac:dyDescent="0.25">
      <c r="B117" s="112"/>
      <c r="C117" s="95"/>
      <c r="F117" s="95"/>
    </row>
    <row r="118" spans="2:6" x14ac:dyDescent="0.25">
      <c r="B118" s="112"/>
      <c r="C118" s="95"/>
      <c r="F118" s="95"/>
    </row>
    <row r="119" spans="2:6" x14ac:dyDescent="0.25">
      <c r="B119" s="112"/>
      <c r="C119" s="95"/>
      <c r="F119" s="95"/>
    </row>
    <row r="120" spans="2:6" x14ac:dyDescent="0.25">
      <c r="B120" s="125"/>
      <c r="C120" s="95"/>
      <c r="F120" s="95"/>
    </row>
    <row r="121" spans="2:6" x14ac:dyDescent="0.25">
      <c r="B121" s="124"/>
      <c r="C121" s="95"/>
      <c r="F121" s="95"/>
    </row>
    <row r="122" spans="2:6" x14ac:dyDescent="0.25">
      <c r="B122" s="112"/>
      <c r="C122" s="95"/>
      <c r="F122" s="95"/>
    </row>
    <row r="123" spans="2:6" x14ac:dyDescent="0.25">
      <c r="B123" s="112"/>
      <c r="C123" s="95"/>
      <c r="F123" s="95"/>
    </row>
    <row r="124" spans="2:6" x14ac:dyDescent="0.25">
      <c r="B124" s="112"/>
      <c r="C124" s="95"/>
      <c r="F124" s="95"/>
    </row>
    <row r="125" spans="2:6" x14ac:dyDescent="0.25">
      <c r="B125" s="112"/>
      <c r="C125" s="95"/>
      <c r="F125" s="95"/>
    </row>
    <row r="126" spans="2:6" x14ac:dyDescent="0.25">
      <c r="B126" s="112"/>
      <c r="C126" s="95"/>
      <c r="F126" s="95"/>
    </row>
    <row r="127" spans="2:6" x14ac:dyDescent="0.25">
      <c r="B127" s="112"/>
      <c r="C127" s="95"/>
      <c r="F127" s="95"/>
    </row>
    <row r="128" spans="2:6" x14ac:dyDescent="0.25">
      <c r="B128" s="112"/>
      <c r="C128" s="95"/>
      <c r="F128" s="95"/>
    </row>
    <row r="129" spans="2:6" x14ac:dyDescent="0.25">
      <c r="B129" s="112"/>
      <c r="C129" s="95"/>
      <c r="F129" s="95"/>
    </row>
    <row r="130" spans="2:6" x14ac:dyDescent="0.25">
      <c r="B130" s="112"/>
      <c r="C130" s="95"/>
      <c r="F130" s="95"/>
    </row>
    <row r="131" spans="2:6" x14ac:dyDescent="0.25">
      <c r="B131" s="112"/>
      <c r="C131" s="95"/>
      <c r="F131" s="95"/>
    </row>
    <row r="132" spans="2:6" x14ac:dyDescent="0.25">
      <c r="B132" s="112"/>
      <c r="C132" s="95"/>
      <c r="F132" s="95"/>
    </row>
    <row r="133" spans="2:6" x14ac:dyDescent="0.25">
      <c r="B133" s="125"/>
      <c r="C133" s="95"/>
      <c r="F133" s="95"/>
    </row>
    <row r="134" spans="2:6" x14ac:dyDescent="0.25">
      <c r="B134" s="112"/>
      <c r="C134" s="95"/>
      <c r="F134" s="95"/>
    </row>
    <row r="135" spans="2:6" x14ac:dyDescent="0.25">
      <c r="B135" s="112"/>
      <c r="C135" s="95"/>
      <c r="F135" s="95"/>
    </row>
    <row r="136" spans="2:6" x14ac:dyDescent="0.25">
      <c r="B136" s="126"/>
      <c r="C136" s="95"/>
      <c r="F136" s="95"/>
    </row>
    <row r="137" spans="2:6" x14ac:dyDescent="0.25">
      <c r="B137" s="125"/>
      <c r="C137" s="95"/>
      <c r="F137" s="95"/>
    </row>
    <row r="138" spans="2:6" x14ac:dyDescent="0.25">
      <c r="B138" s="112"/>
      <c r="C138" s="95"/>
      <c r="F138" s="95"/>
    </row>
    <row r="139" spans="2:6" x14ac:dyDescent="0.25">
      <c r="B139" s="125"/>
      <c r="C139" s="95"/>
      <c r="F139" s="95"/>
    </row>
    <row r="140" spans="2:6" x14ac:dyDescent="0.25">
      <c r="B140" s="125"/>
      <c r="C140" s="95"/>
      <c r="F140" s="95"/>
    </row>
    <row r="141" spans="2:6" x14ac:dyDescent="0.25">
      <c r="B141" s="112"/>
      <c r="C141" s="95"/>
      <c r="F141" s="95"/>
    </row>
    <row r="142" spans="2:6" x14ac:dyDescent="0.25">
      <c r="B142" s="125"/>
      <c r="C142" s="95"/>
      <c r="F142" s="95"/>
    </row>
    <row r="143" spans="2:6" x14ac:dyDescent="0.25">
      <c r="B143" s="125"/>
      <c r="C143" s="95"/>
      <c r="F143" s="95"/>
    </row>
    <row r="144" spans="2:6" x14ac:dyDescent="0.25">
      <c r="B144" s="112"/>
      <c r="C144" s="95"/>
      <c r="F144" s="95"/>
    </row>
    <row r="145" spans="2:6" x14ac:dyDescent="0.25">
      <c r="B145" s="112"/>
      <c r="C145" s="95"/>
      <c r="F145" s="95"/>
    </row>
    <row r="146" spans="2:6" x14ac:dyDescent="0.25">
      <c r="F146" s="6"/>
    </row>
    <row r="148" spans="2:6" x14ac:dyDescent="0.25">
      <c r="B148" s="112"/>
      <c r="C148" s="95"/>
      <c r="F148" s="95"/>
    </row>
  </sheetData>
  <sortState ref="E3:F145">
    <sortCondition ref="E3:E145"/>
  </sortState>
  <conditionalFormatting sqref="B3:B79">
    <cfRule type="duplicateValues" dxfId="9" priority="9"/>
  </conditionalFormatting>
  <conditionalFormatting sqref="B3:B79">
    <cfRule type="duplicateValues" dxfId="8" priority="10"/>
  </conditionalFormatting>
  <conditionalFormatting sqref="B130:B145">
    <cfRule type="duplicateValues" dxfId="7" priority="7"/>
  </conditionalFormatting>
  <conditionalFormatting sqref="B130:B145">
    <cfRule type="duplicateValues" dxfId="6" priority="8"/>
  </conditionalFormatting>
  <conditionalFormatting sqref="B130">
    <cfRule type="duplicateValues" dxfId="5" priority="5"/>
  </conditionalFormatting>
  <conditionalFormatting sqref="B130">
    <cfRule type="duplicateValues" dxfId="4" priority="6"/>
  </conditionalFormatting>
  <conditionalFormatting sqref="B148">
    <cfRule type="duplicateValues" dxfId="3" priority="3"/>
  </conditionalFormatting>
  <conditionalFormatting sqref="B148">
    <cfRule type="duplicateValues" dxfId="2" priority="4"/>
  </conditionalFormatting>
  <conditionalFormatting sqref="B129">
    <cfRule type="duplicateValues" dxfId="1" priority="1"/>
  </conditionalFormatting>
  <conditionalFormatting sqref="B129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AUG 2024</vt:lpstr>
      <vt:lpstr>SEPTEMBER 2024</vt:lpstr>
      <vt:lpstr>OCTOBER 2024</vt:lpstr>
      <vt:lpstr>NOVEMBER 2024</vt:lpstr>
      <vt:lpstr>DECEMBER 2024</vt:lpstr>
      <vt:lpstr>Sheet1</vt:lpstr>
      <vt:lpstr>Sheet7</vt:lpstr>
      <vt:lpstr>'AUG 2024'!Print_Area</vt:lpstr>
      <vt:lpstr>'DECEMBER 2024'!Print_Area</vt:lpstr>
      <vt:lpstr>'NOVEMBER 2024'!Print_Area</vt:lpstr>
      <vt:lpstr>'OCTOBER 2024'!Print_Area</vt:lpstr>
      <vt:lpstr>'SEPTEMBER 2024'!Print_Area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hp1</dc:creator>
  <cp:lastModifiedBy>OYSG</cp:lastModifiedBy>
  <cp:lastPrinted>2024-04-19T23:30:57Z</cp:lastPrinted>
  <dcterms:created xsi:type="dcterms:W3CDTF">2019-06-07T07:51:23Z</dcterms:created>
  <dcterms:modified xsi:type="dcterms:W3CDTF">2026-02-26T11:11:32Z</dcterms:modified>
</cp:coreProperties>
</file>