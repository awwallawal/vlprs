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75" windowWidth="15600" windowHeight="799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11" i="1"/>
  <c r="P11"/>
  <c r="O11"/>
  <c r="K11"/>
  <c r="J11"/>
  <c r="F11"/>
  <c r="J12" l="1"/>
  <c r="L18"/>
  <c r="K8"/>
  <c r="K9"/>
  <c r="K10"/>
  <c r="K12"/>
  <c r="K13"/>
  <c r="K14"/>
  <c r="K15"/>
  <c r="K16"/>
  <c r="K17"/>
  <c r="K18"/>
  <c r="K19"/>
  <c r="K20"/>
  <c r="K21"/>
  <c r="K22"/>
  <c r="K23"/>
  <c r="K24"/>
  <c r="K25"/>
  <c r="K26"/>
  <c r="K27"/>
  <c r="K28"/>
  <c r="O27"/>
  <c r="P27"/>
  <c r="J27"/>
  <c r="F27"/>
  <c r="I29" l="1"/>
  <c r="H29"/>
  <c r="O28"/>
  <c r="P28"/>
  <c r="J28"/>
  <c r="F28"/>
  <c r="O26" l="1"/>
  <c r="P26"/>
  <c r="J26"/>
  <c r="F26"/>
  <c r="O25"/>
  <c r="P25"/>
  <c r="J25"/>
  <c r="F25"/>
  <c r="O24"/>
  <c r="P24"/>
  <c r="J24"/>
  <c r="F24"/>
  <c r="P23" l="1"/>
  <c r="O23"/>
  <c r="J23"/>
  <c r="F23" l="1"/>
  <c r="P22"/>
  <c r="O22"/>
  <c r="J22"/>
  <c r="F22"/>
  <c r="J9" l="1"/>
  <c r="J10"/>
  <c r="J13"/>
  <c r="J14"/>
  <c r="J15"/>
  <c r="J16"/>
  <c r="J17"/>
  <c r="J18"/>
  <c r="J19"/>
  <c r="J20"/>
  <c r="J21"/>
  <c r="J8"/>
  <c r="J29" l="1"/>
  <c r="O8"/>
  <c r="O9"/>
  <c r="O10"/>
  <c r="O12"/>
  <c r="O13"/>
  <c r="O14"/>
  <c r="O15"/>
  <c r="O16"/>
  <c r="O17"/>
  <c r="O18"/>
  <c r="O19"/>
  <c r="O20"/>
  <c r="O21"/>
  <c r="O29" l="1"/>
  <c r="N21" l="1"/>
  <c r="F20"/>
  <c r="L21" l="1"/>
  <c r="P21"/>
  <c r="P20"/>
  <c r="L20"/>
  <c r="F19"/>
  <c r="F18"/>
  <c r="F17"/>
  <c r="F16"/>
  <c r="F15"/>
  <c r="P19" l="1"/>
  <c r="L19"/>
  <c r="P18"/>
  <c r="P17"/>
  <c r="L17"/>
  <c r="P16"/>
  <c r="L16"/>
  <c r="P15"/>
  <c r="L15"/>
  <c r="K29"/>
  <c r="F14" l="1"/>
  <c r="F13"/>
  <c r="F12"/>
  <c r="F10"/>
  <c r="P14" l="1"/>
  <c r="L14"/>
  <c r="P13"/>
  <c r="L13"/>
  <c r="P12"/>
  <c r="L12"/>
  <c r="P10"/>
  <c r="L10"/>
  <c r="P9"/>
  <c r="L9"/>
  <c r="P8"/>
  <c r="L8"/>
  <c r="F9"/>
  <c r="F8"/>
  <c r="P29" l="1"/>
  <c r="L29"/>
</calcChain>
</file>

<file path=xl/sharedStrings.xml><?xml version="1.0" encoding="utf-8"?>
<sst xmlns="http://schemas.openxmlformats.org/spreadsheetml/2006/main" count="77" uniqueCount="48">
  <si>
    <t>NAME</t>
  </si>
  <si>
    <t>PRINCIPAL</t>
  </si>
  <si>
    <t>INTEREST</t>
  </si>
  <si>
    <t>TOTAL LOAN</t>
  </si>
  <si>
    <t xml:space="preserve">OUSTANDING </t>
  </si>
  <si>
    <t>BAL</t>
  </si>
  <si>
    <t xml:space="preserve">TOTAL LOAN </t>
  </si>
  <si>
    <t>PAID</t>
  </si>
  <si>
    <t>REMARK</t>
  </si>
  <si>
    <t xml:space="preserve">NO OF </t>
  </si>
  <si>
    <t xml:space="preserve">                TOTAL</t>
  </si>
  <si>
    <t>INSTALL</t>
  </si>
  <si>
    <t>MENT</t>
  </si>
  <si>
    <t>S/N</t>
  </si>
  <si>
    <t xml:space="preserve">INTEREST ACCORDING </t>
  </si>
  <si>
    <t>TO INSTALLMENT</t>
  </si>
  <si>
    <t xml:space="preserve">MONTHLY </t>
  </si>
  <si>
    <t>TOTAL</t>
  </si>
  <si>
    <t xml:space="preserve">INTEREST </t>
  </si>
  <si>
    <t>NO OF INSTALL</t>
  </si>
  <si>
    <t>LPC IN/OUT</t>
  </si>
  <si>
    <t>MDAS</t>
  </si>
  <si>
    <t>SPORTS COUNCIL</t>
  </si>
  <si>
    <t>Oladunjoye Christianah Abosede</t>
  </si>
  <si>
    <t>Inaolaji Ademola Samson</t>
  </si>
  <si>
    <t>Mustapha Kudirat Adeola</t>
  </si>
  <si>
    <t>Sijuola Moses Abiola</t>
  </si>
  <si>
    <t>Raji Fatai Adebayo</t>
  </si>
  <si>
    <t>Ojelowo Kehinde Adebayo</t>
  </si>
  <si>
    <t>Popoola Elizabeth Abiola</t>
  </si>
  <si>
    <t>`</t>
  </si>
  <si>
    <t>OYO STATE SPORTS COUNCIL</t>
  </si>
  <si>
    <t>Oyelakin Oluwakemi Christiana</t>
  </si>
  <si>
    <t>Olagunju Olayinka Nurat</t>
  </si>
  <si>
    <t>Ajokotola Ajibola</t>
  </si>
  <si>
    <t>Adeniji Abosede O</t>
  </si>
  <si>
    <t>Adeleye Olusola Oke</t>
  </si>
  <si>
    <t>Ajibike Julius Babatunde</t>
  </si>
  <si>
    <t>Ajala Oludare Emmanuel</t>
  </si>
  <si>
    <t>DEDUCTION</t>
  </si>
  <si>
    <t>Adeyinka Olotu Risikat</t>
  </si>
  <si>
    <t>Abifarin Nathaniel Oyewole</t>
  </si>
  <si>
    <t>Badmus Fathimat Gboyinde</t>
  </si>
  <si>
    <t>Ajuwon Joseph Adeagbo</t>
  </si>
  <si>
    <t>Sanbe Abdulahi Okeowo</t>
  </si>
  <si>
    <t>Ojekunle Solomon Abiodun</t>
  </si>
  <si>
    <t>Oladeji Moshhod Oladewa</t>
  </si>
  <si>
    <t>APRIL,2025 TEMPLATE FOR CAR LOAN</t>
  </si>
</sst>
</file>

<file path=xl/styles.xml><?xml version="1.0" encoding="utf-8"?>
<styleSheet xmlns="http://schemas.openxmlformats.org/spreadsheetml/2006/main">
  <numFmts count="1">
    <numFmt numFmtId="164" formatCode="#,##0.000"/>
  </numFmts>
  <fonts count="12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/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Fill="1" applyBorder="1" applyAlignment="1">
      <alignment horizontal="center"/>
    </xf>
    <xf numFmtId="0" fontId="7" fillId="0" borderId="1" xfId="0" applyFont="1" applyBorder="1"/>
    <xf numFmtId="3" fontId="2" fillId="0" borderId="1" xfId="0" applyNumberFormat="1" applyFont="1" applyBorder="1" applyAlignment="1">
      <alignment horizontal="center"/>
    </xf>
    <xf numFmtId="3" fontId="3" fillId="2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8" fillId="0" borderId="1" xfId="0" applyFont="1" applyBorder="1"/>
    <xf numFmtId="4" fontId="5" fillId="0" borderId="1" xfId="0" applyNumberFormat="1" applyFont="1" applyBorder="1"/>
    <xf numFmtId="39" fontId="0" fillId="0" borderId="1" xfId="0" applyNumberFormat="1" applyBorder="1"/>
    <xf numFmtId="39" fontId="9" fillId="0" borderId="1" xfId="0" applyNumberFormat="1" applyFont="1" applyBorder="1"/>
    <xf numFmtId="164" fontId="9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11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cols>
    <col min="2" max="2" width="17.28515625" customWidth="1"/>
    <col min="3" max="3" width="40.5703125" customWidth="1"/>
    <col min="4" max="4" width="14.42578125" customWidth="1"/>
    <col min="5" max="5" width="25.42578125" customWidth="1"/>
    <col min="6" max="6" width="16.7109375" customWidth="1"/>
    <col min="7" max="7" width="11.85546875" customWidth="1"/>
    <col min="8" max="9" width="16.7109375" customWidth="1"/>
    <col min="10" max="10" width="15.28515625" customWidth="1"/>
    <col min="11" max="11" width="16.140625" customWidth="1"/>
    <col min="12" max="12" width="16.85546875" customWidth="1"/>
    <col min="13" max="13" width="16" customWidth="1"/>
    <col min="14" max="14" width="16.28515625" customWidth="1"/>
    <col min="15" max="15" width="17.7109375" customWidth="1"/>
    <col min="16" max="16" width="16" customWidth="1"/>
    <col min="17" max="17" width="18.7109375" customWidth="1"/>
    <col min="18" max="18" width="13.5703125" customWidth="1"/>
    <col min="19" max="19" width="11.5703125" customWidth="1"/>
  </cols>
  <sheetData>
    <row r="1" spans="1:17">
      <c r="H1" s="26"/>
    </row>
    <row r="2" spans="1:17" ht="23.25">
      <c r="A2" t="s">
        <v>30</v>
      </c>
      <c r="E2" s="25" t="s">
        <v>31</v>
      </c>
    </row>
    <row r="3" spans="1:17" ht="21">
      <c r="E3" s="24" t="s">
        <v>47</v>
      </c>
      <c r="F3" s="9"/>
    </row>
    <row r="4" spans="1:17" ht="36" customHeight="1"/>
    <row r="5" spans="1:17" ht="18.75">
      <c r="A5" s="8" t="s">
        <v>13</v>
      </c>
      <c r="B5" s="8" t="s">
        <v>21</v>
      </c>
      <c r="C5" s="8" t="s">
        <v>0</v>
      </c>
      <c r="D5" s="8" t="s">
        <v>1</v>
      </c>
      <c r="E5" s="8" t="s">
        <v>14</v>
      </c>
      <c r="F5" s="8" t="s">
        <v>3</v>
      </c>
      <c r="G5" s="8" t="s">
        <v>9</v>
      </c>
      <c r="H5" s="12" t="s">
        <v>16</v>
      </c>
      <c r="I5" s="12" t="s">
        <v>16</v>
      </c>
      <c r="J5" s="12" t="s">
        <v>16</v>
      </c>
      <c r="K5" s="12" t="s">
        <v>17</v>
      </c>
      <c r="L5" s="8" t="s">
        <v>4</v>
      </c>
      <c r="M5" s="8" t="s">
        <v>19</v>
      </c>
      <c r="N5" s="8" t="s">
        <v>19</v>
      </c>
      <c r="O5" s="8" t="s">
        <v>6</v>
      </c>
      <c r="P5" s="8" t="s">
        <v>4</v>
      </c>
      <c r="Q5" s="8" t="s">
        <v>8</v>
      </c>
    </row>
    <row r="6" spans="1:17" ht="18.75">
      <c r="A6" s="13"/>
      <c r="B6" s="13"/>
      <c r="C6" s="8"/>
      <c r="D6" s="8"/>
      <c r="E6" s="8" t="s">
        <v>15</v>
      </c>
      <c r="F6" s="8"/>
      <c r="G6" s="8" t="s">
        <v>11</v>
      </c>
      <c r="H6" s="11" t="s">
        <v>2</v>
      </c>
      <c r="I6" s="11" t="s">
        <v>39</v>
      </c>
      <c r="J6" s="12" t="s">
        <v>1</v>
      </c>
      <c r="K6" s="12" t="s">
        <v>18</v>
      </c>
      <c r="L6" s="12" t="s">
        <v>18</v>
      </c>
      <c r="M6" s="8" t="s">
        <v>7</v>
      </c>
      <c r="N6" s="8" t="s">
        <v>4</v>
      </c>
      <c r="O6" s="8" t="s">
        <v>7</v>
      </c>
      <c r="P6" s="8" t="s">
        <v>5</v>
      </c>
      <c r="Q6" s="8" t="s">
        <v>20</v>
      </c>
    </row>
    <row r="7" spans="1:17" ht="18.75">
      <c r="A7" s="7"/>
      <c r="B7" s="7"/>
      <c r="C7" s="8"/>
      <c r="D7" s="8"/>
      <c r="E7" s="8"/>
      <c r="F7" s="8"/>
      <c r="G7" s="8" t="s">
        <v>12</v>
      </c>
      <c r="H7" s="7"/>
      <c r="I7" s="7"/>
      <c r="J7" s="7"/>
      <c r="K7" s="8" t="s">
        <v>7</v>
      </c>
      <c r="L7" s="7"/>
      <c r="M7" s="8"/>
      <c r="O7" s="8"/>
      <c r="P7" s="8"/>
      <c r="Q7" s="8"/>
    </row>
    <row r="8" spans="1:17" ht="21">
      <c r="A8" s="16">
        <v>1</v>
      </c>
      <c r="B8" s="17" t="s">
        <v>22</v>
      </c>
      <c r="C8" s="6" t="s">
        <v>23</v>
      </c>
      <c r="D8" s="15">
        <v>250000</v>
      </c>
      <c r="E8" s="3">
        <v>33325</v>
      </c>
      <c r="F8" s="3">
        <f t="shared" ref="F8:F10" si="0">SUM(D8:E8)</f>
        <v>283325</v>
      </c>
      <c r="G8" s="4">
        <v>60</v>
      </c>
      <c r="H8" s="2">
        <v>555.41</v>
      </c>
      <c r="I8" s="2">
        <v>4722.08</v>
      </c>
      <c r="J8" s="1">
        <f>SUM(I8-H8)</f>
        <v>4166.67</v>
      </c>
      <c r="K8" s="20">
        <f t="shared" ref="K8:K28" si="1">SUM(H8*M8)</f>
        <v>32769.189999999995</v>
      </c>
      <c r="L8" s="21">
        <f t="shared" ref="L8:L21" si="2">SUM(H8*N8)</f>
        <v>555.41</v>
      </c>
      <c r="M8" s="5">
        <v>59</v>
      </c>
      <c r="N8" s="4">
        <v>1</v>
      </c>
      <c r="O8" s="1">
        <f t="shared" ref="O8:O27" si="3">SUM(I8*M8)</f>
        <v>278602.71999999997</v>
      </c>
      <c r="P8" s="1">
        <f t="shared" ref="P8:P27" si="4">SUM(I8*N8)</f>
        <v>4722.08</v>
      </c>
      <c r="Q8" s="6"/>
    </row>
    <row r="9" spans="1:17" ht="21">
      <c r="A9" s="16">
        <v>2</v>
      </c>
      <c r="B9" s="17" t="s">
        <v>22</v>
      </c>
      <c r="C9" s="6" t="s">
        <v>24</v>
      </c>
      <c r="D9" s="15">
        <v>250000</v>
      </c>
      <c r="E9" s="3">
        <v>33325</v>
      </c>
      <c r="F9" s="3">
        <f t="shared" si="0"/>
        <v>283325</v>
      </c>
      <c r="G9" s="4">
        <v>60</v>
      </c>
      <c r="H9" s="2">
        <v>555.41</v>
      </c>
      <c r="I9" s="2">
        <v>4722.08</v>
      </c>
      <c r="J9" s="1">
        <f t="shared" ref="J9:J27" si="5">SUM(I9-H9)</f>
        <v>4166.67</v>
      </c>
      <c r="K9" s="20">
        <f t="shared" si="1"/>
        <v>32769.189999999995</v>
      </c>
      <c r="L9" s="21">
        <f t="shared" si="2"/>
        <v>555.41</v>
      </c>
      <c r="M9" s="5">
        <v>59</v>
      </c>
      <c r="N9" s="4">
        <v>1</v>
      </c>
      <c r="O9" s="1">
        <f t="shared" si="3"/>
        <v>278602.71999999997</v>
      </c>
      <c r="P9" s="1">
        <f t="shared" si="4"/>
        <v>4722.08</v>
      </c>
      <c r="Q9" s="6"/>
    </row>
    <row r="10" spans="1:17" ht="21">
      <c r="A10" s="16">
        <v>3</v>
      </c>
      <c r="B10" s="17" t="s">
        <v>22</v>
      </c>
      <c r="C10" s="6" t="s">
        <v>25</v>
      </c>
      <c r="D10" s="15">
        <v>750000</v>
      </c>
      <c r="E10" s="3">
        <v>99975</v>
      </c>
      <c r="F10" s="3">
        <f t="shared" si="0"/>
        <v>849975</v>
      </c>
      <c r="G10" s="4">
        <v>60</v>
      </c>
      <c r="H10" s="2">
        <v>1666.25</v>
      </c>
      <c r="I10" s="2">
        <v>14166.25</v>
      </c>
      <c r="J10" s="1">
        <f t="shared" si="5"/>
        <v>12500</v>
      </c>
      <c r="K10" s="20">
        <f t="shared" si="1"/>
        <v>94976.25</v>
      </c>
      <c r="L10" s="21">
        <f t="shared" si="2"/>
        <v>4998.75</v>
      </c>
      <c r="M10" s="5">
        <v>57</v>
      </c>
      <c r="N10" s="4">
        <v>3</v>
      </c>
      <c r="O10" s="1">
        <f t="shared" si="3"/>
        <v>807476.25</v>
      </c>
      <c r="P10" s="1">
        <f t="shared" si="4"/>
        <v>42498.75</v>
      </c>
      <c r="Q10" s="6"/>
    </row>
    <row r="11" spans="1:17" ht="21">
      <c r="A11" s="16">
        <v>4</v>
      </c>
      <c r="B11" s="17" t="s">
        <v>22</v>
      </c>
      <c r="C11" s="6" t="s">
        <v>26</v>
      </c>
      <c r="D11" s="15">
        <v>750000</v>
      </c>
      <c r="E11" s="3">
        <v>99975</v>
      </c>
      <c r="F11" s="3">
        <f t="shared" ref="F11" si="6">SUM(D11:E11)</f>
        <v>849975</v>
      </c>
      <c r="G11" s="4">
        <v>60</v>
      </c>
      <c r="H11" s="2">
        <v>1666.25</v>
      </c>
      <c r="I11" s="2">
        <v>14166.25</v>
      </c>
      <c r="J11" s="1">
        <f t="shared" ref="J11" si="7">SUM(I11-H11)</f>
        <v>12500</v>
      </c>
      <c r="K11" s="20">
        <f t="shared" ref="K11" si="8">SUM(H11*M11)</f>
        <v>86645</v>
      </c>
      <c r="L11" s="21">
        <f t="shared" ref="L11" si="9">SUM(H11*N11)</f>
        <v>13330</v>
      </c>
      <c r="M11" s="5">
        <v>52</v>
      </c>
      <c r="N11" s="4">
        <v>8</v>
      </c>
      <c r="O11" s="1">
        <f t="shared" ref="O11" si="10">SUM(I11*M11)</f>
        <v>736645</v>
      </c>
      <c r="P11" s="1">
        <f t="shared" ref="P11" si="11">SUM(I11*N11)</f>
        <v>113330</v>
      </c>
      <c r="Q11" s="6"/>
    </row>
    <row r="12" spans="1:17" ht="21">
      <c r="A12" s="16">
        <v>5</v>
      </c>
      <c r="B12" s="17" t="s">
        <v>22</v>
      </c>
      <c r="C12" s="6" t="s">
        <v>27</v>
      </c>
      <c r="D12" s="15">
        <v>750000</v>
      </c>
      <c r="E12" s="3">
        <v>99975</v>
      </c>
      <c r="F12" s="3">
        <f t="shared" ref="F12:F13" si="12">SUM(D12:E12)</f>
        <v>849975</v>
      </c>
      <c r="G12" s="4">
        <v>60</v>
      </c>
      <c r="H12" s="2">
        <v>1666.25</v>
      </c>
      <c r="I12" s="2">
        <v>14166.25</v>
      </c>
      <c r="J12" s="1">
        <f t="shared" si="5"/>
        <v>12500</v>
      </c>
      <c r="K12" s="20">
        <f t="shared" si="1"/>
        <v>86645</v>
      </c>
      <c r="L12" s="21">
        <f t="shared" si="2"/>
        <v>13330</v>
      </c>
      <c r="M12" s="5">
        <v>52</v>
      </c>
      <c r="N12" s="4">
        <v>8</v>
      </c>
      <c r="O12" s="1">
        <f t="shared" si="3"/>
        <v>736645</v>
      </c>
      <c r="P12" s="1">
        <f t="shared" si="4"/>
        <v>113330</v>
      </c>
      <c r="Q12" s="6"/>
    </row>
    <row r="13" spans="1:17" ht="21">
      <c r="A13" s="16">
        <v>6</v>
      </c>
      <c r="B13" s="17" t="s">
        <v>22</v>
      </c>
      <c r="C13" s="6" t="s">
        <v>28</v>
      </c>
      <c r="D13" s="15">
        <v>750000</v>
      </c>
      <c r="E13" s="3">
        <v>99975</v>
      </c>
      <c r="F13" s="3">
        <f t="shared" si="12"/>
        <v>849975</v>
      </c>
      <c r="G13" s="4">
        <v>60</v>
      </c>
      <c r="H13" s="2">
        <v>1666.25</v>
      </c>
      <c r="I13" s="2">
        <v>14166.25</v>
      </c>
      <c r="J13" s="1">
        <f t="shared" si="5"/>
        <v>12500</v>
      </c>
      <c r="K13" s="20">
        <f t="shared" si="1"/>
        <v>86645</v>
      </c>
      <c r="L13" s="21">
        <f t="shared" si="2"/>
        <v>13330</v>
      </c>
      <c r="M13" s="5">
        <v>52</v>
      </c>
      <c r="N13" s="4">
        <v>8</v>
      </c>
      <c r="O13" s="1">
        <f t="shared" si="3"/>
        <v>736645</v>
      </c>
      <c r="P13" s="1">
        <f t="shared" si="4"/>
        <v>113330</v>
      </c>
      <c r="Q13" s="6"/>
    </row>
    <row r="14" spans="1:17" ht="21">
      <c r="A14" s="16">
        <v>7</v>
      </c>
      <c r="B14" s="17" t="s">
        <v>22</v>
      </c>
      <c r="C14" s="6" t="s">
        <v>29</v>
      </c>
      <c r="D14" s="15">
        <v>250000</v>
      </c>
      <c r="E14" s="3">
        <v>33325</v>
      </c>
      <c r="F14" s="3">
        <f t="shared" ref="F14" si="13">SUM(D14:E14)</f>
        <v>283325</v>
      </c>
      <c r="G14" s="4">
        <v>60</v>
      </c>
      <c r="H14" s="2">
        <v>555.41</v>
      </c>
      <c r="I14" s="2">
        <v>4722.08</v>
      </c>
      <c r="J14" s="1">
        <f t="shared" si="5"/>
        <v>4166.67</v>
      </c>
      <c r="K14" s="20">
        <f t="shared" si="1"/>
        <v>28881.32</v>
      </c>
      <c r="L14" s="21">
        <f t="shared" si="2"/>
        <v>4443.28</v>
      </c>
      <c r="M14" s="5">
        <v>52</v>
      </c>
      <c r="N14" s="4">
        <v>8</v>
      </c>
      <c r="O14" s="1">
        <f t="shared" si="3"/>
        <v>245548.16</v>
      </c>
      <c r="P14" s="1">
        <f t="shared" si="4"/>
        <v>37776.639999999999</v>
      </c>
      <c r="Q14" s="6"/>
    </row>
    <row r="15" spans="1:17" ht="21">
      <c r="A15" s="16">
        <v>8</v>
      </c>
      <c r="B15" s="17" t="s">
        <v>22</v>
      </c>
      <c r="C15" s="6" t="s">
        <v>32</v>
      </c>
      <c r="D15" s="15">
        <v>450000</v>
      </c>
      <c r="E15" s="3">
        <v>49987.5</v>
      </c>
      <c r="F15" s="3">
        <f t="shared" ref="F15:F18" si="14">SUM(D15:E15)</f>
        <v>499987.5</v>
      </c>
      <c r="G15" s="4">
        <v>50</v>
      </c>
      <c r="H15" s="2">
        <v>999.75</v>
      </c>
      <c r="I15" s="2">
        <v>9999.75</v>
      </c>
      <c r="J15" s="1">
        <f t="shared" si="5"/>
        <v>9000</v>
      </c>
      <c r="K15" s="20">
        <f t="shared" si="1"/>
        <v>44988.75</v>
      </c>
      <c r="L15" s="21">
        <f t="shared" si="2"/>
        <v>4998.75</v>
      </c>
      <c r="M15" s="5">
        <v>45</v>
      </c>
      <c r="N15" s="4">
        <v>5</v>
      </c>
      <c r="O15" s="1">
        <f t="shared" si="3"/>
        <v>449988.75</v>
      </c>
      <c r="P15" s="1">
        <f t="shared" si="4"/>
        <v>49998.75</v>
      </c>
      <c r="Q15" s="6"/>
    </row>
    <row r="16" spans="1:17" ht="21">
      <c r="A16" s="16">
        <v>9</v>
      </c>
      <c r="B16" s="17" t="s">
        <v>22</v>
      </c>
      <c r="C16" s="6" t="s">
        <v>33</v>
      </c>
      <c r="D16" s="15">
        <v>450000</v>
      </c>
      <c r="E16" s="3">
        <v>59985</v>
      </c>
      <c r="F16" s="3">
        <f t="shared" si="14"/>
        <v>509985</v>
      </c>
      <c r="G16" s="4">
        <v>60</v>
      </c>
      <c r="H16" s="2">
        <v>999.75</v>
      </c>
      <c r="I16" s="2">
        <v>8499.75</v>
      </c>
      <c r="J16" s="1">
        <f t="shared" si="5"/>
        <v>7500</v>
      </c>
      <c r="K16" s="20">
        <f t="shared" si="1"/>
        <v>44988.75</v>
      </c>
      <c r="L16" s="21">
        <f t="shared" si="2"/>
        <v>14996.25</v>
      </c>
      <c r="M16" s="5">
        <v>45</v>
      </c>
      <c r="N16" s="4">
        <v>15</v>
      </c>
      <c r="O16" s="1">
        <f t="shared" si="3"/>
        <v>382488.75</v>
      </c>
      <c r="P16" s="1">
        <f t="shared" si="4"/>
        <v>127496.25</v>
      </c>
      <c r="Q16" s="6"/>
    </row>
    <row r="17" spans="1:18" ht="21">
      <c r="A17" s="16">
        <v>10</v>
      </c>
      <c r="B17" s="17" t="s">
        <v>22</v>
      </c>
      <c r="C17" s="6" t="s">
        <v>34</v>
      </c>
      <c r="D17" s="15">
        <v>250000</v>
      </c>
      <c r="E17" s="3">
        <v>33325</v>
      </c>
      <c r="F17" s="3">
        <f t="shared" si="14"/>
        <v>283325</v>
      </c>
      <c r="G17" s="4">
        <v>60</v>
      </c>
      <c r="H17" s="2">
        <v>555.41</v>
      </c>
      <c r="I17" s="2">
        <v>4722.09</v>
      </c>
      <c r="J17" s="1">
        <f t="shared" si="5"/>
        <v>4166.68</v>
      </c>
      <c r="K17" s="20">
        <f t="shared" si="1"/>
        <v>24993.449999999997</v>
      </c>
      <c r="L17" s="21">
        <f t="shared" si="2"/>
        <v>8331.15</v>
      </c>
      <c r="M17" s="5">
        <v>45</v>
      </c>
      <c r="N17" s="4">
        <v>15</v>
      </c>
      <c r="O17" s="1">
        <f t="shared" si="3"/>
        <v>212494.05000000002</v>
      </c>
      <c r="P17" s="1">
        <f t="shared" si="4"/>
        <v>70831.350000000006</v>
      </c>
      <c r="Q17" s="6"/>
    </row>
    <row r="18" spans="1:18" ht="21">
      <c r="A18" s="16">
        <v>11</v>
      </c>
      <c r="B18" s="17" t="s">
        <v>22</v>
      </c>
      <c r="C18" s="6" t="s">
        <v>35</v>
      </c>
      <c r="D18" s="15">
        <v>250000</v>
      </c>
      <c r="E18" s="3">
        <v>33325</v>
      </c>
      <c r="F18" s="3">
        <f t="shared" si="14"/>
        <v>283325</v>
      </c>
      <c r="G18" s="4">
        <v>60</v>
      </c>
      <c r="H18" s="2">
        <v>555.41</v>
      </c>
      <c r="I18" s="2">
        <v>4722.09</v>
      </c>
      <c r="J18" s="1">
        <f t="shared" si="5"/>
        <v>4166.68</v>
      </c>
      <c r="K18" s="20">
        <f t="shared" si="1"/>
        <v>24993.449999999997</v>
      </c>
      <c r="L18" s="21">
        <f t="shared" si="2"/>
        <v>8331.15</v>
      </c>
      <c r="M18" s="5">
        <v>45</v>
      </c>
      <c r="N18" s="4">
        <v>15</v>
      </c>
      <c r="O18" s="1">
        <f t="shared" si="3"/>
        <v>212494.05000000002</v>
      </c>
      <c r="P18" s="1">
        <f t="shared" si="4"/>
        <v>70831.350000000006</v>
      </c>
      <c r="Q18" s="6"/>
    </row>
    <row r="19" spans="1:18" ht="24" customHeight="1">
      <c r="A19" s="16">
        <v>12</v>
      </c>
      <c r="B19" s="17" t="s">
        <v>22</v>
      </c>
      <c r="C19" s="6" t="s">
        <v>36</v>
      </c>
      <c r="D19" s="15">
        <v>450000</v>
      </c>
      <c r="E19" s="3">
        <v>59985</v>
      </c>
      <c r="F19" s="3">
        <f t="shared" ref="F19:F20" si="15">SUM(D19:E19)</f>
        <v>509985</v>
      </c>
      <c r="G19" s="4">
        <v>60</v>
      </c>
      <c r="H19" s="2">
        <v>999.75</v>
      </c>
      <c r="I19" s="2">
        <v>8499.75</v>
      </c>
      <c r="J19" s="1">
        <f t="shared" si="5"/>
        <v>7500</v>
      </c>
      <c r="K19" s="20">
        <f t="shared" si="1"/>
        <v>41989.5</v>
      </c>
      <c r="L19" s="21">
        <f t="shared" si="2"/>
        <v>17995.5</v>
      </c>
      <c r="M19" s="5">
        <v>42</v>
      </c>
      <c r="N19" s="4">
        <v>18</v>
      </c>
      <c r="O19" s="1">
        <f t="shared" si="3"/>
        <v>356989.5</v>
      </c>
      <c r="P19" s="1">
        <f t="shared" si="4"/>
        <v>152995.5</v>
      </c>
      <c r="Q19" s="6"/>
    </row>
    <row r="20" spans="1:18" ht="26.25" customHeight="1">
      <c r="A20" s="16">
        <v>13</v>
      </c>
      <c r="B20" s="17" t="s">
        <v>22</v>
      </c>
      <c r="C20" s="6" t="s">
        <v>37</v>
      </c>
      <c r="D20" s="15">
        <v>750000</v>
      </c>
      <c r="E20" s="3">
        <v>99975</v>
      </c>
      <c r="F20" s="3">
        <f t="shared" si="15"/>
        <v>849975</v>
      </c>
      <c r="G20" s="4">
        <v>60</v>
      </c>
      <c r="H20" s="2">
        <v>1666.25</v>
      </c>
      <c r="I20" s="2">
        <v>14166.25</v>
      </c>
      <c r="J20" s="1">
        <f t="shared" si="5"/>
        <v>12500</v>
      </c>
      <c r="K20" s="20">
        <f t="shared" si="1"/>
        <v>69982.5</v>
      </c>
      <c r="L20" s="21">
        <f t="shared" si="2"/>
        <v>29992.5</v>
      </c>
      <c r="M20" s="5">
        <v>42</v>
      </c>
      <c r="N20" s="4">
        <v>18</v>
      </c>
      <c r="O20" s="1">
        <f t="shared" si="3"/>
        <v>594982.5</v>
      </c>
      <c r="P20" s="1">
        <f t="shared" si="4"/>
        <v>254992.5</v>
      </c>
      <c r="Q20" s="6"/>
    </row>
    <row r="21" spans="1:18" ht="41.25" hidden="1" customHeight="1">
      <c r="A21" s="16">
        <v>14</v>
      </c>
      <c r="B21" s="17" t="s">
        <v>22</v>
      </c>
      <c r="C21" s="6" t="s">
        <v>38</v>
      </c>
      <c r="D21" s="14">
        <v>450000</v>
      </c>
      <c r="E21" s="3">
        <v>59985</v>
      </c>
      <c r="F21" s="3">
        <v>509985</v>
      </c>
      <c r="G21" s="4">
        <v>50</v>
      </c>
      <c r="H21" s="2">
        <v>1199.7</v>
      </c>
      <c r="I21" s="2"/>
      <c r="J21" s="1">
        <f t="shared" si="5"/>
        <v>-1199.7</v>
      </c>
      <c r="K21" s="20">
        <f t="shared" si="1"/>
        <v>55186.200000000004</v>
      </c>
      <c r="L21" s="21">
        <f t="shared" si="2"/>
        <v>4798.8</v>
      </c>
      <c r="M21" s="5">
        <v>46</v>
      </c>
      <c r="N21" s="4">
        <f t="shared" ref="N21" si="16">SUM(G21-M21)</f>
        <v>4</v>
      </c>
      <c r="O21" s="1">
        <f t="shared" si="3"/>
        <v>0</v>
      </c>
      <c r="P21" s="1">
        <f t="shared" si="4"/>
        <v>0</v>
      </c>
      <c r="Q21" s="6"/>
    </row>
    <row r="22" spans="1:18" ht="41.25" customHeight="1">
      <c r="A22" s="16">
        <v>15</v>
      </c>
      <c r="B22" s="17" t="s">
        <v>22</v>
      </c>
      <c r="C22" s="6" t="s">
        <v>40</v>
      </c>
      <c r="D22" s="15">
        <v>750000</v>
      </c>
      <c r="E22" s="3">
        <v>83312.5</v>
      </c>
      <c r="F22" s="3">
        <f>SUM(D22:E22)</f>
        <v>833312.5</v>
      </c>
      <c r="G22" s="4">
        <v>50</v>
      </c>
      <c r="H22" s="2">
        <v>1666.25</v>
      </c>
      <c r="I22" s="2">
        <v>16666.25</v>
      </c>
      <c r="J22" s="1">
        <f t="shared" si="5"/>
        <v>15000</v>
      </c>
      <c r="K22" s="20">
        <f t="shared" si="1"/>
        <v>29992.5</v>
      </c>
      <c r="L22" s="21">
        <v>1666.25</v>
      </c>
      <c r="M22" s="5">
        <v>18</v>
      </c>
      <c r="N22" s="4">
        <v>32</v>
      </c>
      <c r="O22" s="1">
        <f t="shared" si="3"/>
        <v>299992.5</v>
      </c>
      <c r="P22" s="1">
        <f t="shared" si="4"/>
        <v>533320</v>
      </c>
      <c r="Q22" s="6"/>
    </row>
    <row r="23" spans="1:18" ht="41.25" customHeight="1">
      <c r="A23" s="16">
        <v>16</v>
      </c>
      <c r="B23" s="17" t="s">
        <v>22</v>
      </c>
      <c r="C23" s="6" t="s">
        <v>41</v>
      </c>
      <c r="D23" s="15">
        <v>250000</v>
      </c>
      <c r="E23" s="3">
        <v>33325</v>
      </c>
      <c r="F23" s="3">
        <f>SUM(D23:E23)</f>
        <v>283325</v>
      </c>
      <c r="G23" s="4">
        <v>60</v>
      </c>
      <c r="H23" s="2">
        <v>555.41</v>
      </c>
      <c r="I23" s="2">
        <v>4722.08</v>
      </c>
      <c r="J23" s="1">
        <f t="shared" si="5"/>
        <v>4166.67</v>
      </c>
      <c r="K23" s="20">
        <f t="shared" si="1"/>
        <v>9997.3799999999992</v>
      </c>
      <c r="L23" s="21">
        <v>555.41</v>
      </c>
      <c r="M23" s="5">
        <v>18</v>
      </c>
      <c r="N23" s="4">
        <v>42</v>
      </c>
      <c r="O23" s="1">
        <f t="shared" si="3"/>
        <v>84997.440000000002</v>
      </c>
      <c r="P23" s="1">
        <f t="shared" si="4"/>
        <v>198327.36</v>
      </c>
      <c r="Q23" s="6"/>
    </row>
    <row r="24" spans="1:18" ht="41.25" customHeight="1">
      <c r="A24" s="16">
        <v>17</v>
      </c>
      <c r="B24" s="17" t="s">
        <v>22</v>
      </c>
      <c r="C24" s="6" t="s">
        <v>42</v>
      </c>
      <c r="D24" s="15">
        <v>750000</v>
      </c>
      <c r="E24" s="3">
        <v>49980</v>
      </c>
      <c r="F24" s="3">
        <f t="shared" ref="F24:F27" si="17">SUM(D24:E24)</f>
        <v>799980</v>
      </c>
      <c r="G24" s="4">
        <v>48</v>
      </c>
      <c r="H24" s="2">
        <v>1041.25</v>
      </c>
      <c r="I24" s="2">
        <v>16666.25</v>
      </c>
      <c r="J24" s="1">
        <f t="shared" si="5"/>
        <v>15625</v>
      </c>
      <c r="K24" s="20">
        <f t="shared" si="1"/>
        <v>11453.75</v>
      </c>
      <c r="L24" s="21">
        <v>48938.75</v>
      </c>
      <c r="M24" s="5">
        <v>11</v>
      </c>
      <c r="N24" s="4">
        <v>37</v>
      </c>
      <c r="O24" s="1">
        <f t="shared" si="3"/>
        <v>183328.75</v>
      </c>
      <c r="P24" s="1">
        <f t="shared" si="4"/>
        <v>616651.25</v>
      </c>
      <c r="Q24" s="6"/>
    </row>
    <row r="25" spans="1:18" ht="41.25" customHeight="1">
      <c r="A25" s="16">
        <v>18</v>
      </c>
      <c r="B25" s="17" t="s">
        <v>22</v>
      </c>
      <c r="C25" s="6" t="s">
        <v>43</v>
      </c>
      <c r="D25" s="15">
        <v>600000</v>
      </c>
      <c r="E25" s="3">
        <v>79980</v>
      </c>
      <c r="F25" s="3">
        <f t="shared" si="17"/>
        <v>679980</v>
      </c>
      <c r="G25" s="4">
        <v>60</v>
      </c>
      <c r="H25" s="2">
        <v>1333</v>
      </c>
      <c r="I25" s="2">
        <v>11333</v>
      </c>
      <c r="J25" s="1">
        <f t="shared" si="5"/>
        <v>10000</v>
      </c>
      <c r="K25" s="20">
        <f t="shared" si="1"/>
        <v>14663</v>
      </c>
      <c r="L25" s="21">
        <v>78647</v>
      </c>
      <c r="M25" s="5">
        <v>11</v>
      </c>
      <c r="N25" s="4">
        <v>49</v>
      </c>
      <c r="O25" s="1">
        <f t="shared" si="3"/>
        <v>124663</v>
      </c>
      <c r="P25" s="1">
        <f t="shared" si="4"/>
        <v>555317</v>
      </c>
      <c r="Q25" s="6"/>
    </row>
    <row r="26" spans="1:18" ht="41.25" customHeight="1">
      <c r="A26" s="16">
        <v>19</v>
      </c>
      <c r="B26" s="17" t="s">
        <v>22</v>
      </c>
      <c r="C26" s="6" t="s">
        <v>44</v>
      </c>
      <c r="D26" s="15">
        <v>750000</v>
      </c>
      <c r="E26" s="3">
        <v>66650</v>
      </c>
      <c r="F26" s="3">
        <f t="shared" si="17"/>
        <v>816650</v>
      </c>
      <c r="G26" s="4">
        <v>60</v>
      </c>
      <c r="H26" s="2">
        <v>1666.25</v>
      </c>
      <c r="I26" s="2">
        <v>14166.25</v>
      </c>
      <c r="J26" s="1">
        <f t="shared" si="5"/>
        <v>12500</v>
      </c>
      <c r="K26" s="20">
        <f t="shared" si="1"/>
        <v>59985</v>
      </c>
      <c r="L26" s="21">
        <v>56652.5</v>
      </c>
      <c r="M26" s="5">
        <v>36</v>
      </c>
      <c r="N26" s="4">
        <v>24</v>
      </c>
      <c r="O26" s="1">
        <f t="shared" si="3"/>
        <v>509985</v>
      </c>
      <c r="P26" s="1">
        <f t="shared" si="4"/>
        <v>339990</v>
      </c>
      <c r="Q26" s="6"/>
    </row>
    <row r="27" spans="1:18" ht="41.25" customHeight="1">
      <c r="A27" s="16">
        <v>20</v>
      </c>
      <c r="B27" s="17" t="s">
        <v>22</v>
      </c>
      <c r="C27" s="6" t="s">
        <v>45</v>
      </c>
      <c r="D27" s="15">
        <v>600000</v>
      </c>
      <c r="E27" s="3">
        <v>39990</v>
      </c>
      <c r="F27" s="3">
        <f t="shared" si="17"/>
        <v>639990</v>
      </c>
      <c r="G27" s="4">
        <v>30</v>
      </c>
      <c r="H27" s="2">
        <v>1333</v>
      </c>
      <c r="I27" s="2">
        <v>21333</v>
      </c>
      <c r="J27" s="1">
        <f t="shared" si="5"/>
        <v>20000</v>
      </c>
      <c r="K27" s="20">
        <f t="shared" si="1"/>
        <v>33325</v>
      </c>
      <c r="L27" s="21">
        <v>380000</v>
      </c>
      <c r="M27" s="5">
        <v>25</v>
      </c>
      <c r="N27" s="4">
        <v>5</v>
      </c>
      <c r="O27" s="1">
        <f t="shared" si="3"/>
        <v>533325</v>
      </c>
      <c r="P27" s="1">
        <f t="shared" si="4"/>
        <v>106665</v>
      </c>
      <c r="Q27" s="6"/>
    </row>
    <row r="28" spans="1:18" ht="41.25" customHeight="1">
      <c r="A28" s="16">
        <v>21</v>
      </c>
      <c r="B28" s="17" t="s">
        <v>22</v>
      </c>
      <c r="C28" s="6" t="s">
        <v>46</v>
      </c>
      <c r="D28" s="15">
        <v>450000</v>
      </c>
      <c r="E28" s="3">
        <v>39990</v>
      </c>
      <c r="F28" s="3">
        <f t="shared" ref="F28" si="18">SUM(D28:E28)</f>
        <v>489990</v>
      </c>
      <c r="G28" s="4">
        <v>40</v>
      </c>
      <c r="H28" s="2">
        <v>999.75</v>
      </c>
      <c r="I28" s="2">
        <v>12249.75</v>
      </c>
      <c r="J28" s="1">
        <f t="shared" ref="J28" si="19">SUM(I28-H28)</f>
        <v>11250</v>
      </c>
      <c r="K28" s="20">
        <f t="shared" si="1"/>
        <v>5998.5</v>
      </c>
      <c r="L28" s="21">
        <v>11250</v>
      </c>
      <c r="M28" s="5">
        <v>6</v>
      </c>
      <c r="N28" s="4">
        <v>34</v>
      </c>
      <c r="O28" s="1">
        <f t="shared" ref="O28" si="20">SUM(I28*M28)</f>
        <v>73498.5</v>
      </c>
      <c r="P28" s="1">
        <f t="shared" ref="P28" si="21">SUM(I28*N28)</f>
        <v>416491.5</v>
      </c>
      <c r="Q28" s="6"/>
    </row>
    <row r="29" spans="1:18" ht="21">
      <c r="B29" s="17"/>
      <c r="C29" s="10" t="s">
        <v>10</v>
      </c>
      <c r="D29" s="6"/>
      <c r="E29" s="6"/>
      <c r="F29" s="22"/>
      <c r="G29" s="23"/>
      <c r="H29" s="18">
        <f>SUM(H8:H28)</f>
        <v>23902.16</v>
      </c>
      <c r="I29" s="18">
        <f>SUM(I8:I28)</f>
        <v>218577.49999999997</v>
      </c>
      <c r="J29" s="18">
        <f>SUM(J8:J28)</f>
        <v>194675.34</v>
      </c>
      <c r="K29" s="18">
        <f>SUM(K8:K28)</f>
        <v>921868.67999999982</v>
      </c>
      <c r="L29" s="18">
        <f>SUM(L8:L28)</f>
        <v>717696.86</v>
      </c>
      <c r="M29" s="18"/>
      <c r="N29" s="18"/>
      <c r="O29" s="18">
        <f>SUM(O8:O28)</f>
        <v>7839392.6399999997</v>
      </c>
      <c r="P29" s="18">
        <f>SUM(P8:P28)</f>
        <v>3923617.36</v>
      </c>
      <c r="Q29" s="18"/>
    </row>
    <row r="30" spans="1:18" ht="21">
      <c r="C30" s="6"/>
      <c r="D30" s="6"/>
      <c r="E30" s="6"/>
      <c r="F30" s="6"/>
      <c r="G30" s="6"/>
      <c r="H30" s="6"/>
      <c r="I30" s="6"/>
      <c r="J30" s="6"/>
      <c r="K30" s="19"/>
      <c r="L30" s="6"/>
      <c r="M30" s="6"/>
      <c r="N30" s="6"/>
      <c r="O30" s="6"/>
      <c r="P30" s="6"/>
      <c r="Q30" s="6"/>
    </row>
    <row r="31" spans="1:18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6" ht="18" customHeight="1"/>
  </sheetData>
  <pageMargins left="0.7" right="0.7" top="0.75" bottom="0.75" header="0.3" footer="0.3"/>
  <pageSetup paperSize="5" scale="53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1" sqref="I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oysscAccount</dc:creator>
  <cp:lastModifiedBy>OYSG</cp:lastModifiedBy>
  <cp:lastPrinted>2024-05-28T09:34:52Z</cp:lastPrinted>
  <dcterms:created xsi:type="dcterms:W3CDTF">2018-09-19T03:56:17Z</dcterms:created>
  <dcterms:modified xsi:type="dcterms:W3CDTF">2025-07-07T10:26:42Z</dcterms:modified>
</cp:coreProperties>
</file>